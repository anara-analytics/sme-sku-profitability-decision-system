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smwaretech-my.sharepoint.com/personal/a_rehan_prismware_co/Documents/Documents/SME SKU Profitability/Phase2/"/>
    </mc:Choice>
  </mc:AlternateContent>
  <xr:revisionPtr revIDLastSave="869" documentId="8_{A963E3B3-02BB-443F-8E99-EC335BF4FA11}" xr6:coauthVersionLast="47" xr6:coauthVersionMax="47" xr10:uidLastSave="{D33F5C24-4509-48F6-8B9A-BF48EA6E31BE}"/>
  <bookViews>
    <workbookView xWindow="-110" yWindow="-110" windowWidth="19420" windowHeight="10300" firstSheet="3" activeTab="5" xr2:uid="{E890B197-6001-4A6B-AC9B-7D6A67190EC1}"/>
  </bookViews>
  <sheets>
    <sheet name="Raw_Data" sheetId="1" r:id="rId1"/>
    <sheet name="Profitability_Model" sheetId="2" r:id="rId2"/>
    <sheet name="Scenario_Analysis" sheetId="5" r:id="rId3"/>
    <sheet name="Sensitivity_Analysis" sheetId="6" r:id="rId4"/>
    <sheet name="SKU_Decision_Summary" sheetId="7" r:id="rId5"/>
    <sheet name="Dashboard" sheetId="8" r:id="rId6"/>
    <sheet name="Decision_Logic" sheetId="9" r:id="rId7"/>
    <sheet name="Risk_Summary" sheetId="10" r:id="rId8"/>
    <sheet name="Framework_Value" sheetId="11" r:id="rId9"/>
  </sheets>
  <definedNames>
    <definedName name="ABC">#REF!</definedName>
    <definedName name="scn_A_cogs_up">Scenario_Analysis!$Y$2</definedName>
    <definedName name="scn_B_returns_up">Scenario_Analysis!$Y$3</definedName>
    <definedName name="scn_C_price_down">Scenario_Analysis!$Y$4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3" i="5" l="1"/>
  <c r="K183" i="5" s="1"/>
  <c r="G110" i="7" s="1"/>
  <c r="F13" i="5"/>
  <c r="J7" i="5"/>
  <c r="N8" i="5"/>
  <c r="O8" i="5" s="1"/>
  <c r="I51" i="7" s="1"/>
  <c r="J4" i="5"/>
  <c r="K4" i="5" s="1"/>
  <c r="G189" i="7" s="1"/>
  <c r="U34" i="8"/>
  <c r="U32" i="8"/>
  <c r="U31" i="8"/>
  <c r="U30" i="8"/>
  <c r="U29" i="8"/>
  <c r="U28" i="8"/>
  <c r="U27" i="8"/>
  <c r="U26" i="8"/>
  <c r="U24" i="8"/>
  <c r="U23" i="8"/>
  <c r="U22" i="8"/>
  <c r="U20" i="8"/>
  <c r="U19" i="8"/>
  <c r="U17" i="8"/>
  <c r="U16" i="8"/>
  <c r="U15" i="8"/>
  <c r="U14" i="8"/>
  <c r="U13" i="8"/>
  <c r="U11" i="8"/>
  <c r="U10" i="8"/>
  <c r="U9" i="8"/>
  <c r="U8" i="8"/>
  <c r="C5" i="6" a="1"/>
  <c r="C5" i="6" s="1"/>
  <c r="B27" i="10"/>
  <c r="B83" i="8"/>
  <c r="J69" i="8"/>
  <c r="U36" i="8"/>
  <c r="U35" i="8"/>
  <c r="U33" i="8"/>
  <c r="U25" i="8"/>
  <c r="U21" i="8"/>
  <c r="N21" i="8"/>
  <c r="U18" i="8"/>
  <c r="N17" i="8"/>
  <c r="U12" i="8"/>
  <c r="U7" i="8"/>
  <c r="M3" i="8"/>
  <c r="D5" i="6" a="1"/>
  <c r="D5" i="6" s="1"/>
  <c r="L52" i="8" s="1"/>
  <c r="E5" i="6" a="1"/>
  <c r="E5" i="6" s="1"/>
  <c r="M52" i="8" s="1"/>
  <c r="F5" i="6" a="1"/>
  <c r="F5" i="6" s="1"/>
  <c r="N52" i="8" s="1"/>
  <c r="G5" i="6" a="1"/>
  <c r="G5" i="6" s="1"/>
  <c r="F12" i="10" s="1"/>
  <c r="C6" i="6" a="1"/>
  <c r="C6" i="6" s="1"/>
  <c r="K53" i="8" s="1"/>
  <c r="D6" i="6" a="1"/>
  <c r="D6" i="6" s="1"/>
  <c r="L53" i="8" s="1"/>
  <c r="E6" i="6" a="1"/>
  <c r="E6" i="6" s="1"/>
  <c r="M53" i="8" s="1"/>
  <c r="F6" i="6" a="1"/>
  <c r="F6" i="6" s="1"/>
  <c r="N53" i="8" s="1"/>
  <c r="G6" i="6" a="1"/>
  <c r="G6" i="6" s="1"/>
  <c r="O53" i="8" s="1"/>
  <c r="C7" i="6" a="1"/>
  <c r="C7" i="6" s="1"/>
  <c r="K54" i="8" s="1"/>
  <c r="D7" i="6" a="1"/>
  <c r="D7" i="6" s="1"/>
  <c r="L54" i="8" s="1"/>
  <c r="E7" i="6" a="1"/>
  <c r="E7" i="6" s="1"/>
  <c r="M54" i="8" s="1"/>
  <c r="F7" i="6" a="1"/>
  <c r="F7" i="6" s="1"/>
  <c r="N54" i="8" s="1"/>
  <c r="G7" i="6" a="1"/>
  <c r="G7" i="6" s="1"/>
  <c r="O54" i="8" s="1"/>
  <c r="C8" i="6" a="1"/>
  <c r="C8" i="6" s="1"/>
  <c r="K55" i="8" s="1"/>
  <c r="D8" i="6" a="1"/>
  <c r="D8" i="6" s="1"/>
  <c r="L55" i="8" s="1"/>
  <c r="E8" i="6" a="1"/>
  <c r="E8" i="6" s="1"/>
  <c r="M55" i="8" s="1"/>
  <c r="F8" i="6" a="1"/>
  <c r="F8" i="6" s="1"/>
  <c r="N55" i="8" s="1"/>
  <c r="G8" i="6" a="1"/>
  <c r="G8" i="6" s="1"/>
  <c r="O55" i="8" s="1"/>
  <c r="C9" i="6" a="1"/>
  <c r="C9" i="6" s="1"/>
  <c r="D9" i="6" a="1"/>
  <c r="D9" i="6" s="1"/>
  <c r="L56" i="8" s="1"/>
  <c r="E9" i="6" a="1"/>
  <c r="E9" i="6" s="1"/>
  <c r="M56" i="8" s="1"/>
  <c r="F9" i="6" a="1"/>
  <c r="F9" i="6" s="1"/>
  <c r="N56" i="8" s="1"/>
  <c r="G9" i="6" a="1"/>
  <c r="G9" i="6" s="1"/>
  <c r="O56" i="8" s="1"/>
  <c r="J61" i="8" s="1"/>
  <c r="J5" i="5"/>
  <c r="K5" i="5" s="1"/>
  <c r="G190" i="7" s="1"/>
  <c r="J3" i="5"/>
  <c r="K3" i="5" s="1"/>
  <c r="G188" i="7" s="1"/>
  <c r="A3" i="5"/>
  <c r="A188" i="7" s="1"/>
  <c r="B3" i="5"/>
  <c r="B188" i="7" s="1"/>
  <c r="F3" i="5"/>
  <c r="G3" i="5" s="1"/>
  <c r="E188" i="7" s="1"/>
  <c r="N3" i="5"/>
  <c r="O3" i="5" s="1"/>
  <c r="I188" i="7" s="1"/>
  <c r="A4" i="5"/>
  <c r="A189" i="7" s="1"/>
  <c r="A5" i="5"/>
  <c r="A190" i="7" s="1"/>
  <c r="A6" i="5"/>
  <c r="A4" i="7" s="1"/>
  <c r="A7" i="5"/>
  <c r="A50" i="7" s="1"/>
  <c r="A8" i="5"/>
  <c r="A51" i="7" s="1"/>
  <c r="A9" i="5"/>
  <c r="A5" i="7" s="1"/>
  <c r="A10" i="5"/>
  <c r="A191" i="7" s="1"/>
  <c r="A11" i="5"/>
  <c r="A192" i="7" s="1"/>
  <c r="A12" i="5"/>
  <c r="A52" i="7" s="1"/>
  <c r="A13" i="5"/>
  <c r="A53" i="7" s="1"/>
  <c r="A14" i="5"/>
  <c r="A54" i="7" s="1"/>
  <c r="A15" i="5"/>
  <c r="A193" i="7" s="1"/>
  <c r="A16" i="5"/>
  <c r="A194" i="7" s="1"/>
  <c r="A17" i="5"/>
  <c r="A195" i="7" s="1"/>
  <c r="A18" i="5"/>
  <c r="A196" i="7" s="1"/>
  <c r="A19" i="5"/>
  <c r="A6" i="7" s="1"/>
  <c r="A20" i="5"/>
  <c r="A197" i="7" s="1"/>
  <c r="A21" i="5"/>
  <c r="A55" i="7" s="1"/>
  <c r="A22" i="5"/>
  <c r="A198" i="7" s="1"/>
  <c r="A23" i="5"/>
  <c r="A199" i="7" s="1"/>
  <c r="A24" i="5"/>
  <c r="A200" i="7" s="1"/>
  <c r="A25" i="5"/>
  <c r="A7" i="7" s="1"/>
  <c r="A26" i="5"/>
  <c r="A8" i="7" s="1"/>
  <c r="A27" i="5"/>
  <c r="A56" i="7" s="1"/>
  <c r="A28" i="5"/>
  <c r="A57" i="7" s="1"/>
  <c r="A29" i="5"/>
  <c r="A9" i="7" s="1"/>
  <c r="A30" i="5"/>
  <c r="A10" i="7" s="1"/>
  <c r="A31" i="5"/>
  <c r="A11" i="7" s="1"/>
  <c r="A32" i="5"/>
  <c r="A201" i="7" s="1"/>
  <c r="A33" i="5"/>
  <c r="A58" i="7" s="1"/>
  <c r="A34" i="5"/>
  <c r="A202" i="7" s="1"/>
  <c r="A35" i="5"/>
  <c r="A59" i="7" s="1"/>
  <c r="A36" i="5"/>
  <c r="A12" i="7" s="1"/>
  <c r="A37" i="5"/>
  <c r="A60" i="7" s="1"/>
  <c r="A38" i="5"/>
  <c r="A61" i="7" s="1"/>
  <c r="A39" i="5"/>
  <c r="A13" i="7" s="1"/>
  <c r="A40" i="5"/>
  <c r="A203" i="7" s="1"/>
  <c r="A41" i="5"/>
  <c r="A62" i="7" s="1"/>
  <c r="A42" i="5"/>
  <c r="A204" i="7" s="1"/>
  <c r="A43" i="5"/>
  <c r="A14" i="7" s="1"/>
  <c r="A44" i="5"/>
  <c r="A205" i="7" s="1"/>
  <c r="A45" i="5"/>
  <c r="A63" i="7" s="1"/>
  <c r="A46" i="5"/>
  <c r="A206" i="7" s="1"/>
  <c r="A47" i="5"/>
  <c r="A207" i="7" s="1"/>
  <c r="A48" i="5"/>
  <c r="A15" i="7" s="1"/>
  <c r="A49" i="5"/>
  <c r="A64" i="7" s="1"/>
  <c r="A50" i="5"/>
  <c r="A208" i="7" s="1"/>
  <c r="A51" i="5"/>
  <c r="A65" i="7" s="1"/>
  <c r="A52" i="5"/>
  <c r="A209" i="7" s="1"/>
  <c r="A53" i="5"/>
  <c r="A210" i="7" s="1"/>
  <c r="A54" i="5"/>
  <c r="A211" i="7" s="1"/>
  <c r="A55" i="5"/>
  <c r="A212" i="7" s="1"/>
  <c r="A56" i="5"/>
  <c r="A16" i="7" s="1"/>
  <c r="A57" i="5"/>
  <c r="A213" i="7" s="1"/>
  <c r="A58" i="5"/>
  <c r="A214" i="7" s="1"/>
  <c r="A59" i="5"/>
  <c r="A66" i="7" s="1"/>
  <c r="A60" i="5"/>
  <c r="A67" i="7" s="1"/>
  <c r="A61" i="5"/>
  <c r="A215" i="7" s="1"/>
  <c r="A62" i="5"/>
  <c r="A216" i="7" s="1"/>
  <c r="A63" i="5"/>
  <c r="A68" i="7" s="1"/>
  <c r="A64" i="5"/>
  <c r="A217" i="7" s="1"/>
  <c r="A65" i="5"/>
  <c r="A218" i="7" s="1"/>
  <c r="A66" i="5"/>
  <c r="A69" i="7" s="1"/>
  <c r="A67" i="5"/>
  <c r="A70" i="7" s="1"/>
  <c r="A68" i="5"/>
  <c r="A71" i="7" s="1"/>
  <c r="A69" i="5"/>
  <c r="A219" i="7" s="1"/>
  <c r="A70" i="5"/>
  <c r="A72" i="7" s="1"/>
  <c r="A71" i="5"/>
  <c r="A73" i="7" s="1"/>
  <c r="A72" i="5"/>
  <c r="A220" i="7" s="1"/>
  <c r="A73" i="5"/>
  <c r="A74" i="7" s="1"/>
  <c r="A74" i="5"/>
  <c r="A221" i="7" s="1"/>
  <c r="A75" i="5"/>
  <c r="A222" i="7" s="1"/>
  <c r="A76" i="5"/>
  <c r="A75" i="7" s="1"/>
  <c r="A77" i="5"/>
  <c r="A76" i="7" s="1"/>
  <c r="A78" i="5"/>
  <c r="A17" i="7" s="1"/>
  <c r="A79" i="5"/>
  <c r="A223" i="7" s="1"/>
  <c r="A80" i="5"/>
  <c r="A224" i="7" s="1"/>
  <c r="A81" i="5"/>
  <c r="A77" i="7" s="1"/>
  <c r="A82" i="5"/>
  <c r="A225" i="7" s="1"/>
  <c r="A83" i="5"/>
  <c r="A18" i="7" s="1"/>
  <c r="A84" i="5"/>
  <c r="A226" i="7" s="1"/>
  <c r="A85" i="5"/>
  <c r="A227" i="7" s="1"/>
  <c r="A86" i="5"/>
  <c r="A19" i="7" s="1"/>
  <c r="A87" i="5"/>
  <c r="A78" i="7" s="1"/>
  <c r="A88" i="5"/>
  <c r="A79" i="7" s="1"/>
  <c r="A89" i="5"/>
  <c r="A80" i="7" s="1"/>
  <c r="A90" i="5"/>
  <c r="A228" i="7" s="1"/>
  <c r="A91" i="5"/>
  <c r="A81" i="7" s="1"/>
  <c r="A92" i="5"/>
  <c r="A229" i="7" s="1"/>
  <c r="A93" i="5"/>
  <c r="A230" i="7" s="1"/>
  <c r="A94" i="5"/>
  <c r="A231" i="7" s="1"/>
  <c r="A95" i="5"/>
  <c r="A232" i="7" s="1"/>
  <c r="A96" i="5"/>
  <c r="A82" i="7" s="1"/>
  <c r="A97" i="5"/>
  <c r="A233" i="7" s="1"/>
  <c r="A98" i="5"/>
  <c r="A234" i="7" s="1"/>
  <c r="A99" i="5"/>
  <c r="A83" i="7" s="1"/>
  <c r="A100" i="5"/>
  <c r="A235" i="7" s="1"/>
  <c r="A101" i="5"/>
  <c r="A84" i="7" s="1"/>
  <c r="A102" i="5"/>
  <c r="A236" i="7" s="1"/>
  <c r="A103" i="5"/>
  <c r="A20" i="7" s="1"/>
  <c r="A104" i="5"/>
  <c r="A237" i="7" s="1"/>
  <c r="A105" i="5"/>
  <c r="A238" i="7" s="1"/>
  <c r="A106" i="5"/>
  <c r="A239" i="7" s="1"/>
  <c r="A107" i="5"/>
  <c r="A85" i="7" s="1"/>
  <c r="A108" i="5"/>
  <c r="A86" i="7" s="1"/>
  <c r="A109" i="5"/>
  <c r="A240" i="7" s="1"/>
  <c r="A110" i="5"/>
  <c r="A241" i="7" s="1"/>
  <c r="A111" i="5"/>
  <c r="A242" i="7" s="1"/>
  <c r="A112" i="5"/>
  <c r="A87" i="7" s="1"/>
  <c r="A113" i="5"/>
  <c r="A243" i="7" s="1"/>
  <c r="A114" i="5"/>
  <c r="A244" i="7" s="1"/>
  <c r="A115" i="5"/>
  <c r="A245" i="7" s="1"/>
  <c r="A116" i="5"/>
  <c r="A88" i="7" s="1"/>
  <c r="A117" i="5"/>
  <c r="A246" i="7" s="1"/>
  <c r="A118" i="5"/>
  <c r="A89" i="7" s="1"/>
  <c r="A119" i="5"/>
  <c r="A247" i="7" s="1"/>
  <c r="A120" i="5"/>
  <c r="A248" i="7" s="1"/>
  <c r="A121" i="5"/>
  <c r="A249" i="7" s="1"/>
  <c r="A122" i="5"/>
  <c r="A90" i="7" s="1"/>
  <c r="A123" i="5"/>
  <c r="A250" i="7" s="1"/>
  <c r="A124" i="5"/>
  <c r="A251" i="7" s="1"/>
  <c r="A125" i="5"/>
  <c r="A252" i="7" s="1"/>
  <c r="A126" i="5"/>
  <c r="A253" i="7" s="1"/>
  <c r="A127" i="5"/>
  <c r="A91" i="7" s="1"/>
  <c r="A128" i="5"/>
  <c r="A254" i="7" s="1"/>
  <c r="A129" i="5"/>
  <c r="A255" i="7" s="1"/>
  <c r="A130" i="5"/>
  <c r="A256" i="7" s="1"/>
  <c r="A131" i="5"/>
  <c r="A92" i="7" s="1"/>
  <c r="A132" i="5"/>
  <c r="A93" i="7" s="1"/>
  <c r="A133" i="5"/>
  <c r="A257" i="7" s="1"/>
  <c r="A134" i="5"/>
  <c r="A258" i="7" s="1"/>
  <c r="A135" i="5"/>
  <c r="A94" i="7" s="1"/>
  <c r="A136" i="5"/>
  <c r="A95" i="7" s="1"/>
  <c r="A137" i="5"/>
  <c r="A259" i="7" s="1"/>
  <c r="A138" i="5"/>
  <c r="A96" i="7" s="1"/>
  <c r="A139" i="5"/>
  <c r="A260" i="7" s="1"/>
  <c r="A140" i="5"/>
  <c r="A261" i="7" s="1"/>
  <c r="A141" i="5"/>
  <c r="A97" i="7" s="1"/>
  <c r="A142" i="5"/>
  <c r="A262" i="7" s="1"/>
  <c r="A143" i="5"/>
  <c r="A263" i="7" s="1"/>
  <c r="A144" i="5"/>
  <c r="A264" i="7" s="1"/>
  <c r="A145" i="5"/>
  <c r="A265" i="7" s="1"/>
  <c r="A146" i="5"/>
  <c r="A98" i="7" s="1"/>
  <c r="A147" i="5"/>
  <c r="A99" i="7" s="1"/>
  <c r="A148" i="5"/>
  <c r="A21" i="7" s="1"/>
  <c r="A149" i="5"/>
  <c r="A100" i="7" s="1"/>
  <c r="A150" i="5"/>
  <c r="A266" i="7" s="1"/>
  <c r="A151" i="5"/>
  <c r="A22" i="7" s="1"/>
  <c r="A152" i="5"/>
  <c r="A101" i="7" s="1"/>
  <c r="A153" i="5"/>
  <c r="A267" i="7" s="1"/>
  <c r="A154" i="5"/>
  <c r="A268" i="7" s="1"/>
  <c r="A155" i="5"/>
  <c r="A23" i="7" s="1"/>
  <c r="A156" i="5"/>
  <c r="A102" i="7" s="1"/>
  <c r="A157" i="5"/>
  <c r="A24" i="7" s="1"/>
  <c r="A158" i="5"/>
  <c r="A269" i="7" s="1"/>
  <c r="A159" i="5"/>
  <c r="A270" i="7" s="1"/>
  <c r="A160" i="5"/>
  <c r="A271" i="7" s="1"/>
  <c r="A161" i="5"/>
  <c r="A103" i="7" s="1"/>
  <c r="A162" i="5"/>
  <c r="A272" i="7" s="1"/>
  <c r="A163" i="5"/>
  <c r="A104" i="7" s="1"/>
  <c r="A164" i="5"/>
  <c r="A273" i="7" s="1"/>
  <c r="A165" i="5"/>
  <c r="A274" i="7" s="1"/>
  <c r="A166" i="5"/>
  <c r="A275" i="7" s="1"/>
  <c r="A167" i="5"/>
  <c r="A105" i="7" s="1"/>
  <c r="A168" i="5"/>
  <c r="A106" i="7" s="1"/>
  <c r="A169" i="5"/>
  <c r="A276" i="7" s="1"/>
  <c r="A170" i="5"/>
  <c r="A25" i="7" s="1"/>
  <c r="A171" i="5"/>
  <c r="A277" i="7" s="1"/>
  <c r="A172" i="5"/>
  <c r="A278" i="7" s="1"/>
  <c r="A173" i="5"/>
  <c r="A279" i="7" s="1"/>
  <c r="A174" i="5"/>
  <c r="A107" i="7" s="1"/>
  <c r="A175" i="5"/>
  <c r="A280" i="7" s="1"/>
  <c r="A176" i="5"/>
  <c r="A108" i="7" s="1"/>
  <c r="A177" i="5"/>
  <c r="A109" i="7" s="1"/>
  <c r="A178" i="5"/>
  <c r="A281" i="7" s="1"/>
  <c r="A179" i="5"/>
  <c r="A282" i="7" s="1"/>
  <c r="A180" i="5"/>
  <c r="A283" i="7" s="1"/>
  <c r="A181" i="5"/>
  <c r="A284" i="7" s="1"/>
  <c r="A182" i="5"/>
  <c r="A285" i="7" s="1"/>
  <c r="A183" i="5"/>
  <c r="A110" i="7" s="1"/>
  <c r="A184" i="5"/>
  <c r="A286" i="7" s="1"/>
  <c r="A185" i="5"/>
  <c r="A287" i="7" s="1"/>
  <c r="A186" i="5"/>
  <c r="A288" i="7" s="1"/>
  <c r="A187" i="5"/>
  <c r="A111" i="7" s="1"/>
  <c r="A188" i="5"/>
  <c r="A289" i="7" s="1"/>
  <c r="A189" i="5"/>
  <c r="A290" i="7" s="1"/>
  <c r="A190" i="5"/>
  <c r="A291" i="7" s="1"/>
  <c r="A191" i="5"/>
  <c r="A112" i="7" s="1"/>
  <c r="A192" i="5"/>
  <c r="A292" i="7" s="1"/>
  <c r="A193" i="5"/>
  <c r="A113" i="7" s="1"/>
  <c r="A194" i="5"/>
  <c r="A114" i="7" s="1"/>
  <c r="A195" i="5"/>
  <c r="A293" i="7" s="1"/>
  <c r="A196" i="5"/>
  <c r="A115" i="7" s="1"/>
  <c r="A197" i="5"/>
  <c r="A294" i="7" s="1"/>
  <c r="A198" i="5"/>
  <c r="A295" i="7" s="1"/>
  <c r="A199" i="5"/>
  <c r="A296" i="7" s="1"/>
  <c r="A200" i="5"/>
  <c r="A297" i="7" s="1"/>
  <c r="A201" i="5"/>
  <c r="A298" i="7" s="1"/>
  <c r="A202" i="5"/>
  <c r="A299" i="7" s="1"/>
  <c r="A203" i="5"/>
  <c r="A300" i="7" s="1"/>
  <c r="A204" i="5"/>
  <c r="A116" i="7" s="1"/>
  <c r="A205" i="5"/>
  <c r="A117" i="7" s="1"/>
  <c r="A206" i="5"/>
  <c r="A118" i="7" s="1"/>
  <c r="A207" i="5"/>
  <c r="A301" i="7" s="1"/>
  <c r="A208" i="5"/>
  <c r="A26" i="7" s="1"/>
  <c r="A209" i="5"/>
  <c r="A302" i="7" s="1"/>
  <c r="A210" i="5"/>
  <c r="A119" i="7" s="1"/>
  <c r="A211" i="5"/>
  <c r="A303" i="7" s="1"/>
  <c r="A212" i="5"/>
  <c r="A304" i="7" s="1"/>
  <c r="A213" i="5"/>
  <c r="A120" i="7" s="1"/>
  <c r="A214" i="5"/>
  <c r="A121" i="7" s="1"/>
  <c r="A215" i="5"/>
  <c r="A27" i="7" s="1"/>
  <c r="A216" i="5"/>
  <c r="A305" i="7" s="1"/>
  <c r="A217" i="5"/>
  <c r="A122" i="7" s="1"/>
  <c r="A218" i="5"/>
  <c r="A28" i="7" s="1"/>
  <c r="A219" i="5"/>
  <c r="A306" i="7" s="1"/>
  <c r="A220" i="5"/>
  <c r="A123" i="7" s="1"/>
  <c r="A221" i="5"/>
  <c r="A307" i="7" s="1"/>
  <c r="A222" i="5"/>
  <c r="A308" i="7" s="1"/>
  <c r="A223" i="5"/>
  <c r="A309" i="7" s="1"/>
  <c r="A224" i="5"/>
  <c r="A124" i="7" s="1"/>
  <c r="A225" i="5"/>
  <c r="A310" i="7" s="1"/>
  <c r="A226" i="5"/>
  <c r="A125" i="7" s="1"/>
  <c r="A227" i="5"/>
  <c r="A311" i="7" s="1"/>
  <c r="A228" i="5"/>
  <c r="A126" i="7" s="1"/>
  <c r="A229" i="5"/>
  <c r="A312" i="7" s="1"/>
  <c r="A230" i="5"/>
  <c r="A29" i="7" s="1"/>
  <c r="A231" i="5"/>
  <c r="A127" i="7" s="1"/>
  <c r="A232" i="5"/>
  <c r="A128" i="7" s="1"/>
  <c r="A233" i="5"/>
  <c r="A313" i="7" s="1"/>
  <c r="A234" i="5"/>
  <c r="A129" i="7" s="1"/>
  <c r="A235" i="5"/>
  <c r="A314" i="7" s="1"/>
  <c r="A236" i="5"/>
  <c r="A315" i="7" s="1"/>
  <c r="A237" i="5"/>
  <c r="A316" i="7" s="1"/>
  <c r="A238" i="5"/>
  <c r="A30" i="7" s="1"/>
  <c r="A239" i="5"/>
  <c r="A31" i="7" s="1"/>
  <c r="A240" i="5"/>
  <c r="A130" i="7" s="1"/>
  <c r="A241" i="5"/>
  <c r="A317" i="7" s="1"/>
  <c r="A242" i="5"/>
  <c r="A32" i="7" s="1"/>
  <c r="A243" i="5"/>
  <c r="A318" i="7" s="1"/>
  <c r="A244" i="5"/>
  <c r="A319" i="7" s="1"/>
  <c r="A245" i="5"/>
  <c r="A131" i="7" s="1"/>
  <c r="A246" i="5"/>
  <c r="A320" i="7" s="1"/>
  <c r="A247" i="5"/>
  <c r="A132" i="7" s="1"/>
  <c r="A248" i="5"/>
  <c r="A321" i="7" s="1"/>
  <c r="A249" i="5"/>
  <c r="A133" i="7" s="1"/>
  <c r="A250" i="5"/>
  <c r="A322" i="7" s="1"/>
  <c r="A251" i="5"/>
  <c r="A134" i="7" s="1"/>
  <c r="A252" i="5"/>
  <c r="A33" i="7" s="1"/>
  <c r="A253" i="5"/>
  <c r="A135" i="7" s="1"/>
  <c r="A254" i="5"/>
  <c r="A136" i="7" s="1"/>
  <c r="A255" i="5"/>
  <c r="A323" i="7" s="1"/>
  <c r="A256" i="5"/>
  <c r="A137" i="7" s="1"/>
  <c r="A257" i="5"/>
  <c r="A324" i="7" s="1"/>
  <c r="A258" i="5"/>
  <c r="A138" i="7" s="1"/>
  <c r="A259" i="5"/>
  <c r="A325" i="7" s="1"/>
  <c r="A260" i="5"/>
  <c r="A139" i="7" s="1"/>
  <c r="A261" i="5"/>
  <c r="A326" i="7" s="1"/>
  <c r="A262" i="5"/>
  <c r="A140" i="7" s="1"/>
  <c r="A263" i="5"/>
  <c r="A327" i="7" s="1"/>
  <c r="A264" i="5"/>
  <c r="A328" i="7" s="1"/>
  <c r="A265" i="5"/>
  <c r="A34" i="7" s="1"/>
  <c r="A266" i="5"/>
  <c r="A35" i="7" s="1"/>
  <c r="A267" i="5"/>
  <c r="A329" i="7" s="1"/>
  <c r="A268" i="5"/>
  <c r="A141" i="7" s="1"/>
  <c r="A269" i="5"/>
  <c r="A330" i="7" s="1"/>
  <c r="A270" i="5"/>
  <c r="A331" i="7" s="1"/>
  <c r="A271" i="5"/>
  <c r="A332" i="7" s="1"/>
  <c r="A272" i="5"/>
  <c r="A142" i="7" s="1"/>
  <c r="A273" i="5"/>
  <c r="A143" i="7" s="1"/>
  <c r="A274" i="5"/>
  <c r="A144" i="7" s="1"/>
  <c r="A275" i="5"/>
  <c r="A333" i="7" s="1"/>
  <c r="A276" i="5"/>
  <c r="A145" i="7" s="1"/>
  <c r="A277" i="5"/>
  <c r="A334" i="7" s="1"/>
  <c r="A278" i="5"/>
  <c r="A146" i="7" s="1"/>
  <c r="A279" i="5"/>
  <c r="A147" i="7" s="1"/>
  <c r="A280" i="5"/>
  <c r="A335" i="7" s="1"/>
  <c r="A281" i="5"/>
  <c r="A336" i="7" s="1"/>
  <c r="A282" i="5"/>
  <c r="A337" i="7" s="1"/>
  <c r="A283" i="5"/>
  <c r="A36" i="7" s="1"/>
  <c r="A284" i="5"/>
  <c r="A338" i="7" s="1"/>
  <c r="A285" i="5"/>
  <c r="A339" i="7" s="1"/>
  <c r="A286" i="5"/>
  <c r="A37" i="7" s="1"/>
  <c r="A287" i="5"/>
  <c r="A340" i="7" s="1"/>
  <c r="A288" i="5"/>
  <c r="A148" i="7" s="1"/>
  <c r="A289" i="5"/>
  <c r="A341" i="7" s="1"/>
  <c r="A290" i="5"/>
  <c r="A149" i="7" s="1"/>
  <c r="A291" i="5"/>
  <c r="A150" i="7" s="1"/>
  <c r="A292" i="5"/>
  <c r="A342" i="7" s="1"/>
  <c r="A293" i="5"/>
  <c r="A343" i="7" s="1"/>
  <c r="A294" i="5"/>
  <c r="A344" i="7" s="1"/>
  <c r="A295" i="5"/>
  <c r="A38" i="7" s="1"/>
  <c r="A296" i="5"/>
  <c r="A151" i="7" s="1"/>
  <c r="A297" i="5"/>
  <c r="A39" i="7" s="1"/>
  <c r="A298" i="5"/>
  <c r="A345" i="7" s="1"/>
  <c r="A299" i="5"/>
  <c r="A346" i="7" s="1"/>
  <c r="A300" i="5"/>
  <c r="A347" i="7" s="1"/>
  <c r="A301" i="5"/>
  <c r="A348" i="7" s="1"/>
  <c r="A302" i="5"/>
  <c r="A152" i="7" s="1"/>
  <c r="A303" i="5"/>
  <c r="A153" i="7" s="1"/>
  <c r="A304" i="5"/>
  <c r="A349" i="7" s="1"/>
  <c r="A305" i="5"/>
  <c r="A40" i="7" s="1"/>
  <c r="A306" i="5"/>
  <c r="A350" i="7" s="1"/>
  <c r="A307" i="5"/>
  <c r="A154" i="7" s="1"/>
  <c r="A308" i="5"/>
  <c r="A351" i="7" s="1"/>
  <c r="A309" i="5"/>
  <c r="A352" i="7" s="1"/>
  <c r="A310" i="5"/>
  <c r="A155" i="7" s="1"/>
  <c r="A311" i="5"/>
  <c r="A353" i="7" s="1"/>
  <c r="A312" i="5"/>
  <c r="A156" i="7" s="1"/>
  <c r="A313" i="5"/>
  <c r="A157" i="7" s="1"/>
  <c r="A314" i="5"/>
  <c r="A354" i="7" s="1"/>
  <c r="A315" i="5"/>
  <c r="A41" i="7" s="1"/>
  <c r="A316" i="5"/>
  <c r="A42" i="7" s="1"/>
  <c r="A317" i="5"/>
  <c r="A158" i="7" s="1"/>
  <c r="A318" i="5"/>
  <c r="A355" i="7" s="1"/>
  <c r="A319" i="5"/>
  <c r="A159" i="7" s="1"/>
  <c r="A320" i="5"/>
  <c r="A160" i="7" s="1"/>
  <c r="A321" i="5"/>
  <c r="A161" i="7" s="1"/>
  <c r="A322" i="5"/>
  <c r="A162" i="7" s="1"/>
  <c r="A323" i="5"/>
  <c r="A356" i="7" s="1"/>
  <c r="A324" i="5"/>
  <c r="A163" i="7" s="1"/>
  <c r="A325" i="5"/>
  <c r="A43" i="7" s="1"/>
  <c r="A326" i="5"/>
  <c r="A357" i="7" s="1"/>
  <c r="A327" i="5"/>
  <c r="A358" i="7" s="1"/>
  <c r="A328" i="5"/>
  <c r="A359" i="7" s="1"/>
  <c r="A329" i="5"/>
  <c r="A360" i="7" s="1"/>
  <c r="A330" i="5"/>
  <c r="A361" i="7" s="1"/>
  <c r="A331" i="5"/>
  <c r="A164" i="7" s="1"/>
  <c r="A332" i="5"/>
  <c r="A362" i="7" s="1"/>
  <c r="A333" i="5"/>
  <c r="A165" i="7" s="1"/>
  <c r="A334" i="5"/>
  <c r="A363" i="7" s="1"/>
  <c r="A335" i="5"/>
  <c r="A364" i="7" s="1"/>
  <c r="A336" i="5"/>
  <c r="A166" i="7" s="1"/>
  <c r="A337" i="5"/>
  <c r="A365" i="7" s="1"/>
  <c r="A338" i="5"/>
  <c r="A167" i="7" s="1"/>
  <c r="A339" i="5"/>
  <c r="A366" i="7" s="1"/>
  <c r="A340" i="5"/>
  <c r="A44" i="7" s="1"/>
  <c r="A341" i="5"/>
  <c r="A45" i="7" s="1"/>
  <c r="A342" i="5"/>
  <c r="A168" i="7" s="1"/>
  <c r="A343" i="5"/>
  <c r="A367" i="7" s="1"/>
  <c r="A344" i="5"/>
  <c r="A368" i="7" s="1"/>
  <c r="A345" i="5"/>
  <c r="A369" i="7" s="1"/>
  <c r="A346" i="5"/>
  <c r="A169" i="7" s="1"/>
  <c r="A347" i="5"/>
  <c r="A170" i="7" s="1"/>
  <c r="A348" i="5"/>
  <c r="A370" i="7" s="1"/>
  <c r="A349" i="5"/>
  <c r="A371" i="7" s="1"/>
  <c r="A350" i="5"/>
  <c r="A171" i="7" s="1"/>
  <c r="A351" i="5"/>
  <c r="A372" i="7" s="1"/>
  <c r="A352" i="5"/>
  <c r="A373" i="7" s="1"/>
  <c r="A353" i="5"/>
  <c r="A46" i="7" s="1"/>
  <c r="A354" i="5"/>
  <c r="A374" i="7" s="1"/>
  <c r="A355" i="5"/>
  <c r="A172" i="7" s="1"/>
  <c r="A356" i="5"/>
  <c r="A375" i="7" s="1"/>
  <c r="A357" i="5"/>
  <c r="A376" i="7" s="1"/>
  <c r="A358" i="5"/>
  <c r="A377" i="7" s="1"/>
  <c r="A359" i="5"/>
  <c r="A173" i="7" s="1"/>
  <c r="A360" i="5"/>
  <c r="A378" i="7" s="1"/>
  <c r="A361" i="5"/>
  <c r="A379" i="7" s="1"/>
  <c r="A362" i="5"/>
  <c r="A174" i="7" s="1"/>
  <c r="A363" i="5"/>
  <c r="A175" i="7" s="1"/>
  <c r="A364" i="5"/>
  <c r="A176" i="7" s="1"/>
  <c r="A365" i="5"/>
  <c r="A380" i="7" s="1"/>
  <c r="A366" i="5"/>
  <c r="A381" i="7" s="1"/>
  <c r="A367" i="5"/>
  <c r="A382" i="7" s="1"/>
  <c r="A368" i="5"/>
  <c r="A383" i="7" s="1"/>
  <c r="A369" i="5"/>
  <c r="A384" i="7" s="1"/>
  <c r="A370" i="5"/>
  <c r="A385" i="7" s="1"/>
  <c r="A371" i="5"/>
  <c r="A386" i="7" s="1"/>
  <c r="A372" i="5"/>
  <c r="A387" i="7" s="1"/>
  <c r="A373" i="5"/>
  <c r="A177" i="7" s="1"/>
  <c r="A374" i="5"/>
  <c r="A178" i="7" s="1"/>
  <c r="A375" i="5"/>
  <c r="A179" i="7" s="1"/>
  <c r="A376" i="5"/>
  <c r="A47" i="7" s="1"/>
  <c r="A377" i="5"/>
  <c r="A48" i="7" s="1"/>
  <c r="A378" i="5"/>
  <c r="A180" i="7" s="1"/>
  <c r="A379" i="5"/>
  <c r="A388" i="7" s="1"/>
  <c r="A380" i="5"/>
  <c r="A389" i="7" s="1"/>
  <c r="A381" i="5"/>
  <c r="A181" i="7" s="1"/>
  <c r="A382" i="5"/>
  <c r="A182" i="7" s="1"/>
  <c r="A383" i="5"/>
  <c r="A390" i="7" s="1"/>
  <c r="A384" i="5"/>
  <c r="A183" i="7" s="1"/>
  <c r="A385" i="5"/>
  <c r="A391" i="7" s="1"/>
  <c r="A386" i="5"/>
  <c r="A392" i="7" s="1"/>
  <c r="A387" i="5"/>
  <c r="A393" i="7" s="1"/>
  <c r="A388" i="5"/>
  <c r="A394" i="7" s="1"/>
  <c r="A389" i="5"/>
  <c r="A184" i="7" s="1"/>
  <c r="A390" i="5"/>
  <c r="A395" i="7" s="1"/>
  <c r="A391" i="5"/>
  <c r="A185" i="7" s="1"/>
  <c r="A392" i="5"/>
  <c r="A396" i="7" s="1"/>
  <c r="A393" i="5"/>
  <c r="A49" i="7" s="1"/>
  <c r="A394" i="5"/>
  <c r="A397" i="7" s="1"/>
  <c r="A395" i="5"/>
  <c r="A398" i="7" s="1"/>
  <c r="A396" i="5"/>
  <c r="A186" i="7" s="1"/>
  <c r="A397" i="5"/>
  <c r="A399" i="7" s="1"/>
  <c r="A398" i="5"/>
  <c r="A400" i="7" s="1"/>
  <c r="A399" i="5"/>
  <c r="A401" i="7" s="1"/>
  <c r="A400" i="5"/>
  <c r="A187" i="7" s="1"/>
  <c r="A401" i="5"/>
  <c r="A402" i="7" s="1"/>
  <c r="A402" i="5"/>
  <c r="A403" i="7" s="1"/>
  <c r="B4" i="5"/>
  <c r="B189" i="7" s="1"/>
  <c r="B5" i="5"/>
  <c r="B190" i="7" s="1"/>
  <c r="B6" i="5"/>
  <c r="B4" i="7" s="1"/>
  <c r="B7" i="5"/>
  <c r="B50" i="7" s="1"/>
  <c r="B8" i="5"/>
  <c r="B51" i="7" s="1"/>
  <c r="B9" i="5"/>
  <c r="B5" i="7" s="1"/>
  <c r="B10" i="5"/>
  <c r="B191" i="7" s="1"/>
  <c r="B11" i="5"/>
  <c r="B192" i="7" s="1"/>
  <c r="B12" i="5"/>
  <c r="B52" i="7" s="1"/>
  <c r="B13" i="5"/>
  <c r="B53" i="7" s="1"/>
  <c r="B14" i="5"/>
  <c r="B54" i="7" s="1"/>
  <c r="B15" i="5"/>
  <c r="B193" i="7" s="1"/>
  <c r="B16" i="5"/>
  <c r="B194" i="7" s="1"/>
  <c r="B17" i="5"/>
  <c r="B195" i="7" s="1"/>
  <c r="B18" i="5"/>
  <c r="B196" i="7" s="1"/>
  <c r="B19" i="5"/>
  <c r="B6" i="7" s="1"/>
  <c r="B20" i="5"/>
  <c r="B197" i="7" s="1"/>
  <c r="B21" i="5"/>
  <c r="B55" i="7" s="1"/>
  <c r="B22" i="5"/>
  <c r="B198" i="7" s="1"/>
  <c r="B23" i="5"/>
  <c r="B199" i="7" s="1"/>
  <c r="B24" i="5"/>
  <c r="B200" i="7" s="1"/>
  <c r="B25" i="5"/>
  <c r="B7" i="7" s="1"/>
  <c r="B26" i="5"/>
  <c r="B8" i="7" s="1"/>
  <c r="B27" i="5"/>
  <c r="B56" i="7" s="1"/>
  <c r="B28" i="5"/>
  <c r="B57" i="7" s="1"/>
  <c r="B29" i="5"/>
  <c r="B9" i="7" s="1"/>
  <c r="B30" i="5"/>
  <c r="B10" i="7" s="1"/>
  <c r="B31" i="5"/>
  <c r="B11" i="7" s="1"/>
  <c r="B32" i="5"/>
  <c r="B201" i="7" s="1"/>
  <c r="B33" i="5"/>
  <c r="B58" i="7" s="1"/>
  <c r="B34" i="5"/>
  <c r="B202" i="7" s="1"/>
  <c r="B35" i="5"/>
  <c r="B59" i="7" s="1"/>
  <c r="B36" i="5"/>
  <c r="B12" i="7" s="1"/>
  <c r="B37" i="5"/>
  <c r="B60" i="7" s="1"/>
  <c r="B38" i="5"/>
  <c r="B61" i="7" s="1"/>
  <c r="B39" i="5"/>
  <c r="B13" i="7" s="1"/>
  <c r="B40" i="5"/>
  <c r="B203" i="7" s="1"/>
  <c r="B41" i="5"/>
  <c r="B62" i="7" s="1"/>
  <c r="B42" i="5"/>
  <c r="B204" i="7" s="1"/>
  <c r="B43" i="5"/>
  <c r="B14" i="7" s="1"/>
  <c r="B44" i="5"/>
  <c r="B205" i="7" s="1"/>
  <c r="B45" i="5"/>
  <c r="B63" i="7" s="1"/>
  <c r="B46" i="5"/>
  <c r="B206" i="7" s="1"/>
  <c r="B47" i="5"/>
  <c r="B207" i="7" s="1"/>
  <c r="B48" i="5"/>
  <c r="B15" i="7" s="1"/>
  <c r="B49" i="5"/>
  <c r="B64" i="7" s="1"/>
  <c r="B50" i="5"/>
  <c r="B208" i="7" s="1"/>
  <c r="B51" i="5"/>
  <c r="B65" i="7" s="1"/>
  <c r="B52" i="5"/>
  <c r="B209" i="7" s="1"/>
  <c r="B53" i="5"/>
  <c r="B210" i="7" s="1"/>
  <c r="B54" i="5"/>
  <c r="B211" i="7" s="1"/>
  <c r="B55" i="5"/>
  <c r="B212" i="7" s="1"/>
  <c r="B56" i="5"/>
  <c r="B16" i="7" s="1"/>
  <c r="B57" i="5"/>
  <c r="B213" i="7" s="1"/>
  <c r="B58" i="5"/>
  <c r="B214" i="7" s="1"/>
  <c r="B59" i="5"/>
  <c r="B66" i="7" s="1"/>
  <c r="B60" i="5"/>
  <c r="B67" i="7" s="1"/>
  <c r="B61" i="5"/>
  <c r="B215" i="7" s="1"/>
  <c r="B62" i="5"/>
  <c r="B216" i="7" s="1"/>
  <c r="B63" i="5"/>
  <c r="B68" i="7" s="1"/>
  <c r="B64" i="5"/>
  <c r="B217" i="7" s="1"/>
  <c r="B65" i="5"/>
  <c r="B218" i="7" s="1"/>
  <c r="B66" i="5"/>
  <c r="B69" i="7" s="1"/>
  <c r="B67" i="5"/>
  <c r="B70" i="7" s="1"/>
  <c r="B68" i="5"/>
  <c r="B71" i="7" s="1"/>
  <c r="B69" i="5"/>
  <c r="B219" i="7" s="1"/>
  <c r="B70" i="5"/>
  <c r="B72" i="7" s="1"/>
  <c r="B71" i="5"/>
  <c r="B73" i="7" s="1"/>
  <c r="B72" i="5"/>
  <c r="B220" i="7" s="1"/>
  <c r="B73" i="5"/>
  <c r="B74" i="7" s="1"/>
  <c r="B74" i="5"/>
  <c r="B221" i="7" s="1"/>
  <c r="B75" i="5"/>
  <c r="B222" i="7" s="1"/>
  <c r="B76" i="5"/>
  <c r="B75" i="7" s="1"/>
  <c r="B77" i="5"/>
  <c r="B76" i="7" s="1"/>
  <c r="B78" i="5"/>
  <c r="B17" i="7" s="1"/>
  <c r="B79" i="5"/>
  <c r="B223" i="7" s="1"/>
  <c r="B80" i="5"/>
  <c r="B224" i="7" s="1"/>
  <c r="B81" i="5"/>
  <c r="B77" i="7" s="1"/>
  <c r="B82" i="5"/>
  <c r="B225" i="7" s="1"/>
  <c r="B83" i="5"/>
  <c r="B18" i="7" s="1"/>
  <c r="B84" i="5"/>
  <c r="B226" i="7" s="1"/>
  <c r="B85" i="5"/>
  <c r="B227" i="7" s="1"/>
  <c r="B86" i="5"/>
  <c r="B19" i="7" s="1"/>
  <c r="B87" i="5"/>
  <c r="B78" i="7" s="1"/>
  <c r="B88" i="5"/>
  <c r="B79" i="7" s="1"/>
  <c r="B89" i="5"/>
  <c r="B80" i="7" s="1"/>
  <c r="B90" i="5"/>
  <c r="B228" i="7" s="1"/>
  <c r="B91" i="5"/>
  <c r="B81" i="7" s="1"/>
  <c r="B92" i="5"/>
  <c r="B229" i="7" s="1"/>
  <c r="B93" i="5"/>
  <c r="B230" i="7" s="1"/>
  <c r="B94" i="5"/>
  <c r="B231" i="7" s="1"/>
  <c r="B95" i="5"/>
  <c r="B232" i="7" s="1"/>
  <c r="B96" i="5"/>
  <c r="B82" i="7" s="1"/>
  <c r="B97" i="5"/>
  <c r="B233" i="7" s="1"/>
  <c r="B98" i="5"/>
  <c r="B234" i="7" s="1"/>
  <c r="B99" i="5"/>
  <c r="B83" i="7" s="1"/>
  <c r="B100" i="5"/>
  <c r="B235" i="7" s="1"/>
  <c r="B101" i="5"/>
  <c r="B84" i="7" s="1"/>
  <c r="B102" i="5"/>
  <c r="B236" i="7" s="1"/>
  <c r="B103" i="5"/>
  <c r="B20" i="7" s="1"/>
  <c r="B104" i="5"/>
  <c r="B237" i="7" s="1"/>
  <c r="B105" i="5"/>
  <c r="B238" i="7" s="1"/>
  <c r="B106" i="5"/>
  <c r="B239" i="7" s="1"/>
  <c r="B107" i="5"/>
  <c r="B85" i="7" s="1"/>
  <c r="B108" i="5"/>
  <c r="B86" i="7" s="1"/>
  <c r="B109" i="5"/>
  <c r="B240" i="7" s="1"/>
  <c r="B110" i="5"/>
  <c r="B241" i="7" s="1"/>
  <c r="B111" i="5"/>
  <c r="B242" i="7" s="1"/>
  <c r="B112" i="5"/>
  <c r="B87" i="7" s="1"/>
  <c r="B113" i="5"/>
  <c r="B243" i="7" s="1"/>
  <c r="B114" i="5"/>
  <c r="B244" i="7" s="1"/>
  <c r="B115" i="5"/>
  <c r="B245" i="7" s="1"/>
  <c r="B116" i="5"/>
  <c r="B88" i="7" s="1"/>
  <c r="B117" i="5"/>
  <c r="B246" i="7" s="1"/>
  <c r="B118" i="5"/>
  <c r="B89" i="7" s="1"/>
  <c r="B119" i="5"/>
  <c r="B247" i="7" s="1"/>
  <c r="B120" i="5"/>
  <c r="B248" i="7" s="1"/>
  <c r="B121" i="5"/>
  <c r="B249" i="7" s="1"/>
  <c r="B122" i="5"/>
  <c r="B90" i="7" s="1"/>
  <c r="B123" i="5"/>
  <c r="B250" i="7" s="1"/>
  <c r="B124" i="5"/>
  <c r="B251" i="7" s="1"/>
  <c r="B125" i="5"/>
  <c r="B252" i="7" s="1"/>
  <c r="B126" i="5"/>
  <c r="B253" i="7" s="1"/>
  <c r="B127" i="5"/>
  <c r="B91" i="7" s="1"/>
  <c r="B128" i="5"/>
  <c r="B254" i="7" s="1"/>
  <c r="B129" i="5"/>
  <c r="B255" i="7" s="1"/>
  <c r="B130" i="5"/>
  <c r="B256" i="7" s="1"/>
  <c r="B131" i="5"/>
  <c r="B92" i="7" s="1"/>
  <c r="B132" i="5"/>
  <c r="B93" i="7" s="1"/>
  <c r="B133" i="5"/>
  <c r="B257" i="7" s="1"/>
  <c r="B134" i="5"/>
  <c r="B258" i="7" s="1"/>
  <c r="B135" i="5"/>
  <c r="B94" i="7" s="1"/>
  <c r="B136" i="5"/>
  <c r="B95" i="7" s="1"/>
  <c r="B137" i="5"/>
  <c r="B259" i="7" s="1"/>
  <c r="B138" i="5"/>
  <c r="B96" i="7" s="1"/>
  <c r="B139" i="5"/>
  <c r="B260" i="7" s="1"/>
  <c r="B140" i="5"/>
  <c r="B261" i="7" s="1"/>
  <c r="B141" i="5"/>
  <c r="B97" i="7" s="1"/>
  <c r="B142" i="5"/>
  <c r="B262" i="7" s="1"/>
  <c r="B143" i="5"/>
  <c r="B263" i="7" s="1"/>
  <c r="B144" i="5"/>
  <c r="B264" i="7" s="1"/>
  <c r="B145" i="5"/>
  <c r="B265" i="7" s="1"/>
  <c r="B146" i="5"/>
  <c r="B98" i="7" s="1"/>
  <c r="B147" i="5"/>
  <c r="B99" i="7" s="1"/>
  <c r="B148" i="5"/>
  <c r="B21" i="7" s="1"/>
  <c r="B149" i="5"/>
  <c r="B100" i="7" s="1"/>
  <c r="B150" i="5"/>
  <c r="B266" i="7" s="1"/>
  <c r="B151" i="5"/>
  <c r="B22" i="7" s="1"/>
  <c r="B152" i="5"/>
  <c r="B101" i="7" s="1"/>
  <c r="B153" i="5"/>
  <c r="B267" i="7" s="1"/>
  <c r="B154" i="5"/>
  <c r="B268" i="7" s="1"/>
  <c r="B155" i="5"/>
  <c r="B23" i="7" s="1"/>
  <c r="B156" i="5"/>
  <c r="B102" i="7" s="1"/>
  <c r="B157" i="5"/>
  <c r="B24" i="7" s="1"/>
  <c r="B158" i="5"/>
  <c r="B269" i="7" s="1"/>
  <c r="B159" i="5"/>
  <c r="B270" i="7" s="1"/>
  <c r="B160" i="5"/>
  <c r="B271" i="7" s="1"/>
  <c r="B161" i="5"/>
  <c r="B103" i="7" s="1"/>
  <c r="B162" i="5"/>
  <c r="B272" i="7" s="1"/>
  <c r="B163" i="5"/>
  <c r="B104" i="7" s="1"/>
  <c r="B164" i="5"/>
  <c r="B273" i="7" s="1"/>
  <c r="B165" i="5"/>
  <c r="B274" i="7" s="1"/>
  <c r="B166" i="5"/>
  <c r="B275" i="7" s="1"/>
  <c r="B167" i="5"/>
  <c r="B105" i="7" s="1"/>
  <c r="B168" i="5"/>
  <c r="B106" i="7" s="1"/>
  <c r="B169" i="5"/>
  <c r="B276" i="7" s="1"/>
  <c r="B170" i="5"/>
  <c r="B25" i="7" s="1"/>
  <c r="B171" i="5"/>
  <c r="B277" i="7" s="1"/>
  <c r="B172" i="5"/>
  <c r="B278" i="7" s="1"/>
  <c r="B173" i="5"/>
  <c r="B279" i="7" s="1"/>
  <c r="B174" i="5"/>
  <c r="B107" i="7" s="1"/>
  <c r="B175" i="5"/>
  <c r="B280" i="7" s="1"/>
  <c r="B176" i="5"/>
  <c r="B108" i="7" s="1"/>
  <c r="B177" i="5"/>
  <c r="B109" i="7" s="1"/>
  <c r="B178" i="5"/>
  <c r="B281" i="7" s="1"/>
  <c r="B179" i="5"/>
  <c r="B282" i="7" s="1"/>
  <c r="B180" i="5"/>
  <c r="B283" i="7" s="1"/>
  <c r="B181" i="5"/>
  <c r="B284" i="7" s="1"/>
  <c r="B182" i="5"/>
  <c r="B285" i="7" s="1"/>
  <c r="B183" i="5"/>
  <c r="B110" i="7" s="1"/>
  <c r="B184" i="5"/>
  <c r="B286" i="7" s="1"/>
  <c r="B185" i="5"/>
  <c r="B287" i="7" s="1"/>
  <c r="B186" i="5"/>
  <c r="B288" i="7" s="1"/>
  <c r="B187" i="5"/>
  <c r="B111" i="7" s="1"/>
  <c r="B188" i="5"/>
  <c r="B289" i="7" s="1"/>
  <c r="B189" i="5"/>
  <c r="B290" i="7" s="1"/>
  <c r="B190" i="5"/>
  <c r="B291" i="7" s="1"/>
  <c r="B191" i="5"/>
  <c r="B112" i="7" s="1"/>
  <c r="B192" i="5"/>
  <c r="B292" i="7" s="1"/>
  <c r="B193" i="5"/>
  <c r="B113" i="7" s="1"/>
  <c r="B194" i="5"/>
  <c r="B114" i="7" s="1"/>
  <c r="B195" i="5"/>
  <c r="B293" i="7" s="1"/>
  <c r="B196" i="5"/>
  <c r="B115" i="7" s="1"/>
  <c r="B197" i="5"/>
  <c r="B294" i="7" s="1"/>
  <c r="B198" i="5"/>
  <c r="B295" i="7" s="1"/>
  <c r="B199" i="5"/>
  <c r="B296" i="7" s="1"/>
  <c r="B200" i="5"/>
  <c r="B297" i="7" s="1"/>
  <c r="B201" i="5"/>
  <c r="B298" i="7" s="1"/>
  <c r="B202" i="5"/>
  <c r="B299" i="7" s="1"/>
  <c r="B203" i="5"/>
  <c r="B300" i="7" s="1"/>
  <c r="B204" i="5"/>
  <c r="B116" i="7" s="1"/>
  <c r="B205" i="5"/>
  <c r="B117" i="7" s="1"/>
  <c r="B206" i="5"/>
  <c r="B118" i="7" s="1"/>
  <c r="B207" i="5"/>
  <c r="B301" i="7" s="1"/>
  <c r="B208" i="5"/>
  <c r="B26" i="7" s="1"/>
  <c r="B209" i="5"/>
  <c r="B302" i="7" s="1"/>
  <c r="B210" i="5"/>
  <c r="B119" i="7" s="1"/>
  <c r="B211" i="5"/>
  <c r="B303" i="7" s="1"/>
  <c r="B212" i="5"/>
  <c r="B304" i="7" s="1"/>
  <c r="B213" i="5"/>
  <c r="B120" i="7" s="1"/>
  <c r="B214" i="5"/>
  <c r="B121" i="7" s="1"/>
  <c r="B215" i="5"/>
  <c r="B27" i="7" s="1"/>
  <c r="B216" i="5"/>
  <c r="B305" i="7" s="1"/>
  <c r="B217" i="5"/>
  <c r="B122" i="7" s="1"/>
  <c r="B218" i="5"/>
  <c r="B28" i="7" s="1"/>
  <c r="B219" i="5"/>
  <c r="B306" i="7" s="1"/>
  <c r="B220" i="5"/>
  <c r="B123" i="7" s="1"/>
  <c r="B221" i="5"/>
  <c r="B307" i="7" s="1"/>
  <c r="B222" i="5"/>
  <c r="B308" i="7" s="1"/>
  <c r="B223" i="5"/>
  <c r="B309" i="7" s="1"/>
  <c r="B224" i="5"/>
  <c r="B124" i="7" s="1"/>
  <c r="B225" i="5"/>
  <c r="B310" i="7" s="1"/>
  <c r="B226" i="5"/>
  <c r="B125" i="7" s="1"/>
  <c r="B227" i="5"/>
  <c r="B311" i="7" s="1"/>
  <c r="B228" i="5"/>
  <c r="B126" i="7" s="1"/>
  <c r="B229" i="5"/>
  <c r="B312" i="7" s="1"/>
  <c r="B230" i="5"/>
  <c r="B29" i="7" s="1"/>
  <c r="B231" i="5"/>
  <c r="B127" i="7" s="1"/>
  <c r="B232" i="5"/>
  <c r="B128" i="7" s="1"/>
  <c r="B233" i="5"/>
  <c r="B313" i="7" s="1"/>
  <c r="B234" i="5"/>
  <c r="B129" i="7" s="1"/>
  <c r="B235" i="5"/>
  <c r="B314" i="7" s="1"/>
  <c r="B236" i="5"/>
  <c r="B315" i="7" s="1"/>
  <c r="B237" i="5"/>
  <c r="B316" i="7" s="1"/>
  <c r="B238" i="5"/>
  <c r="B30" i="7" s="1"/>
  <c r="B239" i="5"/>
  <c r="B31" i="7" s="1"/>
  <c r="B240" i="5"/>
  <c r="B130" i="7" s="1"/>
  <c r="B241" i="5"/>
  <c r="B317" i="7" s="1"/>
  <c r="B242" i="5"/>
  <c r="B32" i="7" s="1"/>
  <c r="B243" i="5"/>
  <c r="B318" i="7" s="1"/>
  <c r="B244" i="5"/>
  <c r="B319" i="7" s="1"/>
  <c r="B245" i="5"/>
  <c r="B131" i="7" s="1"/>
  <c r="B246" i="5"/>
  <c r="B320" i="7" s="1"/>
  <c r="B247" i="5"/>
  <c r="B132" i="7" s="1"/>
  <c r="B248" i="5"/>
  <c r="B321" i="7" s="1"/>
  <c r="B249" i="5"/>
  <c r="B133" i="7" s="1"/>
  <c r="B250" i="5"/>
  <c r="B322" i="7" s="1"/>
  <c r="B251" i="5"/>
  <c r="B134" i="7" s="1"/>
  <c r="B252" i="5"/>
  <c r="B33" i="7" s="1"/>
  <c r="B253" i="5"/>
  <c r="B135" i="7" s="1"/>
  <c r="B254" i="5"/>
  <c r="B136" i="7" s="1"/>
  <c r="B255" i="5"/>
  <c r="B323" i="7" s="1"/>
  <c r="B256" i="5"/>
  <c r="B137" i="7" s="1"/>
  <c r="B257" i="5"/>
  <c r="B324" i="7" s="1"/>
  <c r="B258" i="5"/>
  <c r="B138" i="7" s="1"/>
  <c r="B259" i="5"/>
  <c r="B325" i="7" s="1"/>
  <c r="B260" i="5"/>
  <c r="B139" i="7" s="1"/>
  <c r="B261" i="5"/>
  <c r="B326" i="7" s="1"/>
  <c r="B262" i="5"/>
  <c r="B140" i="7" s="1"/>
  <c r="B263" i="5"/>
  <c r="B327" i="7" s="1"/>
  <c r="B264" i="5"/>
  <c r="B328" i="7" s="1"/>
  <c r="B265" i="5"/>
  <c r="B34" i="7" s="1"/>
  <c r="B266" i="5"/>
  <c r="B35" i="7" s="1"/>
  <c r="B267" i="5"/>
  <c r="B329" i="7" s="1"/>
  <c r="B268" i="5"/>
  <c r="B141" i="7" s="1"/>
  <c r="B269" i="5"/>
  <c r="B330" i="7" s="1"/>
  <c r="B270" i="5"/>
  <c r="B331" i="7" s="1"/>
  <c r="B271" i="5"/>
  <c r="B332" i="7" s="1"/>
  <c r="B272" i="5"/>
  <c r="B142" i="7" s="1"/>
  <c r="B273" i="5"/>
  <c r="B143" i="7" s="1"/>
  <c r="B274" i="5"/>
  <c r="B144" i="7" s="1"/>
  <c r="B275" i="5"/>
  <c r="B333" i="7" s="1"/>
  <c r="B276" i="5"/>
  <c r="B145" i="7" s="1"/>
  <c r="B277" i="5"/>
  <c r="B334" i="7" s="1"/>
  <c r="B278" i="5"/>
  <c r="B146" i="7" s="1"/>
  <c r="B279" i="5"/>
  <c r="B147" i="7" s="1"/>
  <c r="B280" i="5"/>
  <c r="B335" i="7" s="1"/>
  <c r="B281" i="5"/>
  <c r="B336" i="7" s="1"/>
  <c r="B282" i="5"/>
  <c r="B337" i="7" s="1"/>
  <c r="B283" i="5"/>
  <c r="B36" i="7" s="1"/>
  <c r="B284" i="5"/>
  <c r="B338" i="7" s="1"/>
  <c r="B285" i="5"/>
  <c r="B339" i="7" s="1"/>
  <c r="B286" i="5"/>
  <c r="B37" i="7" s="1"/>
  <c r="B287" i="5"/>
  <c r="B340" i="7" s="1"/>
  <c r="B288" i="5"/>
  <c r="B148" i="7" s="1"/>
  <c r="B289" i="5"/>
  <c r="B341" i="7" s="1"/>
  <c r="B290" i="5"/>
  <c r="B149" i="7" s="1"/>
  <c r="B291" i="5"/>
  <c r="B150" i="7" s="1"/>
  <c r="B292" i="5"/>
  <c r="B342" i="7" s="1"/>
  <c r="B293" i="5"/>
  <c r="B343" i="7" s="1"/>
  <c r="B294" i="5"/>
  <c r="B344" i="7" s="1"/>
  <c r="B295" i="5"/>
  <c r="B38" i="7" s="1"/>
  <c r="B296" i="5"/>
  <c r="B151" i="7" s="1"/>
  <c r="B297" i="5"/>
  <c r="B39" i="7" s="1"/>
  <c r="B298" i="5"/>
  <c r="B345" i="7" s="1"/>
  <c r="B299" i="5"/>
  <c r="B346" i="7" s="1"/>
  <c r="B300" i="5"/>
  <c r="B347" i="7" s="1"/>
  <c r="B301" i="5"/>
  <c r="B348" i="7" s="1"/>
  <c r="B302" i="5"/>
  <c r="B152" i="7" s="1"/>
  <c r="B303" i="5"/>
  <c r="B153" i="7" s="1"/>
  <c r="B304" i="5"/>
  <c r="B349" i="7" s="1"/>
  <c r="B305" i="5"/>
  <c r="B40" i="7" s="1"/>
  <c r="B306" i="5"/>
  <c r="B350" i="7" s="1"/>
  <c r="B307" i="5"/>
  <c r="B154" i="7" s="1"/>
  <c r="B308" i="5"/>
  <c r="B351" i="7" s="1"/>
  <c r="B309" i="5"/>
  <c r="B352" i="7" s="1"/>
  <c r="B310" i="5"/>
  <c r="B155" i="7" s="1"/>
  <c r="B311" i="5"/>
  <c r="B353" i="7" s="1"/>
  <c r="B312" i="5"/>
  <c r="B156" i="7" s="1"/>
  <c r="B313" i="5"/>
  <c r="B157" i="7" s="1"/>
  <c r="B314" i="5"/>
  <c r="B354" i="7" s="1"/>
  <c r="B315" i="5"/>
  <c r="B41" i="7" s="1"/>
  <c r="B316" i="5"/>
  <c r="B42" i="7" s="1"/>
  <c r="B317" i="5"/>
  <c r="B158" i="7" s="1"/>
  <c r="B318" i="5"/>
  <c r="B355" i="7" s="1"/>
  <c r="B319" i="5"/>
  <c r="B159" i="7" s="1"/>
  <c r="B320" i="5"/>
  <c r="B160" i="7" s="1"/>
  <c r="B321" i="5"/>
  <c r="B161" i="7" s="1"/>
  <c r="B322" i="5"/>
  <c r="B162" i="7" s="1"/>
  <c r="B323" i="5"/>
  <c r="B356" i="7" s="1"/>
  <c r="B324" i="5"/>
  <c r="B163" i="7" s="1"/>
  <c r="B325" i="5"/>
  <c r="B43" i="7" s="1"/>
  <c r="B326" i="5"/>
  <c r="B357" i="7" s="1"/>
  <c r="B327" i="5"/>
  <c r="B358" i="7" s="1"/>
  <c r="B328" i="5"/>
  <c r="B359" i="7" s="1"/>
  <c r="B329" i="5"/>
  <c r="B360" i="7" s="1"/>
  <c r="B330" i="5"/>
  <c r="B361" i="7" s="1"/>
  <c r="B331" i="5"/>
  <c r="B164" i="7" s="1"/>
  <c r="B332" i="5"/>
  <c r="B362" i="7" s="1"/>
  <c r="B333" i="5"/>
  <c r="B165" i="7" s="1"/>
  <c r="B334" i="5"/>
  <c r="B363" i="7" s="1"/>
  <c r="B335" i="5"/>
  <c r="B364" i="7" s="1"/>
  <c r="B336" i="5"/>
  <c r="B166" i="7" s="1"/>
  <c r="B337" i="5"/>
  <c r="B365" i="7" s="1"/>
  <c r="B338" i="5"/>
  <c r="B167" i="7" s="1"/>
  <c r="B339" i="5"/>
  <c r="B366" i="7" s="1"/>
  <c r="B340" i="5"/>
  <c r="B44" i="7" s="1"/>
  <c r="B341" i="5"/>
  <c r="B45" i="7" s="1"/>
  <c r="B342" i="5"/>
  <c r="B168" i="7" s="1"/>
  <c r="B343" i="5"/>
  <c r="B367" i="7" s="1"/>
  <c r="B344" i="5"/>
  <c r="B368" i="7" s="1"/>
  <c r="B345" i="5"/>
  <c r="B369" i="7" s="1"/>
  <c r="B346" i="5"/>
  <c r="B169" i="7" s="1"/>
  <c r="B347" i="5"/>
  <c r="B170" i="7" s="1"/>
  <c r="B348" i="5"/>
  <c r="B370" i="7" s="1"/>
  <c r="B349" i="5"/>
  <c r="B371" i="7" s="1"/>
  <c r="B350" i="5"/>
  <c r="B171" i="7" s="1"/>
  <c r="B351" i="5"/>
  <c r="B372" i="7" s="1"/>
  <c r="B352" i="5"/>
  <c r="B373" i="7" s="1"/>
  <c r="B353" i="5"/>
  <c r="B46" i="7" s="1"/>
  <c r="B354" i="5"/>
  <c r="B374" i="7" s="1"/>
  <c r="B355" i="5"/>
  <c r="B172" i="7" s="1"/>
  <c r="B356" i="5"/>
  <c r="B375" i="7" s="1"/>
  <c r="B357" i="5"/>
  <c r="B376" i="7" s="1"/>
  <c r="B358" i="5"/>
  <c r="B377" i="7" s="1"/>
  <c r="B359" i="5"/>
  <c r="B173" i="7" s="1"/>
  <c r="B360" i="5"/>
  <c r="B378" i="7" s="1"/>
  <c r="B361" i="5"/>
  <c r="B379" i="7" s="1"/>
  <c r="B362" i="5"/>
  <c r="B174" i="7" s="1"/>
  <c r="B363" i="5"/>
  <c r="B175" i="7" s="1"/>
  <c r="B364" i="5"/>
  <c r="B176" i="7" s="1"/>
  <c r="B365" i="5"/>
  <c r="B380" i="7" s="1"/>
  <c r="B366" i="5"/>
  <c r="B381" i="7" s="1"/>
  <c r="B367" i="5"/>
  <c r="B382" i="7" s="1"/>
  <c r="B368" i="5"/>
  <c r="B383" i="7" s="1"/>
  <c r="B369" i="5"/>
  <c r="B384" i="7" s="1"/>
  <c r="B370" i="5"/>
  <c r="B385" i="7" s="1"/>
  <c r="B371" i="5"/>
  <c r="B386" i="7" s="1"/>
  <c r="B372" i="5"/>
  <c r="B387" i="7" s="1"/>
  <c r="B373" i="5"/>
  <c r="B177" i="7" s="1"/>
  <c r="B374" i="5"/>
  <c r="B178" i="7" s="1"/>
  <c r="B375" i="5"/>
  <c r="B179" i="7" s="1"/>
  <c r="B376" i="5"/>
  <c r="B47" i="7" s="1"/>
  <c r="B377" i="5"/>
  <c r="B48" i="7" s="1"/>
  <c r="B378" i="5"/>
  <c r="B180" i="7" s="1"/>
  <c r="B379" i="5"/>
  <c r="B388" i="7" s="1"/>
  <c r="B380" i="5"/>
  <c r="B389" i="7" s="1"/>
  <c r="B381" i="5"/>
  <c r="B181" i="7" s="1"/>
  <c r="B382" i="5"/>
  <c r="B182" i="7" s="1"/>
  <c r="B383" i="5"/>
  <c r="B390" i="7" s="1"/>
  <c r="B384" i="5"/>
  <c r="B183" i="7" s="1"/>
  <c r="B385" i="5"/>
  <c r="B391" i="7" s="1"/>
  <c r="B386" i="5"/>
  <c r="B392" i="7" s="1"/>
  <c r="B387" i="5"/>
  <c r="B393" i="7" s="1"/>
  <c r="B388" i="5"/>
  <c r="B394" i="7" s="1"/>
  <c r="B389" i="5"/>
  <c r="B184" i="7" s="1"/>
  <c r="B390" i="5"/>
  <c r="B395" i="7" s="1"/>
  <c r="B391" i="5"/>
  <c r="B185" i="7" s="1"/>
  <c r="B392" i="5"/>
  <c r="B396" i="7" s="1"/>
  <c r="B393" i="5"/>
  <c r="B49" i="7" s="1"/>
  <c r="B394" i="5"/>
  <c r="B397" i="7" s="1"/>
  <c r="B395" i="5"/>
  <c r="B398" i="7" s="1"/>
  <c r="B396" i="5"/>
  <c r="B186" i="7" s="1"/>
  <c r="B397" i="5"/>
  <c r="B399" i="7" s="1"/>
  <c r="B398" i="5"/>
  <c r="B400" i="7" s="1"/>
  <c r="B399" i="5"/>
  <c r="B401" i="7" s="1"/>
  <c r="B400" i="5"/>
  <c r="B187" i="7" s="1"/>
  <c r="B401" i="5"/>
  <c r="B402" i="7" s="1"/>
  <c r="B402" i="5"/>
  <c r="B403" i="7" s="1"/>
  <c r="F4" i="5"/>
  <c r="F5" i="5"/>
  <c r="G5" i="5" s="1"/>
  <c r="E190" i="7" s="1"/>
  <c r="F6" i="5"/>
  <c r="G6" i="5" s="1"/>
  <c r="E4" i="7" s="1"/>
  <c r="F7" i="5"/>
  <c r="G7" i="5" s="1"/>
  <c r="E50" i="7" s="1"/>
  <c r="F8" i="5"/>
  <c r="G8" i="5" s="1"/>
  <c r="E51" i="7" s="1"/>
  <c r="F9" i="5"/>
  <c r="G9" i="5" s="1"/>
  <c r="E5" i="7" s="1"/>
  <c r="F10" i="5"/>
  <c r="G10" i="5" s="1"/>
  <c r="E191" i="7" s="1"/>
  <c r="F11" i="5"/>
  <c r="G11" i="5" s="1"/>
  <c r="E192" i="7" s="1"/>
  <c r="F12" i="5"/>
  <c r="G12" i="5" s="1"/>
  <c r="E52" i="7" s="1"/>
  <c r="G13" i="5"/>
  <c r="E53" i="7" s="1"/>
  <c r="F14" i="5"/>
  <c r="G14" i="5" s="1"/>
  <c r="E54" i="7" s="1"/>
  <c r="F15" i="5"/>
  <c r="G15" i="5" s="1"/>
  <c r="E193" i="7" s="1"/>
  <c r="F16" i="5"/>
  <c r="G16" i="5" s="1"/>
  <c r="E194" i="7" s="1"/>
  <c r="F17" i="5"/>
  <c r="G17" i="5" s="1"/>
  <c r="E195" i="7" s="1"/>
  <c r="F18" i="5"/>
  <c r="G18" i="5" s="1"/>
  <c r="E196" i="7" s="1"/>
  <c r="F19" i="5"/>
  <c r="G19" i="5" s="1"/>
  <c r="E6" i="7" s="1"/>
  <c r="F20" i="5"/>
  <c r="G20" i="5" s="1"/>
  <c r="E197" i="7" s="1"/>
  <c r="F21" i="5"/>
  <c r="G21" i="5" s="1"/>
  <c r="E55" i="7" s="1"/>
  <c r="F22" i="5"/>
  <c r="G22" i="5" s="1"/>
  <c r="E198" i="7" s="1"/>
  <c r="F23" i="5"/>
  <c r="G23" i="5" s="1"/>
  <c r="E199" i="7" s="1"/>
  <c r="F24" i="5"/>
  <c r="G24" i="5" s="1"/>
  <c r="E200" i="7" s="1"/>
  <c r="F25" i="5"/>
  <c r="G25" i="5" s="1"/>
  <c r="E7" i="7" s="1"/>
  <c r="F26" i="5"/>
  <c r="G26" i="5" s="1"/>
  <c r="E8" i="7" s="1"/>
  <c r="F27" i="5"/>
  <c r="G27" i="5" s="1"/>
  <c r="E56" i="7" s="1"/>
  <c r="F28" i="5"/>
  <c r="G28" i="5" s="1"/>
  <c r="E57" i="7" s="1"/>
  <c r="F29" i="5"/>
  <c r="G29" i="5" s="1"/>
  <c r="E9" i="7" s="1"/>
  <c r="F30" i="5"/>
  <c r="G30" i="5" s="1"/>
  <c r="E10" i="7" s="1"/>
  <c r="F31" i="5"/>
  <c r="G31" i="5" s="1"/>
  <c r="E11" i="7" s="1"/>
  <c r="F32" i="5"/>
  <c r="G32" i="5" s="1"/>
  <c r="E201" i="7" s="1"/>
  <c r="F33" i="5"/>
  <c r="G33" i="5" s="1"/>
  <c r="E58" i="7" s="1"/>
  <c r="F34" i="5"/>
  <c r="G34" i="5" s="1"/>
  <c r="E202" i="7" s="1"/>
  <c r="F35" i="5"/>
  <c r="G35" i="5" s="1"/>
  <c r="E59" i="7" s="1"/>
  <c r="F36" i="5"/>
  <c r="G36" i="5" s="1"/>
  <c r="E12" i="7" s="1"/>
  <c r="F37" i="5"/>
  <c r="G37" i="5" s="1"/>
  <c r="E60" i="7" s="1"/>
  <c r="F38" i="5"/>
  <c r="G38" i="5" s="1"/>
  <c r="E61" i="7" s="1"/>
  <c r="F39" i="5"/>
  <c r="G39" i="5" s="1"/>
  <c r="E13" i="7" s="1"/>
  <c r="F40" i="5"/>
  <c r="G40" i="5" s="1"/>
  <c r="E203" i="7" s="1"/>
  <c r="F41" i="5"/>
  <c r="G41" i="5" s="1"/>
  <c r="E62" i="7" s="1"/>
  <c r="F42" i="5"/>
  <c r="G42" i="5" s="1"/>
  <c r="E204" i="7" s="1"/>
  <c r="F43" i="5"/>
  <c r="G43" i="5" s="1"/>
  <c r="E14" i="7" s="1"/>
  <c r="F44" i="5"/>
  <c r="G44" i="5" s="1"/>
  <c r="E205" i="7" s="1"/>
  <c r="F45" i="5"/>
  <c r="G45" i="5" s="1"/>
  <c r="E63" i="7" s="1"/>
  <c r="F46" i="5"/>
  <c r="G46" i="5" s="1"/>
  <c r="E206" i="7" s="1"/>
  <c r="F47" i="5"/>
  <c r="G47" i="5" s="1"/>
  <c r="E207" i="7" s="1"/>
  <c r="F48" i="5"/>
  <c r="G48" i="5" s="1"/>
  <c r="E15" i="7" s="1"/>
  <c r="F49" i="5"/>
  <c r="G49" i="5" s="1"/>
  <c r="E64" i="7" s="1"/>
  <c r="F50" i="5"/>
  <c r="G50" i="5" s="1"/>
  <c r="E208" i="7" s="1"/>
  <c r="F51" i="5"/>
  <c r="G51" i="5" s="1"/>
  <c r="E65" i="7" s="1"/>
  <c r="F52" i="5"/>
  <c r="G52" i="5" s="1"/>
  <c r="E209" i="7" s="1"/>
  <c r="F53" i="5"/>
  <c r="G53" i="5" s="1"/>
  <c r="E210" i="7" s="1"/>
  <c r="F54" i="5"/>
  <c r="G54" i="5" s="1"/>
  <c r="E211" i="7" s="1"/>
  <c r="F55" i="5"/>
  <c r="G55" i="5" s="1"/>
  <c r="E212" i="7" s="1"/>
  <c r="F56" i="5"/>
  <c r="G56" i="5" s="1"/>
  <c r="E16" i="7" s="1"/>
  <c r="F57" i="5"/>
  <c r="G57" i="5" s="1"/>
  <c r="E213" i="7" s="1"/>
  <c r="F58" i="5"/>
  <c r="G58" i="5" s="1"/>
  <c r="E214" i="7" s="1"/>
  <c r="F59" i="5"/>
  <c r="G59" i="5" s="1"/>
  <c r="E66" i="7" s="1"/>
  <c r="F60" i="5"/>
  <c r="G60" i="5" s="1"/>
  <c r="E67" i="7" s="1"/>
  <c r="F61" i="5"/>
  <c r="G61" i="5" s="1"/>
  <c r="E215" i="7" s="1"/>
  <c r="F62" i="5"/>
  <c r="G62" i="5" s="1"/>
  <c r="E216" i="7" s="1"/>
  <c r="F63" i="5"/>
  <c r="G63" i="5" s="1"/>
  <c r="E68" i="7" s="1"/>
  <c r="F64" i="5"/>
  <c r="G64" i="5" s="1"/>
  <c r="E217" i="7" s="1"/>
  <c r="F65" i="5"/>
  <c r="G65" i="5" s="1"/>
  <c r="E218" i="7" s="1"/>
  <c r="F66" i="5"/>
  <c r="G66" i="5" s="1"/>
  <c r="E69" i="7" s="1"/>
  <c r="F67" i="5"/>
  <c r="G67" i="5" s="1"/>
  <c r="E70" i="7" s="1"/>
  <c r="F68" i="5"/>
  <c r="G68" i="5" s="1"/>
  <c r="E71" i="7" s="1"/>
  <c r="F69" i="5"/>
  <c r="G69" i="5" s="1"/>
  <c r="E219" i="7" s="1"/>
  <c r="F70" i="5"/>
  <c r="G70" i="5" s="1"/>
  <c r="E72" i="7" s="1"/>
  <c r="F71" i="5"/>
  <c r="G71" i="5" s="1"/>
  <c r="E73" i="7" s="1"/>
  <c r="F72" i="5"/>
  <c r="G72" i="5" s="1"/>
  <c r="E220" i="7" s="1"/>
  <c r="F73" i="5"/>
  <c r="G73" i="5" s="1"/>
  <c r="E74" i="7" s="1"/>
  <c r="F74" i="5"/>
  <c r="G74" i="5" s="1"/>
  <c r="E221" i="7" s="1"/>
  <c r="F75" i="5"/>
  <c r="G75" i="5" s="1"/>
  <c r="E222" i="7" s="1"/>
  <c r="F76" i="5"/>
  <c r="G76" i="5" s="1"/>
  <c r="E75" i="7" s="1"/>
  <c r="F77" i="5"/>
  <c r="G77" i="5" s="1"/>
  <c r="E76" i="7" s="1"/>
  <c r="F78" i="5"/>
  <c r="G78" i="5" s="1"/>
  <c r="E17" i="7" s="1"/>
  <c r="F79" i="5"/>
  <c r="G79" i="5" s="1"/>
  <c r="E223" i="7" s="1"/>
  <c r="F80" i="5"/>
  <c r="G80" i="5" s="1"/>
  <c r="E224" i="7" s="1"/>
  <c r="F81" i="5"/>
  <c r="G81" i="5" s="1"/>
  <c r="E77" i="7" s="1"/>
  <c r="F82" i="5"/>
  <c r="G82" i="5" s="1"/>
  <c r="E225" i="7" s="1"/>
  <c r="F83" i="5"/>
  <c r="G83" i="5" s="1"/>
  <c r="E18" i="7" s="1"/>
  <c r="F84" i="5"/>
  <c r="G84" i="5" s="1"/>
  <c r="E226" i="7" s="1"/>
  <c r="F85" i="5"/>
  <c r="G85" i="5" s="1"/>
  <c r="E227" i="7" s="1"/>
  <c r="F86" i="5"/>
  <c r="G86" i="5" s="1"/>
  <c r="E19" i="7" s="1"/>
  <c r="F87" i="5"/>
  <c r="G87" i="5" s="1"/>
  <c r="E78" i="7" s="1"/>
  <c r="F88" i="5"/>
  <c r="G88" i="5" s="1"/>
  <c r="E79" i="7" s="1"/>
  <c r="F89" i="5"/>
  <c r="G89" i="5" s="1"/>
  <c r="E80" i="7" s="1"/>
  <c r="F90" i="5"/>
  <c r="G90" i="5" s="1"/>
  <c r="E228" i="7" s="1"/>
  <c r="F91" i="5"/>
  <c r="G91" i="5" s="1"/>
  <c r="E81" i="7" s="1"/>
  <c r="F92" i="5"/>
  <c r="G92" i="5" s="1"/>
  <c r="E229" i="7" s="1"/>
  <c r="F93" i="5"/>
  <c r="G93" i="5" s="1"/>
  <c r="E230" i="7" s="1"/>
  <c r="F94" i="5"/>
  <c r="G94" i="5" s="1"/>
  <c r="E231" i="7" s="1"/>
  <c r="F95" i="5"/>
  <c r="G95" i="5" s="1"/>
  <c r="E232" i="7" s="1"/>
  <c r="F96" i="5"/>
  <c r="G96" i="5" s="1"/>
  <c r="E82" i="7" s="1"/>
  <c r="F97" i="5"/>
  <c r="G97" i="5" s="1"/>
  <c r="E233" i="7" s="1"/>
  <c r="F98" i="5"/>
  <c r="G98" i="5" s="1"/>
  <c r="E234" i="7" s="1"/>
  <c r="F99" i="5"/>
  <c r="G99" i="5" s="1"/>
  <c r="E83" i="7" s="1"/>
  <c r="F100" i="5"/>
  <c r="G100" i="5" s="1"/>
  <c r="E235" i="7" s="1"/>
  <c r="F101" i="5"/>
  <c r="G101" i="5" s="1"/>
  <c r="E84" i="7" s="1"/>
  <c r="F102" i="5"/>
  <c r="G102" i="5" s="1"/>
  <c r="E236" i="7" s="1"/>
  <c r="F103" i="5"/>
  <c r="G103" i="5" s="1"/>
  <c r="E20" i="7" s="1"/>
  <c r="F104" i="5"/>
  <c r="G104" i="5" s="1"/>
  <c r="E237" i="7" s="1"/>
  <c r="F105" i="5"/>
  <c r="G105" i="5" s="1"/>
  <c r="E238" i="7" s="1"/>
  <c r="F106" i="5"/>
  <c r="G106" i="5" s="1"/>
  <c r="E239" i="7" s="1"/>
  <c r="F107" i="5"/>
  <c r="G107" i="5" s="1"/>
  <c r="E85" i="7" s="1"/>
  <c r="F108" i="5"/>
  <c r="G108" i="5" s="1"/>
  <c r="E86" i="7" s="1"/>
  <c r="F109" i="5"/>
  <c r="G109" i="5" s="1"/>
  <c r="E240" i="7" s="1"/>
  <c r="F110" i="5"/>
  <c r="G110" i="5" s="1"/>
  <c r="E241" i="7" s="1"/>
  <c r="F111" i="5"/>
  <c r="G111" i="5" s="1"/>
  <c r="E242" i="7" s="1"/>
  <c r="F112" i="5"/>
  <c r="G112" i="5" s="1"/>
  <c r="E87" i="7" s="1"/>
  <c r="F113" i="5"/>
  <c r="G113" i="5" s="1"/>
  <c r="E243" i="7" s="1"/>
  <c r="F114" i="5"/>
  <c r="G114" i="5" s="1"/>
  <c r="E244" i="7" s="1"/>
  <c r="F115" i="5"/>
  <c r="G115" i="5" s="1"/>
  <c r="E245" i="7" s="1"/>
  <c r="F116" i="5"/>
  <c r="G116" i="5" s="1"/>
  <c r="E88" i="7" s="1"/>
  <c r="F117" i="5"/>
  <c r="G117" i="5" s="1"/>
  <c r="E246" i="7" s="1"/>
  <c r="F118" i="5"/>
  <c r="G118" i="5" s="1"/>
  <c r="E89" i="7" s="1"/>
  <c r="F119" i="5"/>
  <c r="G119" i="5" s="1"/>
  <c r="E247" i="7" s="1"/>
  <c r="F120" i="5"/>
  <c r="G120" i="5" s="1"/>
  <c r="E248" i="7" s="1"/>
  <c r="F121" i="5"/>
  <c r="G121" i="5" s="1"/>
  <c r="E249" i="7" s="1"/>
  <c r="F122" i="5"/>
  <c r="G122" i="5" s="1"/>
  <c r="E90" i="7" s="1"/>
  <c r="F123" i="5"/>
  <c r="G123" i="5" s="1"/>
  <c r="E250" i="7" s="1"/>
  <c r="F124" i="5"/>
  <c r="G124" i="5" s="1"/>
  <c r="E251" i="7" s="1"/>
  <c r="F125" i="5"/>
  <c r="G125" i="5" s="1"/>
  <c r="E252" i="7" s="1"/>
  <c r="F126" i="5"/>
  <c r="G126" i="5" s="1"/>
  <c r="E253" i="7" s="1"/>
  <c r="F127" i="5"/>
  <c r="G127" i="5" s="1"/>
  <c r="E91" i="7" s="1"/>
  <c r="F128" i="5"/>
  <c r="G128" i="5" s="1"/>
  <c r="E254" i="7" s="1"/>
  <c r="F129" i="5"/>
  <c r="G129" i="5" s="1"/>
  <c r="E255" i="7" s="1"/>
  <c r="F130" i="5"/>
  <c r="G130" i="5" s="1"/>
  <c r="E256" i="7" s="1"/>
  <c r="F131" i="5"/>
  <c r="G131" i="5" s="1"/>
  <c r="E92" i="7" s="1"/>
  <c r="F132" i="5"/>
  <c r="G132" i="5" s="1"/>
  <c r="E93" i="7" s="1"/>
  <c r="F133" i="5"/>
  <c r="G133" i="5" s="1"/>
  <c r="E257" i="7" s="1"/>
  <c r="F134" i="5"/>
  <c r="G134" i="5" s="1"/>
  <c r="E258" i="7" s="1"/>
  <c r="F135" i="5"/>
  <c r="G135" i="5" s="1"/>
  <c r="E94" i="7" s="1"/>
  <c r="F136" i="5"/>
  <c r="G136" i="5" s="1"/>
  <c r="E95" i="7" s="1"/>
  <c r="F137" i="5"/>
  <c r="G137" i="5" s="1"/>
  <c r="E259" i="7" s="1"/>
  <c r="F138" i="5"/>
  <c r="G138" i="5" s="1"/>
  <c r="E96" i="7" s="1"/>
  <c r="F139" i="5"/>
  <c r="G139" i="5" s="1"/>
  <c r="E260" i="7" s="1"/>
  <c r="F140" i="5"/>
  <c r="G140" i="5" s="1"/>
  <c r="E261" i="7" s="1"/>
  <c r="F141" i="5"/>
  <c r="G141" i="5" s="1"/>
  <c r="E97" i="7" s="1"/>
  <c r="F142" i="5"/>
  <c r="G142" i="5" s="1"/>
  <c r="E262" i="7" s="1"/>
  <c r="F143" i="5"/>
  <c r="G143" i="5" s="1"/>
  <c r="E263" i="7" s="1"/>
  <c r="F144" i="5"/>
  <c r="G144" i="5" s="1"/>
  <c r="E264" i="7" s="1"/>
  <c r="F145" i="5"/>
  <c r="G145" i="5" s="1"/>
  <c r="E265" i="7" s="1"/>
  <c r="F146" i="5"/>
  <c r="G146" i="5" s="1"/>
  <c r="E98" i="7" s="1"/>
  <c r="F147" i="5"/>
  <c r="G147" i="5" s="1"/>
  <c r="E99" i="7" s="1"/>
  <c r="F148" i="5"/>
  <c r="G148" i="5" s="1"/>
  <c r="E21" i="7" s="1"/>
  <c r="F149" i="5"/>
  <c r="G149" i="5" s="1"/>
  <c r="E100" i="7" s="1"/>
  <c r="F150" i="5"/>
  <c r="G150" i="5" s="1"/>
  <c r="E266" i="7" s="1"/>
  <c r="F151" i="5"/>
  <c r="G151" i="5" s="1"/>
  <c r="E22" i="7" s="1"/>
  <c r="F152" i="5"/>
  <c r="G152" i="5" s="1"/>
  <c r="E101" i="7" s="1"/>
  <c r="F153" i="5"/>
  <c r="G153" i="5" s="1"/>
  <c r="E267" i="7" s="1"/>
  <c r="F154" i="5"/>
  <c r="G154" i="5" s="1"/>
  <c r="E268" i="7" s="1"/>
  <c r="F155" i="5"/>
  <c r="G155" i="5" s="1"/>
  <c r="E23" i="7" s="1"/>
  <c r="F156" i="5"/>
  <c r="G156" i="5" s="1"/>
  <c r="E102" i="7" s="1"/>
  <c r="F157" i="5"/>
  <c r="G157" i="5" s="1"/>
  <c r="E24" i="7" s="1"/>
  <c r="F158" i="5"/>
  <c r="G158" i="5" s="1"/>
  <c r="E269" i="7" s="1"/>
  <c r="F159" i="5"/>
  <c r="G159" i="5" s="1"/>
  <c r="E270" i="7" s="1"/>
  <c r="F160" i="5"/>
  <c r="G160" i="5" s="1"/>
  <c r="E271" i="7" s="1"/>
  <c r="F161" i="5"/>
  <c r="G161" i="5" s="1"/>
  <c r="E103" i="7" s="1"/>
  <c r="F162" i="5"/>
  <c r="G162" i="5" s="1"/>
  <c r="E272" i="7" s="1"/>
  <c r="F163" i="5"/>
  <c r="G163" i="5" s="1"/>
  <c r="E104" i="7" s="1"/>
  <c r="F164" i="5"/>
  <c r="G164" i="5" s="1"/>
  <c r="E273" i="7" s="1"/>
  <c r="F165" i="5"/>
  <c r="G165" i="5" s="1"/>
  <c r="E274" i="7" s="1"/>
  <c r="F166" i="5"/>
  <c r="G166" i="5" s="1"/>
  <c r="E275" i="7" s="1"/>
  <c r="F167" i="5"/>
  <c r="G167" i="5" s="1"/>
  <c r="E105" i="7" s="1"/>
  <c r="F168" i="5"/>
  <c r="G168" i="5" s="1"/>
  <c r="E106" i="7" s="1"/>
  <c r="F169" i="5"/>
  <c r="G169" i="5" s="1"/>
  <c r="E276" i="7" s="1"/>
  <c r="F170" i="5"/>
  <c r="G170" i="5" s="1"/>
  <c r="E25" i="7" s="1"/>
  <c r="F171" i="5"/>
  <c r="G171" i="5" s="1"/>
  <c r="E277" i="7" s="1"/>
  <c r="F172" i="5"/>
  <c r="G172" i="5" s="1"/>
  <c r="E278" i="7" s="1"/>
  <c r="F173" i="5"/>
  <c r="G173" i="5" s="1"/>
  <c r="E279" i="7" s="1"/>
  <c r="F174" i="5"/>
  <c r="G174" i="5" s="1"/>
  <c r="E107" i="7" s="1"/>
  <c r="F175" i="5"/>
  <c r="G175" i="5" s="1"/>
  <c r="E280" i="7" s="1"/>
  <c r="F176" i="5"/>
  <c r="G176" i="5" s="1"/>
  <c r="E108" i="7" s="1"/>
  <c r="F177" i="5"/>
  <c r="G177" i="5" s="1"/>
  <c r="E109" i="7" s="1"/>
  <c r="F178" i="5"/>
  <c r="G178" i="5" s="1"/>
  <c r="E281" i="7" s="1"/>
  <c r="F179" i="5"/>
  <c r="G179" i="5" s="1"/>
  <c r="E282" i="7" s="1"/>
  <c r="F180" i="5"/>
  <c r="G180" i="5" s="1"/>
  <c r="E283" i="7" s="1"/>
  <c r="F181" i="5"/>
  <c r="G181" i="5" s="1"/>
  <c r="E284" i="7" s="1"/>
  <c r="F182" i="5"/>
  <c r="G182" i="5" s="1"/>
  <c r="E285" i="7" s="1"/>
  <c r="F183" i="5"/>
  <c r="G183" i="5" s="1"/>
  <c r="E110" i="7" s="1"/>
  <c r="F184" i="5"/>
  <c r="G184" i="5" s="1"/>
  <c r="E286" i="7" s="1"/>
  <c r="F185" i="5"/>
  <c r="G185" i="5" s="1"/>
  <c r="E287" i="7" s="1"/>
  <c r="F186" i="5"/>
  <c r="G186" i="5" s="1"/>
  <c r="E288" i="7" s="1"/>
  <c r="F187" i="5"/>
  <c r="G187" i="5" s="1"/>
  <c r="E111" i="7" s="1"/>
  <c r="F188" i="5"/>
  <c r="G188" i="5" s="1"/>
  <c r="E289" i="7" s="1"/>
  <c r="F189" i="5"/>
  <c r="G189" i="5" s="1"/>
  <c r="E290" i="7" s="1"/>
  <c r="F190" i="5"/>
  <c r="G190" i="5" s="1"/>
  <c r="E291" i="7" s="1"/>
  <c r="F191" i="5"/>
  <c r="G191" i="5" s="1"/>
  <c r="E112" i="7" s="1"/>
  <c r="F192" i="5"/>
  <c r="G192" i="5" s="1"/>
  <c r="E292" i="7" s="1"/>
  <c r="F193" i="5"/>
  <c r="G193" i="5" s="1"/>
  <c r="E113" i="7" s="1"/>
  <c r="F194" i="5"/>
  <c r="G194" i="5" s="1"/>
  <c r="E114" i="7" s="1"/>
  <c r="F195" i="5"/>
  <c r="G195" i="5" s="1"/>
  <c r="E293" i="7" s="1"/>
  <c r="F196" i="5"/>
  <c r="G196" i="5" s="1"/>
  <c r="E115" i="7" s="1"/>
  <c r="F197" i="5"/>
  <c r="G197" i="5" s="1"/>
  <c r="E294" i="7" s="1"/>
  <c r="F198" i="5"/>
  <c r="G198" i="5" s="1"/>
  <c r="E295" i="7" s="1"/>
  <c r="F199" i="5"/>
  <c r="G199" i="5" s="1"/>
  <c r="E296" i="7" s="1"/>
  <c r="F200" i="5"/>
  <c r="G200" i="5" s="1"/>
  <c r="E297" i="7" s="1"/>
  <c r="F201" i="5"/>
  <c r="G201" i="5" s="1"/>
  <c r="E298" i="7" s="1"/>
  <c r="F202" i="5"/>
  <c r="G202" i="5" s="1"/>
  <c r="E299" i="7" s="1"/>
  <c r="F203" i="5"/>
  <c r="G203" i="5" s="1"/>
  <c r="E300" i="7" s="1"/>
  <c r="F204" i="5"/>
  <c r="G204" i="5" s="1"/>
  <c r="E116" i="7" s="1"/>
  <c r="F205" i="5"/>
  <c r="G205" i="5" s="1"/>
  <c r="E117" i="7" s="1"/>
  <c r="F206" i="5"/>
  <c r="G206" i="5" s="1"/>
  <c r="E118" i="7" s="1"/>
  <c r="F207" i="5"/>
  <c r="G207" i="5" s="1"/>
  <c r="E301" i="7" s="1"/>
  <c r="F208" i="5"/>
  <c r="G208" i="5" s="1"/>
  <c r="E26" i="7" s="1"/>
  <c r="F209" i="5"/>
  <c r="G209" i="5" s="1"/>
  <c r="E302" i="7" s="1"/>
  <c r="F210" i="5"/>
  <c r="G210" i="5" s="1"/>
  <c r="E119" i="7" s="1"/>
  <c r="F211" i="5"/>
  <c r="G211" i="5" s="1"/>
  <c r="E303" i="7" s="1"/>
  <c r="F212" i="5"/>
  <c r="G212" i="5" s="1"/>
  <c r="E304" i="7" s="1"/>
  <c r="F213" i="5"/>
  <c r="G213" i="5" s="1"/>
  <c r="E120" i="7" s="1"/>
  <c r="F214" i="5"/>
  <c r="G214" i="5" s="1"/>
  <c r="E121" i="7" s="1"/>
  <c r="F215" i="5"/>
  <c r="G215" i="5" s="1"/>
  <c r="E27" i="7" s="1"/>
  <c r="F216" i="5"/>
  <c r="G216" i="5" s="1"/>
  <c r="E305" i="7" s="1"/>
  <c r="F217" i="5"/>
  <c r="G217" i="5" s="1"/>
  <c r="E122" i="7" s="1"/>
  <c r="F218" i="5"/>
  <c r="G218" i="5" s="1"/>
  <c r="E28" i="7" s="1"/>
  <c r="F219" i="5"/>
  <c r="G219" i="5" s="1"/>
  <c r="E306" i="7" s="1"/>
  <c r="F220" i="5"/>
  <c r="G220" i="5" s="1"/>
  <c r="E123" i="7" s="1"/>
  <c r="F221" i="5"/>
  <c r="G221" i="5" s="1"/>
  <c r="E307" i="7" s="1"/>
  <c r="F222" i="5"/>
  <c r="G222" i="5" s="1"/>
  <c r="E308" i="7" s="1"/>
  <c r="F223" i="5"/>
  <c r="G223" i="5" s="1"/>
  <c r="E309" i="7" s="1"/>
  <c r="F224" i="5"/>
  <c r="G224" i="5" s="1"/>
  <c r="E124" i="7" s="1"/>
  <c r="F225" i="5"/>
  <c r="G225" i="5" s="1"/>
  <c r="E310" i="7" s="1"/>
  <c r="F226" i="5"/>
  <c r="G226" i="5" s="1"/>
  <c r="E125" i="7" s="1"/>
  <c r="F227" i="5"/>
  <c r="G227" i="5" s="1"/>
  <c r="E311" i="7" s="1"/>
  <c r="F228" i="5"/>
  <c r="G228" i="5" s="1"/>
  <c r="E126" i="7" s="1"/>
  <c r="F229" i="5"/>
  <c r="G229" i="5" s="1"/>
  <c r="E312" i="7" s="1"/>
  <c r="F230" i="5"/>
  <c r="G230" i="5" s="1"/>
  <c r="E29" i="7" s="1"/>
  <c r="F231" i="5"/>
  <c r="G231" i="5" s="1"/>
  <c r="E127" i="7" s="1"/>
  <c r="F232" i="5"/>
  <c r="G232" i="5" s="1"/>
  <c r="E128" i="7" s="1"/>
  <c r="F233" i="5"/>
  <c r="G233" i="5" s="1"/>
  <c r="E313" i="7" s="1"/>
  <c r="F234" i="5"/>
  <c r="G234" i="5" s="1"/>
  <c r="E129" i="7" s="1"/>
  <c r="F235" i="5"/>
  <c r="G235" i="5" s="1"/>
  <c r="E314" i="7" s="1"/>
  <c r="F236" i="5"/>
  <c r="G236" i="5" s="1"/>
  <c r="E315" i="7" s="1"/>
  <c r="F237" i="5"/>
  <c r="G237" i="5" s="1"/>
  <c r="E316" i="7" s="1"/>
  <c r="F238" i="5"/>
  <c r="G238" i="5" s="1"/>
  <c r="E30" i="7" s="1"/>
  <c r="F239" i="5"/>
  <c r="G239" i="5" s="1"/>
  <c r="E31" i="7" s="1"/>
  <c r="F240" i="5"/>
  <c r="G240" i="5" s="1"/>
  <c r="E130" i="7" s="1"/>
  <c r="F241" i="5"/>
  <c r="G241" i="5" s="1"/>
  <c r="E317" i="7" s="1"/>
  <c r="F242" i="5"/>
  <c r="G242" i="5" s="1"/>
  <c r="E32" i="7" s="1"/>
  <c r="F243" i="5"/>
  <c r="G243" i="5" s="1"/>
  <c r="E318" i="7" s="1"/>
  <c r="F244" i="5"/>
  <c r="G244" i="5" s="1"/>
  <c r="E319" i="7" s="1"/>
  <c r="F245" i="5"/>
  <c r="G245" i="5" s="1"/>
  <c r="E131" i="7" s="1"/>
  <c r="F246" i="5"/>
  <c r="G246" i="5" s="1"/>
  <c r="E320" i="7" s="1"/>
  <c r="F247" i="5"/>
  <c r="G247" i="5" s="1"/>
  <c r="E132" i="7" s="1"/>
  <c r="F248" i="5"/>
  <c r="G248" i="5" s="1"/>
  <c r="E321" i="7" s="1"/>
  <c r="F249" i="5"/>
  <c r="G249" i="5" s="1"/>
  <c r="E133" i="7" s="1"/>
  <c r="F250" i="5"/>
  <c r="G250" i="5" s="1"/>
  <c r="E322" i="7" s="1"/>
  <c r="F251" i="5"/>
  <c r="G251" i="5" s="1"/>
  <c r="E134" i="7" s="1"/>
  <c r="F252" i="5"/>
  <c r="G252" i="5" s="1"/>
  <c r="E33" i="7" s="1"/>
  <c r="F253" i="5"/>
  <c r="G253" i="5" s="1"/>
  <c r="E135" i="7" s="1"/>
  <c r="F254" i="5"/>
  <c r="G254" i="5" s="1"/>
  <c r="E136" i="7" s="1"/>
  <c r="F255" i="5"/>
  <c r="G255" i="5" s="1"/>
  <c r="E323" i="7" s="1"/>
  <c r="F256" i="5"/>
  <c r="G256" i="5" s="1"/>
  <c r="E137" i="7" s="1"/>
  <c r="F257" i="5"/>
  <c r="G257" i="5" s="1"/>
  <c r="E324" i="7" s="1"/>
  <c r="F258" i="5"/>
  <c r="G258" i="5" s="1"/>
  <c r="E138" i="7" s="1"/>
  <c r="F259" i="5"/>
  <c r="G259" i="5" s="1"/>
  <c r="E325" i="7" s="1"/>
  <c r="F260" i="5"/>
  <c r="G260" i="5" s="1"/>
  <c r="E139" i="7" s="1"/>
  <c r="F261" i="5"/>
  <c r="G261" i="5" s="1"/>
  <c r="E326" i="7" s="1"/>
  <c r="F262" i="5"/>
  <c r="G262" i="5" s="1"/>
  <c r="E140" i="7" s="1"/>
  <c r="F263" i="5"/>
  <c r="G263" i="5" s="1"/>
  <c r="E327" i="7" s="1"/>
  <c r="F264" i="5"/>
  <c r="G264" i="5" s="1"/>
  <c r="E328" i="7" s="1"/>
  <c r="F265" i="5"/>
  <c r="G265" i="5" s="1"/>
  <c r="E34" i="7" s="1"/>
  <c r="F266" i="5"/>
  <c r="G266" i="5" s="1"/>
  <c r="E35" i="7" s="1"/>
  <c r="F267" i="5"/>
  <c r="G267" i="5" s="1"/>
  <c r="E329" i="7" s="1"/>
  <c r="F268" i="5"/>
  <c r="G268" i="5" s="1"/>
  <c r="E141" i="7" s="1"/>
  <c r="F269" i="5"/>
  <c r="G269" i="5" s="1"/>
  <c r="E330" i="7" s="1"/>
  <c r="F270" i="5"/>
  <c r="G270" i="5" s="1"/>
  <c r="E331" i="7" s="1"/>
  <c r="F271" i="5"/>
  <c r="G271" i="5" s="1"/>
  <c r="E332" i="7" s="1"/>
  <c r="F272" i="5"/>
  <c r="G272" i="5" s="1"/>
  <c r="E142" i="7" s="1"/>
  <c r="F273" i="5"/>
  <c r="G273" i="5" s="1"/>
  <c r="E143" i="7" s="1"/>
  <c r="F274" i="5"/>
  <c r="G274" i="5" s="1"/>
  <c r="E144" i="7" s="1"/>
  <c r="F275" i="5"/>
  <c r="G275" i="5" s="1"/>
  <c r="E333" i="7" s="1"/>
  <c r="F276" i="5"/>
  <c r="G276" i="5" s="1"/>
  <c r="E145" i="7" s="1"/>
  <c r="F277" i="5"/>
  <c r="G277" i="5" s="1"/>
  <c r="E334" i="7" s="1"/>
  <c r="F278" i="5"/>
  <c r="G278" i="5" s="1"/>
  <c r="E146" i="7" s="1"/>
  <c r="F279" i="5"/>
  <c r="G279" i="5" s="1"/>
  <c r="E147" i="7" s="1"/>
  <c r="F280" i="5"/>
  <c r="G280" i="5" s="1"/>
  <c r="E335" i="7" s="1"/>
  <c r="F281" i="5"/>
  <c r="G281" i="5" s="1"/>
  <c r="E336" i="7" s="1"/>
  <c r="F282" i="5"/>
  <c r="G282" i="5" s="1"/>
  <c r="E337" i="7" s="1"/>
  <c r="F283" i="5"/>
  <c r="G283" i="5" s="1"/>
  <c r="E36" i="7" s="1"/>
  <c r="F284" i="5"/>
  <c r="G284" i="5" s="1"/>
  <c r="E338" i="7" s="1"/>
  <c r="F285" i="5"/>
  <c r="G285" i="5" s="1"/>
  <c r="E339" i="7" s="1"/>
  <c r="F286" i="5"/>
  <c r="G286" i="5" s="1"/>
  <c r="E37" i="7" s="1"/>
  <c r="F287" i="5"/>
  <c r="G287" i="5" s="1"/>
  <c r="E340" i="7" s="1"/>
  <c r="F288" i="5"/>
  <c r="G288" i="5" s="1"/>
  <c r="E148" i="7" s="1"/>
  <c r="F289" i="5"/>
  <c r="G289" i="5" s="1"/>
  <c r="E341" i="7" s="1"/>
  <c r="F290" i="5"/>
  <c r="G290" i="5" s="1"/>
  <c r="E149" i="7" s="1"/>
  <c r="F291" i="5"/>
  <c r="G291" i="5" s="1"/>
  <c r="E150" i="7" s="1"/>
  <c r="F292" i="5"/>
  <c r="G292" i="5" s="1"/>
  <c r="E342" i="7" s="1"/>
  <c r="F293" i="5"/>
  <c r="G293" i="5" s="1"/>
  <c r="E343" i="7" s="1"/>
  <c r="F294" i="5"/>
  <c r="G294" i="5" s="1"/>
  <c r="E344" i="7" s="1"/>
  <c r="F295" i="5"/>
  <c r="G295" i="5" s="1"/>
  <c r="E38" i="7" s="1"/>
  <c r="F296" i="5"/>
  <c r="G296" i="5" s="1"/>
  <c r="E151" i="7" s="1"/>
  <c r="F297" i="5"/>
  <c r="G297" i="5" s="1"/>
  <c r="E39" i="7" s="1"/>
  <c r="F298" i="5"/>
  <c r="G298" i="5" s="1"/>
  <c r="E345" i="7" s="1"/>
  <c r="F299" i="5"/>
  <c r="G299" i="5" s="1"/>
  <c r="E346" i="7" s="1"/>
  <c r="F300" i="5"/>
  <c r="G300" i="5" s="1"/>
  <c r="E347" i="7" s="1"/>
  <c r="F301" i="5"/>
  <c r="G301" i="5" s="1"/>
  <c r="E348" i="7" s="1"/>
  <c r="F302" i="5"/>
  <c r="G302" i="5" s="1"/>
  <c r="E152" i="7" s="1"/>
  <c r="F303" i="5"/>
  <c r="G303" i="5" s="1"/>
  <c r="E153" i="7" s="1"/>
  <c r="F304" i="5"/>
  <c r="G304" i="5" s="1"/>
  <c r="E349" i="7" s="1"/>
  <c r="F305" i="5"/>
  <c r="G305" i="5" s="1"/>
  <c r="E40" i="7" s="1"/>
  <c r="F306" i="5"/>
  <c r="G306" i="5" s="1"/>
  <c r="E350" i="7" s="1"/>
  <c r="F307" i="5"/>
  <c r="G307" i="5" s="1"/>
  <c r="E154" i="7" s="1"/>
  <c r="F308" i="5"/>
  <c r="G308" i="5" s="1"/>
  <c r="E351" i="7" s="1"/>
  <c r="F309" i="5"/>
  <c r="G309" i="5" s="1"/>
  <c r="E352" i="7" s="1"/>
  <c r="F310" i="5"/>
  <c r="G310" i="5" s="1"/>
  <c r="E155" i="7" s="1"/>
  <c r="F311" i="5"/>
  <c r="G311" i="5" s="1"/>
  <c r="E353" i="7" s="1"/>
  <c r="F312" i="5"/>
  <c r="G312" i="5" s="1"/>
  <c r="E156" i="7" s="1"/>
  <c r="F313" i="5"/>
  <c r="G313" i="5" s="1"/>
  <c r="E157" i="7" s="1"/>
  <c r="F314" i="5"/>
  <c r="G314" i="5" s="1"/>
  <c r="E354" i="7" s="1"/>
  <c r="F315" i="5"/>
  <c r="G315" i="5" s="1"/>
  <c r="E41" i="7" s="1"/>
  <c r="F316" i="5"/>
  <c r="G316" i="5" s="1"/>
  <c r="E42" i="7" s="1"/>
  <c r="F317" i="5"/>
  <c r="G317" i="5" s="1"/>
  <c r="E158" i="7" s="1"/>
  <c r="F318" i="5"/>
  <c r="G318" i="5" s="1"/>
  <c r="E355" i="7" s="1"/>
  <c r="F319" i="5"/>
  <c r="G319" i="5" s="1"/>
  <c r="E159" i="7" s="1"/>
  <c r="F320" i="5"/>
  <c r="G320" i="5" s="1"/>
  <c r="E160" i="7" s="1"/>
  <c r="F321" i="5"/>
  <c r="G321" i="5" s="1"/>
  <c r="E161" i="7" s="1"/>
  <c r="F322" i="5"/>
  <c r="G322" i="5" s="1"/>
  <c r="E162" i="7" s="1"/>
  <c r="F323" i="5"/>
  <c r="G323" i="5" s="1"/>
  <c r="E356" i="7" s="1"/>
  <c r="F324" i="5"/>
  <c r="G324" i="5" s="1"/>
  <c r="E163" i="7" s="1"/>
  <c r="F325" i="5"/>
  <c r="G325" i="5" s="1"/>
  <c r="E43" i="7" s="1"/>
  <c r="F326" i="5"/>
  <c r="G326" i="5" s="1"/>
  <c r="E357" i="7" s="1"/>
  <c r="F327" i="5"/>
  <c r="G327" i="5" s="1"/>
  <c r="E358" i="7" s="1"/>
  <c r="F328" i="5"/>
  <c r="G328" i="5" s="1"/>
  <c r="E359" i="7" s="1"/>
  <c r="F329" i="5"/>
  <c r="G329" i="5" s="1"/>
  <c r="E360" i="7" s="1"/>
  <c r="F330" i="5"/>
  <c r="G330" i="5" s="1"/>
  <c r="E361" i="7" s="1"/>
  <c r="F331" i="5"/>
  <c r="G331" i="5" s="1"/>
  <c r="E164" i="7" s="1"/>
  <c r="F332" i="5"/>
  <c r="G332" i="5" s="1"/>
  <c r="E362" i="7" s="1"/>
  <c r="F333" i="5"/>
  <c r="G333" i="5" s="1"/>
  <c r="E165" i="7" s="1"/>
  <c r="F334" i="5"/>
  <c r="G334" i="5" s="1"/>
  <c r="E363" i="7" s="1"/>
  <c r="F335" i="5"/>
  <c r="G335" i="5" s="1"/>
  <c r="E364" i="7" s="1"/>
  <c r="F336" i="5"/>
  <c r="G336" i="5" s="1"/>
  <c r="E166" i="7" s="1"/>
  <c r="F337" i="5"/>
  <c r="G337" i="5" s="1"/>
  <c r="E365" i="7" s="1"/>
  <c r="F338" i="5"/>
  <c r="G338" i="5" s="1"/>
  <c r="E167" i="7" s="1"/>
  <c r="F339" i="5"/>
  <c r="G339" i="5" s="1"/>
  <c r="E366" i="7" s="1"/>
  <c r="F340" i="5"/>
  <c r="G340" i="5" s="1"/>
  <c r="E44" i="7" s="1"/>
  <c r="F341" i="5"/>
  <c r="G341" i="5" s="1"/>
  <c r="E45" i="7" s="1"/>
  <c r="F342" i="5"/>
  <c r="G342" i="5" s="1"/>
  <c r="E168" i="7" s="1"/>
  <c r="F343" i="5"/>
  <c r="G343" i="5" s="1"/>
  <c r="E367" i="7" s="1"/>
  <c r="F344" i="5"/>
  <c r="G344" i="5" s="1"/>
  <c r="E368" i="7" s="1"/>
  <c r="F345" i="5"/>
  <c r="G345" i="5" s="1"/>
  <c r="E369" i="7" s="1"/>
  <c r="F346" i="5"/>
  <c r="G346" i="5" s="1"/>
  <c r="E169" i="7" s="1"/>
  <c r="F347" i="5"/>
  <c r="G347" i="5" s="1"/>
  <c r="E170" i="7" s="1"/>
  <c r="F348" i="5"/>
  <c r="G348" i="5" s="1"/>
  <c r="E370" i="7" s="1"/>
  <c r="F349" i="5"/>
  <c r="G349" i="5" s="1"/>
  <c r="E371" i="7" s="1"/>
  <c r="F350" i="5"/>
  <c r="G350" i="5" s="1"/>
  <c r="E171" i="7" s="1"/>
  <c r="F351" i="5"/>
  <c r="G351" i="5" s="1"/>
  <c r="E372" i="7" s="1"/>
  <c r="F352" i="5"/>
  <c r="G352" i="5" s="1"/>
  <c r="E373" i="7" s="1"/>
  <c r="F353" i="5"/>
  <c r="G353" i="5" s="1"/>
  <c r="E46" i="7" s="1"/>
  <c r="F354" i="5"/>
  <c r="G354" i="5" s="1"/>
  <c r="E374" i="7" s="1"/>
  <c r="F355" i="5"/>
  <c r="G355" i="5" s="1"/>
  <c r="E172" i="7" s="1"/>
  <c r="F356" i="5"/>
  <c r="G356" i="5" s="1"/>
  <c r="E375" i="7" s="1"/>
  <c r="F357" i="5"/>
  <c r="G357" i="5" s="1"/>
  <c r="E376" i="7" s="1"/>
  <c r="F358" i="5"/>
  <c r="G358" i="5" s="1"/>
  <c r="E377" i="7" s="1"/>
  <c r="F359" i="5"/>
  <c r="G359" i="5" s="1"/>
  <c r="E173" i="7" s="1"/>
  <c r="F360" i="5"/>
  <c r="G360" i="5" s="1"/>
  <c r="E378" i="7" s="1"/>
  <c r="F361" i="5"/>
  <c r="G361" i="5" s="1"/>
  <c r="E379" i="7" s="1"/>
  <c r="F362" i="5"/>
  <c r="G362" i="5" s="1"/>
  <c r="E174" i="7" s="1"/>
  <c r="F363" i="5"/>
  <c r="G363" i="5" s="1"/>
  <c r="E175" i="7" s="1"/>
  <c r="F364" i="5"/>
  <c r="G364" i="5" s="1"/>
  <c r="E176" i="7" s="1"/>
  <c r="F365" i="5"/>
  <c r="G365" i="5" s="1"/>
  <c r="E380" i="7" s="1"/>
  <c r="F366" i="5"/>
  <c r="G366" i="5" s="1"/>
  <c r="E381" i="7" s="1"/>
  <c r="F367" i="5"/>
  <c r="G367" i="5" s="1"/>
  <c r="E382" i="7" s="1"/>
  <c r="F368" i="5"/>
  <c r="G368" i="5" s="1"/>
  <c r="E383" i="7" s="1"/>
  <c r="F369" i="5"/>
  <c r="G369" i="5" s="1"/>
  <c r="E384" i="7" s="1"/>
  <c r="F370" i="5"/>
  <c r="G370" i="5" s="1"/>
  <c r="E385" i="7" s="1"/>
  <c r="F371" i="5"/>
  <c r="G371" i="5" s="1"/>
  <c r="E386" i="7" s="1"/>
  <c r="F372" i="5"/>
  <c r="G372" i="5" s="1"/>
  <c r="E387" i="7" s="1"/>
  <c r="F373" i="5"/>
  <c r="G373" i="5" s="1"/>
  <c r="E177" i="7" s="1"/>
  <c r="F374" i="5"/>
  <c r="G374" i="5" s="1"/>
  <c r="E178" i="7" s="1"/>
  <c r="F375" i="5"/>
  <c r="G375" i="5" s="1"/>
  <c r="E179" i="7" s="1"/>
  <c r="F376" i="5"/>
  <c r="G376" i="5" s="1"/>
  <c r="E47" i="7" s="1"/>
  <c r="F377" i="5"/>
  <c r="G377" i="5" s="1"/>
  <c r="E48" i="7" s="1"/>
  <c r="F378" i="5"/>
  <c r="G378" i="5" s="1"/>
  <c r="E180" i="7" s="1"/>
  <c r="F379" i="5"/>
  <c r="G379" i="5" s="1"/>
  <c r="E388" i="7" s="1"/>
  <c r="F380" i="5"/>
  <c r="G380" i="5" s="1"/>
  <c r="E389" i="7" s="1"/>
  <c r="F381" i="5"/>
  <c r="G381" i="5" s="1"/>
  <c r="E181" i="7" s="1"/>
  <c r="F382" i="5"/>
  <c r="G382" i="5" s="1"/>
  <c r="E182" i="7" s="1"/>
  <c r="F383" i="5"/>
  <c r="G383" i="5" s="1"/>
  <c r="E390" i="7" s="1"/>
  <c r="F384" i="5"/>
  <c r="G384" i="5" s="1"/>
  <c r="I384" i="5" s="1"/>
  <c r="F385" i="5"/>
  <c r="G385" i="5" s="1"/>
  <c r="E391" i="7" s="1"/>
  <c r="F386" i="5"/>
  <c r="G386" i="5" s="1"/>
  <c r="E392" i="7" s="1"/>
  <c r="F387" i="5"/>
  <c r="G387" i="5" s="1"/>
  <c r="E393" i="7" s="1"/>
  <c r="F388" i="5"/>
  <c r="G388" i="5" s="1"/>
  <c r="E394" i="7" s="1"/>
  <c r="F389" i="5"/>
  <c r="G389" i="5" s="1"/>
  <c r="E184" i="7" s="1"/>
  <c r="F390" i="5"/>
  <c r="G390" i="5" s="1"/>
  <c r="E395" i="7" s="1"/>
  <c r="F391" i="5"/>
  <c r="G391" i="5" s="1"/>
  <c r="E185" i="7" s="1"/>
  <c r="F392" i="5"/>
  <c r="G392" i="5" s="1"/>
  <c r="E396" i="7" s="1"/>
  <c r="F393" i="5"/>
  <c r="G393" i="5" s="1"/>
  <c r="E49" i="7" s="1"/>
  <c r="F394" i="5"/>
  <c r="G394" i="5" s="1"/>
  <c r="E397" i="7" s="1"/>
  <c r="F395" i="5"/>
  <c r="G395" i="5" s="1"/>
  <c r="E398" i="7" s="1"/>
  <c r="F396" i="5"/>
  <c r="G396" i="5" s="1"/>
  <c r="E186" i="7" s="1"/>
  <c r="F397" i="5"/>
  <c r="G397" i="5" s="1"/>
  <c r="E399" i="7" s="1"/>
  <c r="F398" i="5"/>
  <c r="G398" i="5" s="1"/>
  <c r="E400" i="7" s="1"/>
  <c r="F399" i="5"/>
  <c r="G399" i="5" s="1"/>
  <c r="E401" i="7" s="1"/>
  <c r="F400" i="5"/>
  <c r="G400" i="5" s="1"/>
  <c r="E187" i="7" s="1"/>
  <c r="F401" i="5"/>
  <c r="G401" i="5" s="1"/>
  <c r="E402" i="7" s="1"/>
  <c r="F402" i="5"/>
  <c r="G402" i="5" s="1"/>
  <c r="E403" i="7" s="1"/>
  <c r="J6" i="5"/>
  <c r="K7" i="5"/>
  <c r="G50" i="7" s="1"/>
  <c r="J8" i="5"/>
  <c r="K8" i="5" s="1"/>
  <c r="G51" i="7" s="1"/>
  <c r="J9" i="5"/>
  <c r="K9" i="5" s="1"/>
  <c r="G5" i="7" s="1"/>
  <c r="J10" i="5"/>
  <c r="K10" i="5" s="1"/>
  <c r="G191" i="7" s="1"/>
  <c r="J11" i="5"/>
  <c r="K11" i="5" s="1"/>
  <c r="G192" i="7" s="1"/>
  <c r="J12" i="5"/>
  <c r="K12" i="5" s="1"/>
  <c r="G52" i="7" s="1"/>
  <c r="J13" i="5"/>
  <c r="K13" i="5" s="1"/>
  <c r="G53" i="7" s="1"/>
  <c r="J14" i="5"/>
  <c r="K14" i="5" s="1"/>
  <c r="G54" i="7" s="1"/>
  <c r="J15" i="5"/>
  <c r="K15" i="5" s="1"/>
  <c r="G193" i="7" s="1"/>
  <c r="J16" i="5"/>
  <c r="K16" i="5" s="1"/>
  <c r="G194" i="7" s="1"/>
  <c r="J17" i="5"/>
  <c r="K17" i="5" s="1"/>
  <c r="G195" i="7" s="1"/>
  <c r="J18" i="5"/>
  <c r="K18" i="5" s="1"/>
  <c r="G196" i="7" s="1"/>
  <c r="J19" i="5"/>
  <c r="K19" i="5" s="1"/>
  <c r="G6" i="7" s="1"/>
  <c r="J20" i="5"/>
  <c r="K20" i="5" s="1"/>
  <c r="G197" i="7" s="1"/>
  <c r="J21" i="5"/>
  <c r="K21" i="5" s="1"/>
  <c r="G55" i="7" s="1"/>
  <c r="J22" i="5"/>
  <c r="K22" i="5" s="1"/>
  <c r="G198" i="7" s="1"/>
  <c r="J23" i="5"/>
  <c r="K23" i="5" s="1"/>
  <c r="G199" i="7" s="1"/>
  <c r="J24" i="5"/>
  <c r="K24" i="5" s="1"/>
  <c r="G200" i="7" s="1"/>
  <c r="J25" i="5"/>
  <c r="K25" i="5" s="1"/>
  <c r="G7" i="7" s="1"/>
  <c r="J26" i="5"/>
  <c r="K26" i="5" s="1"/>
  <c r="G8" i="7" s="1"/>
  <c r="J27" i="5"/>
  <c r="K27" i="5" s="1"/>
  <c r="G56" i="7" s="1"/>
  <c r="J28" i="5"/>
  <c r="K28" i="5" s="1"/>
  <c r="G57" i="7" s="1"/>
  <c r="J29" i="5"/>
  <c r="K29" i="5" s="1"/>
  <c r="G9" i="7" s="1"/>
  <c r="J30" i="5"/>
  <c r="K30" i="5" s="1"/>
  <c r="G10" i="7" s="1"/>
  <c r="J31" i="5"/>
  <c r="K31" i="5" s="1"/>
  <c r="G11" i="7" s="1"/>
  <c r="J32" i="5"/>
  <c r="K32" i="5" s="1"/>
  <c r="G201" i="7" s="1"/>
  <c r="J33" i="5"/>
  <c r="K33" i="5" s="1"/>
  <c r="G58" i="7" s="1"/>
  <c r="J34" i="5"/>
  <c r="K34" i="5" s="1"/>
  <c r="G202" i="7" s="1"/>
  <c r="J35" i="5"/>
  <c r="K35" i="5" s="1"/>
  <c r="G59" i="7" s="1"/>
  <c r="J36" i="5"/>
  <c r="K36" i="5" s="1"/>
  <c r="G12" i="7" s="1"/>
  <c r="J37" i="5"/>
  <c r="K37" i="5" s="1"/>
  <c r="G60" i="7" s="1"/>
  <c r="J38" i="5"/>
  <c r="K38" i="5" s="1"/>
  <c r="G61" i="7" s="1"/>
  <c r="J39" i="5"/>
  <c r="K39" i="5" s="1"/>
  <c r="G13" i="7" s="1"/>
  <c r="J40" i="5"/>
  <c r="K40" i="5" s="1"/>
  <c r="G203" i="7" s="1"/>
  <c r="J41" i="5"/>
  <c r="K41" i="5" s="1"/>
  <c r="G62" i="7" s="1"/>
  <c r="J42" i="5"/>
  <c r="K42" i="5" s="1"/>
  <c r="G204" i="7" s="1"/>
  <c r="J43" i="5"/>
  <c r="K43" i="5" s="1"/>
  <c r="G14" i="7" s="1"/>
  <c r="J44" i="5"/>
  <c r="K44" i="5" s="1"/>
  <c r="G205" i="7" s="1"/>
  <c r="J45" i="5"/>
  <c r="K45" i="5" s="1"/>
  <c r="G63" i="7" s="1"/>
  <c r="J46" i="5"/>
  <c r="K46" i="5" s="1"/>
  <c r="G206" i="7" s="1"/>
  <c r="J47" i="5"/>
  <c r="K47" i="5" s="1"/>
  <c r="G207" i="7" s="1"/>
  <c r="J48" i="5"/>
  <c r="K48" i="5" s="1"/>
  <c r="G15" i="7" s="1"/>
  <c r="J49" i="5"/>
  <c r="K49" i="5" s="1"/>
  <c r="G64" i="7" s="1"/>
  <c r="J50" i="5"/>
  <c r="K50" i="5" s="1"/>
  <c r="G208" i="7" s="1"/>
  <c r="J51" i="5"/>
  <c r="K51" i="5" s="1"/>
  <c r="G65" i="7" s="1"/>
  <c r="J52" i="5"/>
  <c r="K52" i="5" s="1"/>
  <c r="G209" i="7" s="1"/>
  <c r="J53" i="5"/>
  <c r="K53" i="5" s="1"/>
  <c r="G210" i="7" s="1"/>
  <c r="J54" i="5"/>
  <c r="K54" i="5" s="1"/>
  <c r="G211" i="7" s="1"/>
  <c r="J55" i="5"/>
  <c r="K55" i="5" s="1"/>
  <c r="G212" i="7" s="1"/>
  <c r="J56" i="5"/>
  <c r="K56" i="5" s="1"/>
  <c r="G16" i="7" s="1"/>
  <c r="J57" i="5"/>
  <c r="K57" i="5" s="1"/>
  <c r="G213" i="7" s="1"/>
  <c r="J58" i="5"/>
  <c r="K58" i="5" s="1"/>
  <c r="G214" i="7" s="1"/>
  <c r="J59" i="5"/>
  <c r="K59" i="5" s="1"/>
  <c r="G66" i="7" s="1"/>
  <c r="J60" i="5"/>
  <c r="K60" i="5" s="1"/>
  <c r="G67" i="7" s="1"/>
  <c r="J61" i="5"/>
  <c r="K61" i="5" s="1"/>
  <c r="G215" i="7" s="1"/>
  <c r="J62" i="5"/>
  <c r="K62" i="5" s="1"/>
  <c r="G216" i="7" s="1"/>
  <c r="J63" i="5"/>
  <c r="K63" i="5" s="1"/>
  <c r="G68" i="7" s="1"/>
  <c r="J64" i="5"/>
  <c r="K64" i="5" s="1"/>
  <c r="G217" i="7" s="1"/>
  <c r="J65" i="5"/>
  <c r="K65" i="5" s="1"/>
  <c r="G218" i="7" s="1"/>
  <c r="J66" i="5"/>
  <c r="K66" i="5" s="1"/>
  <c r="G69" i="7" s="1"/>
  <c r="J67" i="5"/>
  <c r="K67" i="5" s="1"/>
  <c r="G70" i="7" s="1"/>
  <c r="J68" i="5"/>
  <c r="K68" i="5" s="1"/>
  <c r="G71" i="7" s="1"/>
  <c r="J69" i="5"/>
  <c r="K69" i="5" s="1"/>
  <c r="G219" i="7" s="1"/>
  <c r="J70" i="5"/>
  <c r="K70" i="5" s="1"/>
  <c r="G72" i="7" s="1"/>
  <c r="J71" i="5"/>
  <c r="K71" i="5" s="1"/>
  <c r="G73" i="7" s="1"/>
  <c r="J72" i="5"/>
  <c r="K72" i="5" s="1"/>
  <c r="G220" i="7" s="1"/>
  <c r="J73" i="5"/>
  <c r="K73" i="5" s="1"/>
  <c r="G74" i="7" s="1"/>
  <c r="J74" i="5"/>
  <c r="K74" i="5" s="1"/>
  <c r="G221" i="7" s="1"/>
  <c r="J75" i="5"/>
  <c r="K75" i="5" s="1"/>
  <c r="G222" i="7" s="1"/>
  <c r="J76" i="5"/>
  <c r="K76" i="5" s="1"/>
  <c r="G75" i="7" s="1"/>
  <c r="J77" i="5"/>
  <c r="K77" i="5" s="1"/>
  <c r="G76" i="7" s="1"/>
  <c r="J78" i="5"/>
  <c r="K78" i="5" s="1"/>
  <c r="G17" i="7" s="1"/>
  <c r="J79" i="5"/>
  <c r="K79" i="5" s="1"/>
  <c r="G223" i="7" s="1"/>
  <c r="J80" i="5"/>
  <c r="K80" i="5" s="1"/>
  <c r="G224" i="7" s="1"/>
  <c r="J81" i="5"/>
  <c r="K81" i="5" s="1"/>
  <c r="G77" i="7" s="1"/>
  <c r="J82" i="5"/>
  <c r="K82" i="5" s="1"/>
  <c r="G225" i="7" s="1"/>
  <c r="J83" i="5"/>
  <c r="K83" i="5" s="1"/>
  <c r="G18" i="7" s="1"/>
  <c r="J84" i="5"/>
  <c r="K84" i="5" s="1"/>
  <c r="G226" i="7" s="1"/>
  <c r="J85" i="5"/>
  <c r="K85" i="5" s="1"/>
  <c r="G227" i="7" s="1"/>
  <c r="J86" i="5"/>
  <c r="K86" i="5" s="1"/>
  <c r="G19" i="7" s="1"/>
  <c r="J87" i="5"/>
  <c r="K87" i="5" s="1"/>
  <c r="G78" i="7" s="1"/>
  <c r="J88" i="5"/>
  <c r="K88" i="5" s="1"/>
  <c r="G79" i="7" s="1"/>
  <c r="J89" i="5"/>
  <c r="K89" i="5" s="1"/>
  <c r="G80" i="7" s="1"/>
  <c r="J90" i="5"/>
  <c r="K90" i="5" s="1"/>
  <c r="G228" i="7" s="1"/>
  <c r="J91" i="5"/>
  <c r="K91" i="5" s="1"/>
  <c r="G81" i="7" s="1"/>
  <c r="J92" i="5"/>
  <c r="K92" i="5" s="1"/>
  <c r="G229" i="7" s="1"/>
  <c r="J93" i="5"/>
  <c r="K93" i="5" s="1"/>
  <c r="G230" i="7" s="1"/>
  <c r="J94" i="5"/>
  <c r="K94" i="5" s="1"/>
  <c r="G231" i="7" s="1"/>
  <c r="J95" i="5"/>
  <c r="K95" i="5" s="1"/>
  <c r="G232" i="7" s="1"/>
  <c r="J96" i="5"/>
  <c r="K96" i="5" s="1"/>
  <c r="G82" i="7" s="1"/>
  <c r="J97" i="5"/>
  <c r="K97" i="5" s="1"/>
  <c r="G233" i="7" s="1"/>
  <c r="J98" i="5"/>
  <c r="K98" i="5" s="1"/>
  <c r="G234" i="7" s="1"/>
  <c r="J99" i="5"/>
  <c r="K99" i="5" s="1"/>
  <c r="G83" i="7" s="1"/>
  <c r="J100" i="5"/>
  <c r="K100" i="5" s="1"/>
  <c r="G235" i="7" s="1"/>
  <c r="J101" i="5"/>
  <c r="K101" i="5" s="1"/>
  <c r="G84" i="7" s="1"/>
  <c r="J102" i="5"/>
  <c r="K102" i="5" s="1"/>
  <c r="G236" i="7" s="1"/>
  <c r="J103" i="5"/>
  <c r="K103" i="5" s="1"/>
  <c r="G20" i="7" s="1"/>
  <c r="J104" i="5"/>
  <c r="K104" i="5" s="1"/>
  <c r="G237" i="7" s="1"/>
  <c r="J105" i="5"/>
  <c r="K105" i="5" s="1"/>
  <c r="G238" i="7" s="1"/>
  <c r="J106" i="5"/>
  <c r="K106" i="5" s="1"/>
  <c r="G239" i="7" s="1"/>
  <c r="J107" i="5"/>
  <c r="K107" i="5" s="1"/>
  <c r="G85" i="7" s="1"/>
  <c r="J108" i="5"/>
  <c r="K108" i="5" s="1"/>
  <c r="G86" i="7" s="1"/>
  <c r="J109" i="5"/>
  <c r="K109" i="5" s="1"/>
  <c r="G240" i="7" s="1"/>
  <c r="J110" i="5"/>
  <c r="K110" i="5" s="1"/>
  <c r="G241" i="7" s="1"/>
  <c r="J111" i="5"/>
  <c r="K111" i="5" s="1"/>
  <c r="G242" i="7" s="1"/>
  <c r="J112" i="5"/>
  <c r="K112" i="5" s="1"/>
  <c r="G87" i="7" s="1"/>
  <c r="J113" i="5"/>
  <c r="K113" i="5" s="1"/>
  <c r="G243" i="7" s="1"/>
  <c r="J114" i="5"/>
  <c r="K114" i="5" s="1"/>
  <c r="G244" i="7" s="1"/>
  <c r="J115" i="5"/>
  <c r="K115" i="5" s="1"/>
  <c r="G245" i="7" s="1"/>
  <c r="J116" i="5"/>
  <c r="K116" i="5" s="1"/>
  <c r="G88" i="7" s="1"/>
  <c r="J117" i="5"/>
  <c r="K117" i="5" s="1"/>
  <c r="G246" i="7" s="1"/>
  <c r="J118" i="5"/>
  <c r="K118" i="5" s="1"/>
  <c r="G89" i="7" s="1"/>
  <c r="J119" i="5"/>
  <c r="K119" i="5" s="1"/>
  <c r="G247" i="7" s="1"/>
  <c r="J120" i="5"/>
  <c r="K120" i="5" s="1"/>
  <c r="G248" i="7" s="1"/>
  <c r="J121" i="5"/>
  <c r="K121" i="5" s="1"/>
  <c r="G249" i="7" s="1"/>
  <c r="J122" i="5"/>
  <c r="K122" i="5" s="1"/>
  <c r="G90" i="7" s="1"/>
  <c r="J123" i="5"/>
  <c r="K123" i="5" s="1"/>
  <c r="G250" i="7" s="1"/>
  <c r="J124" i="5"/>
  <c r="K124" i="5" s="1"/>
  <c r="G251" i="7" s="1"/>
  <c r="J125" i="5"/>
  <c r="K125" i="5" s="1"/>
  <c r="G252" i="7" s="1"/>
  <c r="J126" i="5"/>
  <c r="K126" i="5" s="1"/>
  <c r="G253" i="7" s="1"/>
  <c r="J127" i="5"/>
  <c r="K127" i="5" s="1"/>
  <c r="G91" i="7" s="1"/>
  <c r="J128" i="5"/>
  <c r="K128" i="5" s="1"/>
  <c r="G254" i="7" s="1"/>
  <c r="J129" i="5"/>
  <c r="K129" i="5" s="1"/>
  <c r="G255" i="7" s="1"/>
  <c r="J130" i="5"/>
  <c r="K130" i="5" s="1"/>
  <c r="G256" i="7" s="1"/>
  <c r="J131" i="5"/>
  <c r="K131" i="5" s="1"/>
  <c r="G92" i="7" s="1"/>
  <c r="J132" i="5"/>
  <c r="K132" i="5" s="1"/>
  <c r="G93" i="7" s="1"/>
  <c r="J133" i="5"/>
  <c r="K133" i="5" s="1"/>
  <c r="G257" i="7" s="1"/>
  <c r="J134" i="5"/>
  <c r="K134" i="5" s="1"/>
  <c r="G258" i="7" s="1"/>
  <c r="J135" i="5"/>
  <c r="K135" i="5" s="1"/>
  <c r="G94" i="7" s="1"/>
  <c r="J136" i="5"/>
  <c r="K136" i="5" s="1"/>
  <c r="G95" i="7" s="1"/>
  <c r="J137" i="5"/>
  <c r="K137" i="5" s="1"/>
  <c r="G259" i="7" s="1"/>
  <c r="J138" i="5"/>
  <c r="K138" i="5" s="1"/>
  <c r="G96" i="7" s="1"/>
  <c r="J139" i="5"/>
  <c r="K139" i="5" s="1"/>
  <c r="G260" i="7" s="1"/>
  <c r="J140" i="5"/>
  <c r="K140" i="5" s="1"/>
  <c r="G261" i="7" s="1"/>
  <c r="J141" i="5"/>
  <c r="K141" i="5" s="1"/>
  <c r="G97" i="7" s="1"/>
  <c r="J142" i="5"/>
  <c r="K142" i="5" s="1"/>
  <c r="G262" i="7" s="1"/>
  <c r="J143" i="5"/>
  <c r="K143" i="5" s="1"/>
  <c r="G263" i="7" s="1"/>
  <c r="J144" i="5"/>
  <c r="K144" i="5" s="1"/>
  <c r="G264" i="7" s="1"/>
  <c r="J145" i="5"/>
  <c r="K145" i="5" s="1"/>
  <c r="G265" i="7" s="1"/>
  <c r="J146" i="5"/>
  <c r="K146" i="5" s="1"/>
  <c r="G98" i="7" s="1"/>
  <c r="J147" i="5"/>
  <c r="K147" i="5" s="1"/>
  <c r="G99" i="7" s="1"/>
  <c r="J148" i="5"/>
  <c r="K148" i="5" s="1"/>
  <c r="G21" i="7" s="1"/>
  <c r="J149" i="5"/>
  <c r="K149" i="5" s="1"/>
  <c r="G100" i="7" s="1"/>
  <c r="J150" i="5"/>
  <c r="K150" i="5" s="1"/>
  <c r="G266" i="7" s="1"/>
  <c r="J151" i="5"/>
  <c r="K151" i="5" s="1"/>
  <c r="G22" i="7" s="1"/>
  <c r="J152" i="5"/>
  <c r="K152" i="5" s="1"/>
  <c r="G101" i="7" s="1"/>
  <c r="J153" i="5"/>
  <c r="K153" i="5" s="1"/>
  <c r="G267" i="7" s="1"/>
  <c r="J154" i="5"/>
  <c r="K154" i="5" s="1"/>
  <c r="G268" i="7" s="1"/>
  <c r="J155" i="5"/>
  <c r="K155" i="5" s="1"/>
  <c r="G23" i="7" s="1"/>
  <c r="J156" i="5"/>
  <c r="K156" i="5" s="1"/>
  <c r="G102" i="7" s="1"/>
  <c r="J157" i="5"/>
  <c r="K157" i="5" s="1"/>
  <c r="G24" i="7" s="1"/>
  <c r="J158" i="5"/>
  <c r="K158" i="5" s="1"/>
  <c r="G269" i="7" s="1"/>
  <c r="J159" i="5"/>
  <c r="K159" i="5" s="1"/>
  <c r="G270" i="7" s="1"/>
  <c r="J160" i="5"/>
  <c r="K160" i="5" s="1"/>
  <c r="G271" i="7" s="1"/>
  <c r="J161" i="5"/>
  <c r="K161" i="5" s="1"/>
  <c r="G103" i="7" s="1"/>
  <c r="J162" i="5"/>
  <c r="K162" i="5" s="1"/>
  <c r="G272" i="7" s="1"/>
  <c r="J163" i="5"/>
  <c r="K163" i="5" s="1"/>
  <c r="G104" i="7" s="1"/>
  <c r="J164" i="5"/>
  <c r="K164" i="5" s="1"/>
  <c r="G273" i="7" s="1"/>
  <c r="J165" i="5"/>
  <c r="K165" i="5" s="1"/>
  <c r="G274" i="7" s="1"/>
  <c r="J166" i="5"/>
  <c r="K166" i="5" s="1"/>
  <c r="G275" i="7" s="1"/>
  <c r="J167" i="5"/>
  <c r="K167" i="5" s="1"/>
  <c r="G105" i="7" s="1"/>
  <c r="J168" i="5"/>
  <c r="K168" i="5" s="1"/>
  <c r="G106" i="7" s="1"/>
  <c r="J169" i="5"/>
  <c r="K169" i="5" s="1"/>
  <c r="G276" i="7" s="1"/>
  <c r="J170" i="5"/>
  <c r="K170" i="5" s="1"/>
  <c r="G25" i="7" s="1"/>
  <c r="J171" i="5"/>
  <c r="K171" i="5" s="1"/>
  <c r="G277" i="7" s="1"/>
  <c r="J172" i="5"/>
  <c r="K172" i="5" s="1"/>
  <c r="G278" i="7" s="1"/>
  <c r="J173" i="5"/>
  <c r="K173" i="5" s="1"/>
  <c r="G279" i="7" s="1"/>
  <c r="J174" i="5"/>
  <c r="K174" i="5" s="1"/>
  <c r="G107" i="7" s="1"/>
  <c r="J175" i="5"/>
  <c r="K175" i="5" s="1"/>
  <c r="G280" i="7" s="1"/>
  <c r="J176" i="5"/>
  <c r="K176" i="5" s="1"/>
  <c r="G108" i="7" s="1"/>
  <c r="J177" i="5"/>
  <c r="K177" i="5" s="1"/>
  <c r="G109" i="7" s="1"/>
  <c r="J178" i="5"/>
  <c r="K178" i="5" s="1"/>
  <c r="G281" i="7" s="1"/>
  <c r="J179" i="5"/>
  <c r="K179" i="5" s="1"/>
  <c r="G282" i="7" s="1"/>
  <c r="J180" i="5"/>
  <c r="K180" i="5" s="1"/>
  <c r="G283" i="7" s="1"/>
  <c r="J181" i="5"/>
  <c r="K181" i="5" s="1"/>
  <c r="G284" i="7" s="1"/>
  <c r="J182" i="5"/>
  <c r="K182" i="5" s="1"/>
  <c r="G285" i="7" s="1"/>
  <c r="J184" i="5"/>
  <c r="K184" i="5" s="1"/>
  <c r="G286" i="7" s="1"/>
  <c r="J185" i="5"/>
  <c r="K185" i="5" s="1"/>
  <c r="G287" i="7" s="1"/>
  <c r="J186" i="5"/>
  <c r="K186" i="5" s="1"/>
  <c r="G288" i="7" s="1"/>
  <c r="J187" i="5"/>
  <c r="K187" i="5" s="1"/>
  <c r="G111" i="7" s="1"/>
  <c r="J188" i="5"/>
  <c r="K188" i="5" s="1"/>
  <c r="G289" i="7" s="1"/>
  <c r="J189" i="5"/>
  <c r="K189" i="5" s="1"/>
  <c r="G290" i="7" s="1"/>
  <c r="J190" i="5"/>
  <c r="K190" i="5" s="1"/>
  <c r="G291" i="7" s="1"/>
  <c r="J191" i="5"/>
  <c r="K191" i="5" s="1"/>
  <c r="G112" i="7" s="1"/>
  <c r="J192" i="5"/>
  <c r="K192" i="5" s="1"/>
  <c r="G292" i="7" s="1"/>
  <c r="J193" i="5"/>
  <c r="K193" i="5" s="1"/>
  <c r="G113" i="7" s="1"/>
  <c r="J194" i="5"/>
  <c r="K194" i="5" s="1"/>
  <c r="G114" i="7" s="1"/>
  <c r="J195" i="5"/>
  <c r="K195" i="5" s="1"/>
  <c r="G293" i="7" s="1"/>
  <c r="J196" i="5"/>
  <c r="K196" i="5" s="1"/>
  <c r="G115" i="7" s="1"/>
  <c r="J197" i="5"/>
  <c r="K197" i="5" s="1"/>
  <c r="G294" i="7" s="1"/>
  <c r="J198" i="5"/>
  <c r="K198" i="5" s="1"/>
  <c r="G295" i="7" s="1"/>
  <c r="J199" i="5"/>
  <c r="K199" i="5" s="1"/>
  <c r="G296" i="7" s="1"/>
  <c r="J200" i="5"/>
  <c r="K200" i="5" s="1"/>
  <c r="G297" i="7" s="1"/>
  <c r="J201" i="5"/>
  <c r="K201" i="5" s="1"/>
  <c r="G298" i="7" s="1"/>
  <c r="J202" i="5"/>
  <c r="K202" i="5" s="1"/>
  <c r="G299" i="7" s="1"/>
  <c r="J203" i="5"/>
  <c r="K203" i="5" s="1"/>
  <c r="G300" i="7" s="1"/>
  <c r="J204" i="5"/>
  <c r="K204" i="5" s="1"/>
  <c r="G116" i="7" s="1"/>
  <c r="J205" i="5"/>
  <c r="K205" i="5" s="1"/>
  <c r="G117" i="7" s="1"/>
  <c r="J206" i="5"/>
  <c r="K206" i="5" s="1"/>
  <c r="G118" i="7" s="1"/>
  <c r="J207" i="5"/>
  <c r="K207" i="5" s="1"/>
  <c r="G301" i="7" s="1"/>
  <c r="J208" i="5"/>
  <c r="K208" i="5" s="1"/>
  <c r="G26" i="7" s="1"/>
  <c r="J209" i="5"/>
  <c r="K209" i="5" s="1"/>
  <c r="G302" i="7" s="1"/>
  <c r="J210" i="5"/>
  <c r="K210" i="5" s="1"/>
  <c r="G119" i="7" s="1"/>
  <c r="J211" i="5"/>
  <c r="K211" i="5" s="1"/>
  <c r="G303" i="7" s="1"/>
  <c r="J212" i="5"/>
  <c r="K212" i="5" s="1"/>
  <c r="G304" i="7" s="1"/>
  <c r="J213" i="5"/>
  <c r="K213" i="5" s="1"/>
  <c r="G120" i="7" s="1"/>
  <c r="J214" i="5"/>
  <c r="K214" i="5" s="1"/>
  <c r="G121" i="7" s="1"/>
  <c r="J215" i="5"/>
  <c r="K215" i="5" s="1"/>
  <c r="G27" i="7" s="1"/>
  <c r="J216" i="5"/>
  <c r="K216" i="5" s="1"/>
  <c r="G305" i="7" s="1"/>
  <c r="J217" i="5"/>
  <c r="K217" i="5" s="1"/>
  <c r="G122" i="7" s="1"/>
  <c r="J218" i="5"/>
  <c r="K218" i="5" s="1"/>
  <c r="G28" i="7" s="1"/>
  <c r="J219" i="5"/>
  <c r="K219" i="5" s="1"/>
  <c r="G306" i="7" s="1"/>
  <c r="J220" i="5"/>
  <c r="K220" i="5" s="1"/>
  <c r="G123" i="7" s="1"/>
  <c r="J221" i="5"/>
  <c r="K221" i="5" s="1"/>
  <c r="G307" i="7" s="1"/>
  <c r="J222" i="5"/>
  <c r="K222" i="5" s="1"/>
  <c r="G308" i="7" s="1"/>
  <c r="J223" i="5"/>
  <c r="K223" i="5" s="1"/>
  <c r="G309" i="7" s="1"/>
  <c r="J224" i="5"/>
  <c r="K224" i="5" s="1"/>
  <c r="G124" i="7" s="1"/>
  <c r="J225" i="5"/>
  <c r="K225" i="5" s="1"/>
  <c r="G310" i="7" s="1"/>
  <c r="J226" i="5"/>
  <c r="K226" i="5" s="1"/>
  <c r="G125" i="7" s="1"/>
  <c r="J227" i="5"/>
  <c r="K227" i="5" s="1"/>
  <c r="G311" i="7" s="1"/>
  <c r="J228" i="5"/>
  <c r="K228" i="5" s="1"/>
  <c r="G126" i="7" s="1"/>
  <c r="J229" i="5"/>
  <c r="K229" i="5" s="1"/>
  <c r="G312" i="7" s="1"/>
  <c r="J230" i="5"/>
  <c r="K230" i="5" s="1"/>
  <c r="G29" i="7" s="1"/>
  <c r="J231" i="5"/>
  <c r="K231" i="5" s="1"/>
  <c r="G127" i="7" s="1"/>
  <c r="J232" i="5"/>
  <c r="K232" i="5" s="1"/>
  <c r="G128" i="7" s="1"/>
  <c r="J233" i="5"/>
  <c r="K233" i="5" s="1"/>
  <c r="G313" i="7" s="1"/>
  <c r="J234" i="5"/>
  <c r="K234" i="5" s="1"/>
  <c r="G129" i="7" s="1"/>
  <c r="J235" i="5"/>
  <c r="K235" i="5" s="1"/>
  <c r="G314" i="7" s="1"/>
  <c r="J236" i="5"/>
  <c r="K236" i="5" s="1"/>
  <c r="G315" i="7" s="1"/>
  <c r="J237" i="5"/>
  <c r="K237" i="5" s="1"/>
  <c r="G316" i="7" s="1"/>
  <c r="J238" i="5"/>
  <c r="K238" i="5" s="1"/>
  <c r="G30" i="7" s="1"/>
  <c r="J239" i="5"/>
  <c r="K239" i="5" s="1"/>
  <c r="G31" i="7" s="1"/>
  <c r="J240" i="5"/>
  <c r="K240" i="5" s="1"/>
  <c r="G130" i="7" s="1"/>
  <c r="J241" i="5"/>
  <c r="K241" i="5" s="1"/>
  <c r="G317" i="7" s="1"/>
  <c r="J242" i="5"/>
  <c r="K242" i="5" s="1"/>
  <c r="G32" i="7" s="1"/>
  <c r="J243" i="5"/>
  <c r="K243" i="5" s="1"/>
  <c r="G318" i="7" s="1"/>
  <c r="J244" i="5"/>
  <c r="K244" i="5" s="1"/>
  <c r="G319" i="7" s="1"/>
  <c r="J245" i="5"/>
  <c r="K245" i="5" s="1"/>
  <c r="G131" i="7" s="1"/>
  <c r="J246" i="5"/>
  <c r="K246" i="5" s="1"/>
  <c r="G320" i="7" s="1"/>
  <c r="J247" i="5"/>
  <c r="K247" i="5" s="1"/>
  <c r="G132" i="7" s="1"/>
  <c r="J248" i="5"/>
  <c r="K248" i="5" s="1"/>
  <c r="G321" i="7" s="1"/>
  <c r="J249" i="5"/>
  <c r="K249" i="5" s="1"/>
  <c r="G133" i="7" s="1"/>
  <c r="J250" i="5"/>
  <c r="K250" i="5" s="1"/>
  <c r="G322" i="7" s="1"/>
  <c r="J251" i="5"/>
  <c r="K251" i="5" s="1"/>
  <c r="G134" i="7" s="1"/>
  <c r="J252" i="5"/>
  <c r="K252" i="5" s="1"/>
  <c r="G33" i="7" s="1"/>
  <c r="J253" i="5"/>
  <c r="K253" i="5" s="1"/>
  <c r="G135" i="7" s="1"/>
  <c r="J254" i="5"/>
  <c r="K254" i="5" s="1"/>
  <c r="G136" i="7" s="1"/>
  <c r="J255" i="5"/>
  <c r="K255" i="5" s="1"/>
  <c r="G323" i="7" s="1"/>
  <c r="J256" i="5"/>
  <c r="K256" i="5" s="1"/>
  <c r="G137" i="7" s="1"/>
  <c r="J257" i="5"/>
  <c r="K257" i="5" s="1"/>
  <c r="G324" i="7" s="1"/>
  <c r="J258" i="5"/>
  <c r="K258" i="5" s="1"/>
  <c r="G138" i="7" s="1"/>
  <c r="J259" i="5"/>
  <c r="K259" i="5" s="1"/>
  <c r="G325" i="7" s="1"/>
  <c r="J260" i="5"/>
  <c r="K260" i="5" s="1"/>
  <c r="G139" i="7" s="1"/>
  <c r="J261" i="5"/>
  <c r="K261" i="5" s="1"/>
  <c r="G326" i="7" s="1"/>
  <c r="J262" i="5"/>
  <c r="K262" i="5" s="1"/>
  <c r="G140" i="7" s="1"/>
  <c r="J263" i="5"/>
  <c r="K263" i="5" s="1"/>
  <c r="G327" i="7" s="1"/>
  <c r="J264" i="5"/>
  <c r="K264" i="5" s="1"/>
  <c r="G328" i="7" s="1"/>
  <c r="J265" i="5"/>
  <c r="K265" i="5" s="1"/>
  <c r="G34" i="7" s="1"/>
  <c r="J266" i="5"/>
  <c r="K266" i="5" s="1"/>
  <c r="G35" i="7" s="1"/>
  <c r="J267" i="5"/>
  <c r="K267" i="5" s="1"/>
  <c r="G329" i="7" s="1"/>
  <c r="J268" i="5"/>
  <c r="K268" i="5" s="1"/>
  <c r="G141" i="7" s="1"/>
  <c r="J269" i="5"/>
  <c r="K269" i="5" s="1"/>
  <c r="G330" i="7" s="1"/>
  <c r="J270" i="5"/>
  <c r="K270" i="5" s="1"/>
  <c r="G331" i="7" s="1"/>
  <c r="J271" i="5"/>
  <c r="K271" i="5" s="1"/>
  <c r="G332" i="7" s="1"/>
  <c r="J272" i="5"/>
  <c r="K272" i="5" s="1"/>
  <c r="G142" i="7" s="1"/>
  <c r="J273" i="5"/>
  <c r="K273" i="5" s="1"/>
  <c r="G143" i="7" s="1"/>
  <c r="J274" i="5"/>
  <c r="K274" i="5" s="1"/>
  <c r="G144" i="7" s="1"/>
  <c r="J275" i="5"/>
  <c r="K275" i="5" s="1"/>
  <c r="G333" i="7" s="1"/>
  <c r="J276" i="5"/>
  <c r="K276" i="5" s="1"/>
  <c r="G145" i="7" s="1"/>
  <c r="J277" i="5"/>
  <c r="K277" i="5" s="1"/>
  <c r="G334" i="7" s="1"/>
  <c r="J278" i="5"/>
  <c r="K278" i="5" s="1"/>
  <c r="G146" i="7" s="1"/>
  <c r="J279" i="5"/>
  <c r="K279" i="5" s="1"/>
  <c r="G147" i="7" s="1"/>
  <c r="J280" i="5"/>
  <c r="K280" i="5" s="1"/>
  <c r="G335" i="7" s="1"/>
  <c r="J281" i="5"/>
  <c r="K281" i="5" s="1"/>
  <c r="G336" i="7" s="1"/>
  <c r="J282" i="5"/>
  <c r="K282" i="5" s="1"/>
  <c r="G337" i="7" s="1"/>
  <c r="J283" i="5"/>
  <c r="K283" i="5" s="1"/>
  <c r="G36" i="7" s="1"/>
  <c r="J284" i="5"/>
  <c r="K284" i="5" s="1"/>
  <c r="G338" i="7" s="1"/>
  <c r="J285" i="5"/>
  <c r="K285" i="5" s="1"/>
  <c r="G339" i="7" s="1"/>
  <c r="J286" i="5"/>
  <c r="K286" i="5" s="1"/>
  <c r="G37" i="7" s="1"/>
  <c r="J287" i="5"/>
  <c r="K287" i="5" s="1"/>
  <c r="G340" i="7" s="1"/>
  <c r="J288" i="5"/>
  <c r="K288" i="5" s="1"/>
  <c r="G148" i="7" s="1"/>
  <c r="J289" i="5"/>
  <c r="K289" i="5" s="1"/>
  <c r="G341" i="7" s="1"/>
  <c r="J290" i="5"/>
  <c r="K290" i="5" s="1"/>
  <c r="G149" i="7" s="1"/>
  <c r="J291" i="5"/>
  <c r="K291" i="5" s="1"/>
  <c r="G150" i="7" s="1"/>
  <c r="J292" i="5"/>
  <c r="K292" i="5" s="1"/>
  <c r="G342" i="7" s="1"/>
  <c r="J293" i="5"/>
  <c r="K293" i="5" s="1"/>
  <c r="G343" i="7" s="1"/>
  <c r="J294" i="5"/>
  <c r="K294" i="5" s="1"/>
  <c r="G344" i="7" s="1"/>
  <c r="J295" i="5"/>
  <c r="K295" i="5" s="1"/>
  <c r="G38" i="7" s="1"/>
  <c r="J296" i="5"/>
  <c r="K296" i="5" s="1"/>
  <c r="G151" i="7" s="1"/>
  <c r="J297" i="5"/>
  <c r="K297" i="5" s="1"/>
  <c r="G39" i="7" s="1"/>
  <c r="J298" i="5"/>
  <c r="K298" i="5" s="1"/>
  <c r="G345" i="7" s="1"/>
  <c r="J299" i="5"/>
  <c r="K299" i="5" s="1"/>
  <c r="G346" i="7" s="1"/>
  <c r="J300" i="5"/>
  <c r="K300" i="5" s="1"/>
  <c r="G347" i="7" s="1"/>
  <c r="J301" i="5"/>
  <c r="K301" i="5" s="1"/>
  <c r="G348" i="7" s="1"/>
  <c r="J302" i="5"/>
  <c r="K302" i="5" s="1"/>
  <c r="G152" i="7" s="1"/>
  <c r="J303" i="5"/>
  <c r="K303" i="5" s="1"/>
  <c r="G153" i="7" s="1"/>
  <c r="J304" i="5"/>
  <c r="K304" i="5" s="1"/>
  <c r="G349" i="7" s="1"/>
  <c r="J305" i="5"/>
  <c r="K305" i="5" s="1"/>
  <c r="G40" i="7" s="1"/>
  <c r="J306" i="5"/>
  <c r="K306" i="5" s="1"/>
  <c r="G350" i="7" s="1"/>
  <c r="J307" i="5"/>
  <c r="K307" i="5" s="1"/>
  <c r="G154" i="7" s="1"/>
  <c r="J308" i="5"/>
  <c r="K308" i="5" s="1"/>
  <c r="G351" i="7" s="1"/>
  <c r="J309" i="5"/>
  <c r="K309" i="5" s="1"/>
  <c r="G352" i="7" s="1"/>
  <c r="J310" i="5"/>
  <c r="K310" i="5" s="1"/>
  <c r="G155" i="7" s="1"/>
  <c r="J311" i="5"/>
  <c r="K311" i="5" s="1"/>
  <c r="G353" i="7" s="1"/>
  <c r="J312" i="5"/>
  <c r="K312" i="5" s="1"/>
  <c r="G156" i="7" s="1"/>
  <c r="J313" i="5"/>
  <c r="K313" i="5" s="1"/>
  <c r="G157" i="7" s="1"/>
  <c r="J314" i="5"/>
  <c r="K314" i="5" s="1"/>
  <c r="G354" i="7" s="1"/>
  <c r="J315" i="5"/>
  <c r="K315" i="5" s="1"/>
  <c r="G41" i="7" s="1"/>
  <c r="J316" i="5"/>
  <c r="K316" i="5" s="1"/>
  <c r="G42" i="7" s="1"/>
  <c r="J317" i="5"/>
  <c r="K317" i="5" s="1"/>
  <c r="G158" i="7" s="1"/>
  <c r="J318" i="5"/>
  <c r="K318" i="5" s="1"/>
  <c r="G355" i="7" s="1"/>
  <c r="J319" i="5"/>
  <c r="K319" i="5" s="1"/>
  <c r="G159" i="7" s="1"/>
  <c r="J320" i="5"/>
  <c r="K320" i="5" s="1"/>
  <c r="G160" i="7" s="1"/>
  <c r="J321" i="5"/>
  <c r="K321" i="5" s="1"/>
  <c r="G161" i="7" s="1"/>
  <c r="J322" i="5"/>
  <c r="K322" i="5" s="1"/>
  <c r="G162" i="7" s="1"/>
  <c r="J323" i="5"/>
  <c r="K323" i="5" s="1"/>
  <c r="G356" i="7" s="1"/>
  <c r="J324" i="5"/>
  <c r="K324" i="5" s="1"/>
  <c r="G163" i="7" s="1"/>
  <c r="J325" i="5"/>
  <c r="K325" i="5" s="1"/>
  <c r="G43" i="7" s="1"/>
  <c r="J326" i="5"/>
  <c r="K326" i="5" s="1"/>
  <c r="G357" i="7" s="1"/>
  <c r="J327" i="5"/>
  <c r="K327" i="5" s="1"/>
  <c r="G358" i="7" s="1"/>
  <c r="J328" i="5"/>
  <c r="K328" i="5" s="1"/>
  <c r="G359" i="7" s="1"/>
  <c r="J329" i="5"/>
  <c r="K329" i="5" s="1"/>
  <c r="G360" i="7" s="1"/>
  <c r="J330" i="5"/>
  <c r="K330" i="5" s="1"/>
  <c r="G361" i="7" s="1"/>
  <c r="J331" i="5"/>
  <c r="K331" i="5" s="1"/>
  <c r="G164" i="7" s="1"/>
  <c r="J332" i="5"/>
  <c r="K332" i="5" s="1"/>
  <c r="G362" i="7" s="1"/>
  <c r="J333" i="5"/>
  <c r="K333" i="5" s="1"/>
  <c r="G165" i="7" s="1"/>
  <c r="J334" i="5"/>
  <c r="K334" i="5" s="1"/>
  <c r="G363" i="7" s="1"/>
  <c r="J335" i="5"/>
  <c r="K335" i="5" s="1"/>
  <c r="G364" i="7" s="1"/>
  <c r="J336" i="5"/>
  <c r="K336" i="5" s="1"/>
  <c r="G166" i="7" s="1"/>
  <c r="J337" i="5"/>
  <c r="K337" i="5" s="1"/>
  <c r="G365" i="7" s="1"/>
  <c r="J338" i="5"/>
  <c r="K338" i="5" s="1"/>
  <c r="G167" i="7" s="1"/>
  <c r="J339" i="5"/>
  <c r="K339" i="5" s="1"/>
  <c r="G366" i="7" s="1"/>
  <c r="J340" i="5"/>
  <c r="K340" i="5" s="1"/>
  <c r="G44" i="7" s="1"/>
  <c r="J341" i="5"/>
  <c r="K341" i="5" s="1"/>
  <c r="G45" i="7" s="1"/>
  <c r="J342" i="5"/>
  <c r="K342" i="5" s="1"/>
  <c r="G168" i="7" s="1"/>
  <c r="J343" i="5"/>
  <c r="K343" i="5" s="1"/>
  <c r="G367" i="7" s="1"/>
  <c r="J344" i="5"/>
  <c r="K344" i="5" s="1"/>
  <c r="G368" i="7" s="1"/>
  <c r="J345" i="5"/>
  <c r="K345" i="5" s="1"/>
  <c r="G369" i="7" s="1"/>
  <c r="J346" i="5"/>
  <c r="K346" i="5" s="1"/>
  <c r="G169" i="7" s="1"/>
  <c r="J347" i="5"/>
  <c r="K347" i="5" s="1"/>
  <c r="G170" i="7" s="1"/>
  <c r="J348" i="5"/>
  <c r="K348" i="5" s="1"/>
  <c r="G370" i="7" s="1"/>
  <c r="J349" i="5"/>
  <c r="K349" i="5" s="1"/>
  <c r="G371" i="7" s="1"/>
  <c r="J350" i="5"/>
  <c r="K350" i="5" s="1"/>
  <c r="G171" i="7" s="1"/>
  <c r="J351" i="5"/>
  <c r="K351" i="5" s="1"/>
  <c r="G372" i="7" s="1"/>
  <c r="J352" i="5"/>
  <c r="K352" i="5" s="1"/>
  <c r="G373" i="7" s="1"/>
  <c r="J353" i="5"/>
  <c r="K353" i="5" s="1"/>
  <c r="G46" i="7" s="1"/>
  <c r="J354" i="5"/>
  <c r="K354" i="5" s="1"/>
  <c r="G374" i="7" s="1"/>
  <c r="J355" i="5"/>
  <c r="K355" i="5" s="1"/>
  <c r="G172" i="7" s="1"/>
  <c r="J356" i="5"/>
  <c r="K356" i="5" s="1"/>
  <c r="G375" i="7" s="1"/>
  <c r="J357" i="5"/>
  <c r="K357" i="5" s="1"/>
  <c r="G376" i="7" s="1"/>
  <c r="J358" i="5"/>
  <c r="K358" i="5" s="1"/>
  <c r="G377" i="7" s="1"/>
  <c r="J359" i="5"/>
  <c r="K359" i="5" s="1"/>
  <c r="G173" i="7" s="1"/>
  <c r="J360" i="5"/>
  <c r="K360" i="5" s="1"/>
  <c r="G378" i="7" s="1"/>
  <c r="J361" i="5"/>
  <c r="K361" i="5" s="1"/>
  <c r="G379" i="7" s="1"/>
  <c r="J362" i="5"/>
  <c r="K362" i="5" s="1"/>
  <c r="G174" i="7" s="1"/>
  <c r="J363" i="5"/>
  <c r="K363" i="5" s="1"/>
  <c r="G175" i="7" s="1"/>
  <c r="J364" i="5"/>
  <c r="K364" i="5" s="1"/>
  <c r="G176" i="7" s="1"/>
  <c r="J365" i="5"/>
  <c r="K365" i="5" s="1"/>
  <c r="G380" i="7" s="1"/>
  <c r="J366" i="5"/>
  <c r="K366" i="5" s="1"/>
  <c r="G381" i="7" s="1"/>
  <c r="J367" i="5"/>
  <c r="K367" i="5" s="1"/>
  <c r="G382" i="7" s="1"/>
  <c r="J368" i="5"/>
  <c r="K368" i="5" s="1"/>
  <c r="G383" i="7" s="1"/>
  <c r="J369" i="5"/>
  <c r="K369" i="5" s="1"/>
  <c r="G384" i="7" s="1"/>
  <c r="J370" i="5"/>
  <c r="K370" i="5" s="1"/>
  <c r="G385" i="7" s="1"/>
  <c r="J371" i="5"/>
  <c r="K371" i="5" s="1"/>
  <c r="G386" i="7" s="1"/>
  <c r="J372" i="5"/>
  <c r="K372" i="5" s="1"/>
  <c r="G387" i="7" s="1"/>
  <c r="J373" i="5"/>
  <c r="K373" i="5" s="1"/>
  <c r="G177" i="7" s="1"/>
  <c r="J374" i="5"/>
  <c r="K374" i="5" s="1"/>
  <c r="G178" i="7" s="1"/>
  <c r="J375" i="5"/>
  <c r="K375" i="5" s="1"/>
  <c r="G179" i="7" s="1"/>
  <c r="J376" i="5"/>
  <c r="K376" i="5" s="1"/>
  <c r="G47" i="7" s="1"/>
  <c r="J377" i="5"/>
  <c r="K377" i="5" s="1"/>
  <c r="G48" i="7" s="1"/>
  <c r="J378" i="5"/>
  <c r="K378" i="5" s="1"/>
  <c r="G180" i="7" s="1"/>
  <c r="J379" i="5"/>
  <c r="K379" i="5" s="1"/>
  <c r="G388" i="7" s="1"/>
  <c r="J380" i="5"/>
  <c r="K380" i="5" s="1"/>
  <c r="G389" i="7" s="1"/>
  <c r="J381" i="5"/>
  <c r="K381" i="5" s="1"/>
  <c r="G181" i="7" s="1"/>
  <c r="J382" i="5"/>
  <c r="K382" i="5" s="1"/>
  <c r="G182" i="7" s="1"/>
  <c r="J383" i="5"/>
  <c r="K383" i="5" s="1"/>
  <c r="G390" i="7" s="1"/>
  <c r="J384" i="5"/>
  <c r="K384" i="5" s="1"/>
  <c r="G183" i="7" s="1"/>
  <c r="J385" i="5"/>
  <c r="K385" i="5" s="1"/>
  <c r="G391" i="7" s="1"/>
  <c r="J386" i="5"/>
  <c r="K386" i="5" s="1"/>
  <c r="G392" i="7" s="1"/>
  <c r="J387" i="5"/>
  <c r="K387" i="5" s="1"/>
  <c r="G393" i="7" s="1"/>
  <c r="J388" i="5"/>
  <c r="K388" i="5" s="1"/>
  <c r="G394" i="7" s="1"/>
  <c r="J389" i="5"/>
  <c r="K389" i="5" s="1"/>
  <c r="G184" i="7" s="1"/>
  <c r="J390" i="5"/>
  <c r="K390" i="5" s="1"/>
  <c r="G395" i="7" s="1"/>
  <c r="J391" i="5"/>
  <c r="K391" i="5" s="1"/>
  <c r="G185" i="7" s="1"/>
  <c r="J392" i="5"/>
  <c r="K392" i="5" s="1"/>
  <c r="G396" i="7" s="1"/>
  <c r="J393" i="5"/>
  <c r="K393" i="5" s="1"/>
  <c r="G49" i="7" s="1"/>
  <c r="J394" i="5"/>
  <c r="K394" i="5" s="1"/>
  <c r="G397" i="7" s="1"/>
  <c r="J395" i="5"/>
  <c r="K395" i="5" s="1"/>
  <c r="G398" i="7" s="1"/>
  <c r="J396" i="5"/>
  <c r="K396" i="5" s="1"/>
  <c r="G186" i="7" s="1"/>
  <c r="J397" i="5"/>
  <c r="K397" i="5" s="1"/>
  <c r="G399" i="7" s="1"/>
  <c r="J398" i="5"/>
  <c r="K398" i="5" s="1"/>
  <c r="G400" i="7" s="1"/>
  <c r="J399" i="5"/>
  <c r="K399" i="5" s="1"/>
  <c r="G401" i="7" s="1"/>
  <c r="J400" i="5"/>
  <c r="K400" i="5" s="1"/>
  <c r="G187" i="7" s="1"/>
  <c r="J401" i="5"/>
  <c r="K401" i="5" s="1"/>
  <c r="G402" i="7" s="1"/>
  <c r="J402" i="5"/>
  <c r="K402" i="5" s="1"/>
  <c r="G403" i="7" s="1"/>
  <c r="N4" i="5"/>
  <c r="O4" i="5" s="1"/>
  <c r="I189" i="7" s="1"/>
  <c r="N5" i="5"/>
  <c r="O5" i="5" s="1"/>
  <c r="I190" i="7" s="1"/>
  <c r="N6" i="5"/>
  <c r="O6" i="5" s="1"/>
  <c r="I4" i="7" s="1"/>
  <c r="N7" i="5"/>
  <c r="N9" i="5"/>
  <c r="O9" i="5" s="1"/>
  <c r="I5" i="7" s="1"/>
  <c r="N10" i="5"/>
  <c r="O10" i="5" s="1"/>
  <c r="I191" i="7" s="1"/>
  <c r="N11" i="5"/>
  <c r="O11" i="5" s="1"/>
  <c r="I192" i="7" s="1"/>
  <c r="N12" i="5"/>
  <c r="O12" i="5" s="1"/>
  <c r="I52" i="7" s="1"/>
  <c r="N13" i="5"/>
  <c r="O13" i="5" s="1"/>
  <c r="I53" i="7" s="1"/>
  <c r="N14" i="5"/>
  <c r="O14" i="5" s="1"/>
  <c r="I54" i="7" s="1"/>
  <c r="N15" i="5"/>
  <c r="O15" i="5" s="1"/>
  <c r="I193" i="7" s="1"/>
  <c r="N16" i="5"/>
  <c r="O16" i="5" s="1"/>
  <c r="I194" i="7" s="1"/>
  <c r="N17" i="5"/>
  <c r="O17" i="5" s="1"/>
  <c r="I195" i="7" s="1"/>
  <c r="N18" i="5"/>
  <c r="O18" i="5" s="1"/>
  <c r="I196" i="7" s="1"/>
  <c r="N19" i="5"/>
  <c r="O19" i="5" s="1"/>
  <c r="I6" i="7" s="1"/>
  <c r="N20" i="5"/>
  <c r="O20" i="5" s="1"/>
  <c r="I197" i="7" s="1"/>
  <c r="N21" i="5"/>
  <c r="O21" i="5" s="1"/>
  <c r="I55" i="7" s="1"/>
  <c r="N22" i="5"/>
  <c r="O22" i="5" s="1"/>
  <c r="I198" i="7" s="1"/>
  <c r="N23" i="5"/>
  <c r="O23" i="5" s="1"/>
  <c r="I199" i="7" s="1"/>
  <c r="N24" i="5"/>
  <c r="O24" i="5" s="1"/>
  <c r="I200" i="7" s="1"/>
  <c r="N25" i="5"/>
  <c r="O25" i="5" s="1"/>
  <c r="I7" i="7" s="1"/>
  <c r="N26" i="5"/>
  <c r="O26" i="5" s="1"/>
  <c r="I8" i="7" s="1"/>
  <c r="N27" i="5"/>
  <c r="O27" i="5" s="1"/>
  <c r="I56" i="7" s="1"/>
  <c r="N28" i="5"/>
  <c r="O28" i="5" s="1"/>
  <c r="I57" i="7" s="1"/>
  <c r="N29" i="5"/>
  <c r="O29" i="5" s="1"/>
  <c r="I9" i="7" s="1"/>
  <c r="N30" i="5"/>
  <c r="O30" i="5" s="1"/>
  <c r="I10" i="7" s="1"/>
  <c r="N31" i="5"/>
  <c r="O31" i="5" s="1"/>
  <c r="I11" i="7" s="1"/>
  <c r="N32" i="5"/>
  <c r="O32" i="5" s="1"/>
  <c r="I201" i="7" s="1"/>
  <c r="N33" i="5"/>
  <c r="O33" i="5" s="1"/>
  <c r="I58" i="7" s="1"/>
  <c r="N34" i="5"/>
  <c r="O34" i="5" s="1"/>
  <c r="I202" i="7" s="1"/>
  <c r="N35" i="5"/>
  <c r="O35" i="5" s="1"/>
  <c r="I59" i="7" s="1"/>
  <c r="N36" i="5"/>
  <c r="O36" i="5" s="1"/>
  <c r="I12" i="7" s="1"/>
  <c r="N37" i="5"/>
  <c r="O37" i="5" s="1"/>
  <c r="I60" i="7" s="1"/>
  <c r="N38" i="5"/>
  <c r="O38" i="5" s="1"/>
  <c r="I61" i="7" s="1"/>
  <c r="N39" i="5"/>
  <c r="O39" i="5" s="1"/>
  <c r="I13" i="7" s="1"/>
  <c r="N40" i="5"/>
  <c r="O40" i="5" s="1"/>
  <c r="I203" i="7" s="1"/>
  <c r="N41" i="5"/>
  <c r="O41" i="5" s="1"/>
  <c r="I62" i="7" s="1"/>
  <c r="N42" i="5"/>
  <c r="O42" i="5" s="1"/>
  <c r="I204" i="7" s="1"/>
  <c r="N43" i="5"/>
  <c r="O43" i="5" s="1"/>
  <c r="I14" i="7" s="1"/>
  <c r="N44" i="5"/>
  <c r="O44" i="5" s="1"/>
  <c r="I205" i="7" s="1"/>
  <c r="N45" i="5"/>
  <c r="O45" i="5" s="1"/>
  <c r="I63" i="7" s="1"/>
  <c r="N46" i="5"/>
  <c r="O46" i="5" s="1"/>
  <c r="I206" i="7" s="1"/>
  <c r="N47" i="5"/>
  <c r="O47" i="5" s="1"/>
  <c r="I207" i="7" s="1"/>
  <c r="N48" i="5"/>
  <c r="O48" i="5" s="1"/>
  <c r="I15" i="7" s="1"/>
  <c r="N49" i="5"/>
  <c r="O49" i="5" s="1"/>
  <c r="I64" i="7" s="1"/>
  <c r="N50" i="5"/>
  <c r="O50" i="5" s="1"/>
  <c r="I208" i="7" s="1"/>
  <c r="N51" i="5"/>
  <c r="O51" i="5" s="1"/>
  <c r="I65" i="7" s="1"/>
  <c r="N52" i="5"/>
  <c r="O52" i="5" s="1"/>
  <c r="I209" i="7" s="1"/>
  <c r="N53" i="5"/>
  <c r="O53" i="5" s="1"/>
  <c r="I210" i="7" s="1"/>
  <c r="N54" i="5"/>
  <c r="O54" i="5" s="1"/>
  <c r="I211" i="7" s="1"/>
  <c r="N55" i="5"/>
  <c r="O55" i="5" s="1"/>
  <c r="I212" i="7" s="1"/>
  <c r="N56" i="5"/>
  <c r="O56" i="5" s="1"/>
  <c r="I16" i="7" s="1"/>
  <c r="N57" i="5"/>
  <c r="O57" i="5" s="1"/>
  <c r="I213" i="7" s="1"/>
  <c r="N58" i="5"/>
  <c r="O58" i="5" s="1"/>
  <c r="I214" i="7" s="1"/>
  <c r="N59" i="5"/>
  <c r="O59" i="5" s="1"/>
  <c r="I66" i="7" s="1"/>
  <c r="N60" i="5"/>
  <c r="O60" i="5" s="1"/>
  <c r="I67" i="7" s="1"/>
  <c r="N61" i="5"/>
  <c r="O61" i="5" s="1"/>
  <c r="I215" i="7" s="1"/>
  <c r="N62" i="5"/>
  <c r="O62" i="5" s="1"/>
  <c r="I216" i="7" s="1"/>
  <c r="N63" i="5"/>
  <c r="O63" i="5" s="1"/>
  <c r="I68" i="7" s="1"/>
  <c r="N64" i="5"/>
  <c r="O64" i="5" s="1"/>
  <c r="I217" i="7" s="1"/>
  <c r="N65" i="5"/>
  <c r="O65" i="5" s="1"/>
  <c r="I218" i="7" s="1"/>
  <c r="N66" i="5"/>
  <c r="O66" i="5" s="1"/>
  <c r="I69" i="7" s="1"/>
  <c r="N67" i="5"/>
  <c r="O67" i="5" s="1"/>
  <c r="I70" i="7" s="1"/>
  <c r="N68" i="5"/>
  <c r="O68" i="5" s="1"/>
  <c r="I71" i="7" s="1"/>
  <c r="N69" i="5"/>
  <c r="O69" i="5" s="1"/>
  <c r="I219" i="7" s="1"/>
  <c r="N70" i="5"/>
  <c r="O70" i="5" s="1"/>
  <c r="I72" i="7" s="1"/>
  <c r="N71" i="5"/>
  <c r="O71" i="5" s="1"/>
  <c r="I73" i="7" s="1"/>
  <c r="N72" i="5"/>
  <c r="O72" i="5" s="1"/>
  <c r="I220" i="7" s="1"/>
  <c r="N73" i="5"/>
  <c r="O73" i="5" s="1"/>
  <c r="I74" i="7" s="1"/>
  <c r="N74" i="5"/>
  <c r="O74" i="5" s="1"/>
  <c r="I221" i="7" s="1"/>
  <c r="N75" i="5"/>
  <c r="O75" i="5" s="1"/>
  <c r="I222" i="7" s="1"/>
  <c r="N76" i="5"/>
  <c r="O76" i="5" s="1"/>
  <c r="I75" i="7" s="1"/>
  <c r="N77" i="5"/>
  <c r="O77" i="5" s="1"/>
  <c r="I76" i="7" s="1"/>
  <c r="N78" i="5"/>
  <c r="O78" i="5" s="1"/>
  <c r="I17" i="7" s="1"/>
  <c r="N79" i="5"/>
  <c r="O79" i="5" s="1"/>
  <c r="I223" i="7" s="1"/>
  <c r="N80" i="5"/>
  <c r="O80" i="5" s="1"/>
  <c r="I224" i="7" s="1"/>
  <c r="N81" i="5"/>
  <c r="O81" i="5" s="1"/>
  <c r="I77" i="7" s="1"/>
  <c r="N82" i="5"/>
  <c r="O82" i="5" s="1"/>
  <c r="I225" i="7" s="1"/>
  <c r="N83" i="5"/>
  <c r="O83" i="5" s="1"/>
  <c r="I18" i="7" s="1"/>
  <c r="N84" i="5"/>
  <c r="O84" i="5" s="1"/>
  <c r="I226" i="7" s="1"/>
  <c r="N85" i="5"/>
  <c r="O85" i="5" s="1"/>
  <c r="I227" i="7" s="1"/>
  <c r="N86" i="5"/>
  <c r="O86" i="5" s="1"/>
  <c r="I19" i="7" s="1"/>
  <c r="N87" i="5"/>
  <c r="O87" i="5" s="1"/>
  <c r="I78" i="7" s="1"/>
  <c r="N88" i="5"/>
  <c r="O88" i="5" s="1"/>
  <c r="I79" i="7" s="1"/>
  <c r="N89" i="5"/>
  <c r="O89" i="5" s="1"/>
  <c r="I80" i="7" s="1"/>
  <c r="N90" i="5"/>
  <c r="O90" i="5" s="1"/>
  <c r="I228" i="7" s="1"/>
  <c r="N91" i="5"/>
  <c r="O91" i="5" s="1"/>
  <c r="I81" i="7" s="1"/>
  <c r="N92" i="5"/>
  <c r="O92" i="5" s="1"/>
  <c r="I229" i="7" s="1"/>
  <c r="N93" i="5"/>
  <c r="O93" i="5" s="1"/>
  <c r="I230" i="7" s="1"/>
  <c r="N94" i="5"/>
  <c r="O94" i="5" s="1"/>
  <c r="I231" i="7" s="1"/>
  <c r="N95" i="5"/>
  <c r="O95" i="5" s="1"/>
  <c r="I232" i="7" s="1"/>
  <c r="N96" i="5"/>
  <c r="O96" i="5" s="1"/>
  <c r="I82" i="7" s="1"/>
  <c r="N97" i="5"/>
  <c r="O97" i="5" s="1"/>
  <c r="I233" i="7" s="1"/>
  <c r="N98" i="5"/>
  <c r="O98" i="5" s="1"/>
  <c r="I234" i="7" s="1"/>
  <c r="N99" i="5"/>
  <c r="O99" i="5" s="1"/>
  <c r="I83" i="7" s="1"/>
  <c r="N100" i="5"/>
  <c r="O100" i="5" s="1"/>
  <c r="I235" i="7" s="1"/>
  <c r="N101" i="5"/>
  <c r="O101" i="5" s="1"/>
  <c r="I84" i="7" s="1"/>
  <c r="N102" i="5"/>
  <c r="O102" i="5" s="1"/>
  <c r="I236" i="7" s="1"/>
  <c r="N103" i="5"/>
  <c r="O103" i="5" s="1"/>
  <c r="I20" i="7" s="1"/>
  <c r="N104" i="5"/>
  <c r="O104" i="5" s="1"/>
  <c r="I237" i="7" s="1"/>
  <c r="N105" i="5"/>
  <c r="O105" i="5" s="1"/>
  <c r="I238" i="7" s="1"/>
  <c r="N106" i="5"/>
  <c r="O106" i="5" s="1"/>
  <c r="I239" i="7" s="1"/>
  <c r="N107" i="5"/>
  <c r="O107" i="5" s="1"/>
  <c r="I85" i="7" s="1"/>
  <c r="N108" i="5"/>
  <c r="O108" i="5" s="1"/>
  <c r="I86" i="7" s="1"/>
  <c r="N109" i="5"/>
  <c r="O109" i="5" s="1"/>
  <c r="I240" i="7" s="1"/>
  <c r="N110" i="5"/>
  <c r="O110" i="5" s="1"/>
  <c r="I241" i="7" s="1"/>
  <c r="N111" i="5"/>
  <c r="O111" i="5" s="1"/>
  <c r="I242" i="7" s="1"/>
  <c r="N112" i="5"/>
  <c r="O112" i="5" s="1"/>
  <c r="I87" i="7" s="1"/>
  <c r="N113" i="5"/>
  <c r="O113" i="5" s="1"/>
  <c r="I243" i="7" s="1"/>
  <c r="N114" i="5"/>
  <c r="O114" i="5" s="1"/>
  <c r="I244" i="7" s="1"/>
  <c r="N115" i="5"/>
  <c r="O115" i="5" s="1"/>
  <c r="I245" i="7" s="1"/>
  <c r="N116" i="5"/>
  <c r="O116" i="5" s="1"/>
  <c r="I88" i="7" s="1"/>
  <c r="N117" i="5"/>
  <c r="O117" i="5" s="1"/>
  <c r="I246" i="7" s="1"/>
  <c r="N118" i="5"/>
  <c r="O118" i="5" s="1"/>
  <c r="I89" i="7" s="1"/>
  <c r="N119" i="5"/>
  <c r="O119" i="5" s="1"/>
  <c r="I247" i="7" s="1"/>
  <c r="N120" i="5"/>
  <c r="O120" i="5" s="1"/>
  <c r="I248" i="7" s="1"/>
  <c r="N121" i="5"/>
  <c r="O121" i="5" s="1"/>
  <c r="I249" i="7" s="1"/>
  <c r="N122" i="5"/>
  <c r="O122" i="5" s="1"/>
  <c r="I90" i="7" s="1"/>
  <c r="N123" i="5"/>
  <c r="O123" i="5" s="1"/>
  <c r="I250" i="7" s="1"/>
  <c r="N124" i="5"/>
  <c r="O124" i="5" s="1"/>
  <c r="I251" i="7" s="1"/>
  <c r="N125" i="5"/>
  <c r="O125" i="5" s="1"/>
  <c r="I252" i="7" s="1"/>
  <c r="N126" i="5"/>
  <c r="O126" i="5" s="1"/>
  <c r="I253" i="7" s="1"/>
  <c r="N127" i="5"/>
  <c r="O127" i="5" s="1"/>
  <c r="I91" i="7" s="1"/>
  <c r="N128" i="5"/>
  <c r="O128" i="5" s="1"/>
  <c r="I254" i="7" s="1"/>
  <c r="N129" i="5"/>
  <c r="O129" i="5" s="1"/>
  <c r="I255" i="7" s="1"/>
  <c r="N130" i="5"/>
  <c r="O130" i="5" s="1"/>
  <c r="I256" i="7" s="1"/>
  <c r="N131" i="5"/>
  <c r="O131" i="5" s="1"/>
  <c r="I92" i="7" s="1"/>
  <c r="N132" i="5"/>
  <c r="O132" i="5" s="1"/>
  <c r="I93" i="7" s="1"/>
  <c r="N133" i="5"/>
  <c r="O133" i="5" s="1"/>
  <c r="I257" i="7" s="1"/>
  <c r="N134" i="5"/>
  <c r="O134" i="5" s="1"/>
  <c r="I258" i="7" s="1"/>
  <c r="N135" i="5"/>
  <c r="O135" i="5" s="1"/>
  <c r="I94" i="7" s="1"/>
  <c r="N136" i="5"/>
  <c r="O136" i="5" s="1"/>
  <c r="I95" i="7" s="1"/>
  <c r="N137" i="5"/>
  <c r="O137" i="5" s="1"/>
  <c r="I259" i="7" s="1"/>
  <c r="N138" i="5"/>
  <c r="O138" i="5" s="1"/>
  <c r="I96" i="7" s="1"/>
  <c r="N139" i="5"/>
  <c r="O139" i="5" s="1"/>
  <c r="I260" i="7" s="1"/>
  <c r="N140" i="5"/>
  <c r="O140" i="5" s="1"/>
  <c r="I261" i="7" s="1"/>
  <c r="N141" i="5"/>
  <c r="O141" i="5" s="1"/>
  <c r="I97" i="7" s="1"/>
  <c r="N142" i="5"/>
  <c r="O142" i="5" s="1"/>
  <c r="I262" i="7" s="1"/>
  <c r="N143" i="5"/>
  <c r="O143" i="5" s="1"/>
  <c r="I263" i="7" s="1"/>
  <c r="N144" i="5"/>
  <c r="O144" i="5" s="1"/>
  <c r="I264" i="7" s="1"/>
  <c r="N145" i="5"/>
  <c r="O145" i="5" s="1"/>
  <c r="I265" i="7" s="1"/>
  <c r="N146" i="5"/>
  <c r="O146" i="5" s="1"/>
  <c r="I98" i="7" s="1"/>
  <c r="N147" i="5"/>
  <c r="O147" i="5" s="1"/>
  <c r="I99" i="7" s="1"/>
  <c r="N148" i="5"/>
  <c r="O148" i="5" s="1"/>
  <c r="I21" i="7" s="1"/>
  <c r="N149" i="5"/>
  <c r="O149" i="5" s="1"/>
  <c r="I100" i="7" s="1"/>
  <c r="N150" i="5"/>
  <c r="O150" i="5" s="1"/>
  <c r="I266" i="7" s="1"/>
  <c r="N151" i="5"/>
  <c r="O151" i="5" s="1"/>
  <c r="I22" i="7" s="1"/>
  <c r="N152" i="5"/>
  <c r="O152" i="5" s="1"/>
  <c r="I101" i="7" s="1"/>
  <c r="N153" i="5"/>
  <c r="O153" i="5" s="1"/>
  <c r="I267" i="7" s="1"/>
  <c r="N154" i="5"/>
  <c r="O154" i="5" s="1"/>
  <c r="I268" i="7" s="1"/>
  <c r="N155" i="5"/>
  <c r="O155" i="5" s="1"/>
  <c r="I23" i="7" s="1"/>
  <c r="N156" i="5"/>
  <c r="O156" i="5" s="1"/>
  <c r="I102" i="7" s="1"/>
  <c r="N157" i="5"/>
  <c r="O157" i="5" s="1"/>
  <c r="I24" i="7" s="1"/>
  <c r="N158" i="5"/>
  <c r="O158" i="5" s="1"/>
  <c r="I269" i="7" s="1"/>
  <c r="N159" i="5"/>
  <c r="O159" i="5" s="1"/>
  <c r="I270" i="7" s="1"/>
  <c r="N160" i="5"/>
  <c r="O160" i="5" s="1"/>
  <c r="I271" i="7" s="1"/>
  <c r="N161" i="5"/>
  <c r="O161" i="5" s="1"/>
  <c r="I103" i="7" s="1"/>
  <c r="N162" i="5"/>
  <c r="O162" i="5" s="1"/>
  <c r="I272" i="7" s="1"/>
  <c r="N163" i="5"/>
  <c r="O163" i="5" s="1"/>
  <c r="I104" i="7" s="1"/>
  <c r="N164" i="5"/>
  <c r="O164" i="5" s="1"/>
  <c r="I273" i="7" s="1"/>
  <c r="N165" i="5"/>
  <c r="O165" i="5" s="1"/>
  <c r="I274" i="7" s="1"/>
  <c r="N166" i="5"/>
  <c r="O166" i="5" s="1"/>
  <c r="I275" i="7" s="1"/>
  <c r="N167" i="5"/>
  <c r="O167" i="5" s="1"/>
  <c r="I105" i="7" s="1"/>
  <c r="N168" i="5"/>
  <c r="O168" i="5" s="1"/>
  <c r="I106" i="7" s="1"/>
  <c r="N169" i="5"/>
  <c r="O169" i="5" s="1"/>
  <c r="I276" i="7" s="1"/>
  <c r="N170" i="5"/>
  <c r="O170" i="5" s="1"/>
  <c r="I25" i="7" s="1"/>
  <c r="N171" i="5"/>
  <c r="O171" i="5" s="1"/>
  <c r="I277" i="7" s="1"/>
  <c r="N172" i="5"/>
  <c r="O172" i="5" s="1"/>
  <c r="I278" i="7" s="1"/>
  <c r="N173" i="5"/>
  <c r="O173" i="5" s="1"/>
  <c r="I279" i="7" s="1"/>
  <c r="N174" i="5"/>
  <c r="O174" i="5" s="1"/>
  <c r="I107" i="7" s="1"/>
  <c r="N175" i="5"/>
  <c r="O175" i="5" s="1"/>
  <c r="I280" i="7" s="1"/>
  <c r="N176" i="5"/>
  <c r="O176" i="5" s="1"/>
  <c r="I108" i="7" s="1"/>
  <c r="N177" i="5"/>
  <c r="O177" i="5" s="1"/>
  <c r="I109" i="7" s="1"/>
  <c r="N178" i="5"/>
  <c r="O178" i="5" s="1"/>
  <c r="I281" i="7" s="1"/>
  <c r="N179" i="5"/>
  <c r="O179" i="5" s="1"/>
  <c r="I282" i="7" s="1"/>
  <c r="N180" i="5"/>
  <c r="O180" i="5" s="1"/>
  <c r="I283" i="7" s="1"/>
  <c r="N181" i="5"/>
  <c r="O181" i="5" s="1"/>
  <c r="I284" i="7" s="1"/>
  <c r="N182" i="5"/>
  <c r="O182" i="5" s="1"/>
  <c r="I285" i="7" s="1"/>
  <c r="N183" i="5"/>
  <c r="O183" i="5" s="1"/>
  <c r="I110" i="7" s="1"/>
  <c r="N184" i="5"/>
  <c r="O184" i="5" s="1"/>
  <c r="I286" i="7" s="1"/>
  <c r="N185" i="5"/>
  <c r="O185" i="5" s="1"/>
  <c r="I287" i="7" s="1"/>
  <c r="N186" i="5"/>
  <c r="O186" i="5" s="1"/>
  <c r="I288" i="7" s="1"/>
  <c r="N187" i="5"/>
  <c r="O187" i="5" s="1"/>
  <c r="I111" i="7" s="1"/>
  <c r="N188" i="5"/>
  <c r="O188" i="5" s="1"/>
  <c r="I289" i="7" s="1"/>
  <c r="N189" i="5"/>
  <c r="O189" i="5" s="1"/>
  <c r="I290" i="7" s="1"/>
  <c r="N190" i="5"/>
  <c r="O190" i="5" s="1"/>
  <c r="I291" i="7" s="1"/>
  <c r="N191" i="5"/>
  <c r="O191" i="5" s="1"/>
  <c r="I112" i="7" s="1"/>
  <c r="N192" i="5"/>
  <c r="O192" i="5" s="1"/>
  <c r="I292" i="7" s="1"/>
  <c r="N193" i="5"/>
  <c r="O193" i="5" s="1"/>
  <c r="I113" i="7" s="1"/>
  <c r="N194" i="5"/>
  <c r="O194" i="5" s="1"/>
  <c r="I114" i="7" s="1"/>
  <c r="N195" i="5"/>
  <c r="O195" i="5" s="1"/>
  <c r="I293" i="7" s="1"/>
  <c r="N196" i="5"/>
  <c r="O196" i="5" s="1"/>
  <c r="I115" i="7" s="1"/>
  <c r="N197" i="5"/>
  <c r="O197" i="5" s="1"/>
  <c r="I294" i="7" s="1"/>
  <c r="N198" i="5"/>
  <c r="O198" i="5" s="1"/>
  <c r="I295" i="7" s="1"/>
  <c r="N199" i="5"/>
  <c r="O199" i="5" s="1"/>
  <c r="I296" i="7" s="1"/>
  <c r="N200" i="5"/>
  <c r="O200" i="5" s="1"/>
  <c r="I297" i="7" s="1"/>
  <c r="N201" i="5"/>
  <c r="O201" i="5" s="1"/>
  <c r="I298" i="7" s="1"/>
  <c r="N202" i="5"/>
  <c r="O202" i="5" s="1"/>
  <c r="I299" i="7" s="1"/>
  <c r="N203" i="5"/>
  <c r="O203" i="5" s="1"/>
  <c r="I300" i="7" s="1"/>
  <c r="N204" i="5"/>
  <c r="O204" i="5" s="1"/>
  <c r="I116" i="7" s="1"/>
  <c r="N205" i="5"/>
  <c r="O205" i="5" s="1"/>
  <c r="I117" i="7" s="1"/>
  <c r="N206" i="5"/>
  <c r="O206" i="5" s="1"/>
  <c r="I118" i="7" s="1"/>
  <c r="N207" i="5"/>
  <c r="O207" i="5" s="1"/>
  <c r="I301" i="7" s="1"/>
  <c r="N208" i="5"/>
  <c r="O208" i="5" s="1"/>
  <c r="I26" i="7" s="1"/>
  <c r="N209" i="5"/>
  <c r="O209" i="5" s="1"/>
  <c r="I302" i="7" s="1"/>
  <c r="N210" i="5"/>
  <c r="O210" i="5" s="1"/>
  <c r="I119" i="7" s="1"/>
  <c r="N211" i="5"/>
  <c r="O211" i="5" s="1"/>
  <c r="I303" i="7" s="1"/>
  <c r="N212" i="5"/>
  <c r="O212" i="5" s="1"/>
  <c r="I304" i="7" s="1"/>
  <c r="N213" i="5"/>
  <c r="O213" i="5" s="1"/>
  <c r="I120" i="7" s="1"/>
  <c r="N214" i="5"/>
  <c r="O214" i="5" s="1"/>
  <c r="I121" i="7" s="1"/>
  <c r="N215" i="5"/>
  <c r="O215" i="5" s="1"/>
  <c r="I27" i="7" s="1"/>
  <c r="N216" i="5"/>
  <c r="O216" i="5" s="1"/>
  <c r="I305" i="7" s="1"/>
  <c r="N217" i="5"/>
  <c r="O217" i="5" s="1"/>
  <c r="I122" i="7" s="1"/>
  <c r="N218" i="5"/>
  <c r="O218" i="5" s="1"/>
  <c r="I28" i="7" s="1"/>
  <c r="N219" i="5"/>
  <c r="O219" i="5" s="1"/>
  <c r="I306" i="7" s="1"/>
  <c r="N220" i="5"/>
  <c r="O220" i="5" s="1"/>
  <c r="I123" i="7" s="1"/>
  <c r="N221" i="5"/>
  <c r="O221" i="5" s="1"/>
  <c r="I307" i="7" s="1"/>
  <c r="N222" i="5"/>
  <c r="O222" i="5" s="1"/>
  <c r="I308" i="7" s="1"/>
  <c r="N223" i="5"/>
  <c r="O223" i="5" s="1"/>
  <c r="I309" i="7" s="1"/>
  <c r="N224" i="5"/>
  <c r="O224" i="5" s="1"/>
  <c r="I124" i="7" s="1"/>
  <c r="N225" i="5"/>
  <c r="O225" i="5" s="1"/>
  <c r="I310" i="7" s="1"/>
  <c r="N226" i="5"/>
  <c r="O226" i="5" s="1"/>
  <c r="I125" i="7" s="1"/>
  <c r="N227" i="5"/>
  <c r="O227" i="5" s="1"/>
  <c r="I311" i="7" s="1"/>
  <c r="N228" i="5"/>
  <c r="O228" i="5" s="1"/>
  <c r="I126" i="7" s="1"/>
  <c r="N229" i="5"/>
  <c r="O229" i="5" s="1"/>
  <c r="I312" i="7" s="1"/>
  <c r="N230" i="5"/>
  <c r="O230" i="5" s="1"/>
  <c r="I29" i="7" s="1"/>
  <c r="N231" i="5"/>
  <c r="O231" i="5" s="1"/>
  <c r="I127" i="7" s="1"/>
  <c r="N232" i="5"/>
  <c r="O232" i="5" s="1"/>
  <c r="I128" i="7" s="1"/>
  <c r="N233" i="5"/>
  <c r="O233" i="5" s="1"/>
  <c r="I313" i="7" s="1"/>
  <c r="N234" i="5"/>
  <c r="O234" i="5" s="1"/>
  <c r="I129" i="7" s="1"/>
  <c r="N235" i="5"/>
  <c r="O235" i="5" s="1"/>
  <c r="I314" i="7" s="1"/>
  <c r="N236" i="5"/>
  <c r="O236" i="5" s="1"/>
  <c r="I315" i="7" s="1"/>
  <c r="N237" i="5"/>
  <c r="O237" i="5" s="1"/>
  <c r="I316" i="7" s="1"/>
  <c r="N238" i="5"/>
  <c r="O238" i="5" s="1"/>
  <c r="I30" i="7" s="1"/>
  <c r="N239" i="5"/>
  <c r="O239" i="5" s="1"/>
  <c r="I31" i="7" s="1"/>
  <c r="N240" i="5"/>
  <c r="O240" i="5" s="1"/>
  <c r="I130" i="7" s="1"/>
  <c r="N241" i="5"/>
  <c r="O241" i="5" s="1"/>
  <c r="I317" i="7" s="1"/>
  <c r="N242" i="5"/>
  <c r="O242" i="5" s="1"/>
  <c r="I32" i="7" s="1"/>
  <c r="N243" i="5"/>
  <c r="O243" i="5" s="1"/>
  <c r="I318" i="7" s="1"/>
  <c r="N244" i="5"/>
  <c r="O244" i="5" s="1"/>
  <c r="I319" i="7" s="1"/>
  <c r="N245" i="5"/>
  <c r="O245" i="5" s="1"/>
  <c r="I131" i="7" s="1"/>
  <c r="N246" i="5"/>
  <c r="O246" i="5" s="1"/>
  <c r="I320" i="7" s="1"/>
  <c r="N247" i="5"/>
  <c r="O247" i="5" s="1"/>
  <c r="I132" i="7" s="1"/>
  <c r="N248" i="5"/>
  <c r="O248" i="5" s="1"/>
  <c r="I321" i="7" s="1"/>
  <c r="N249" i="5"/>
  <c r="O249" i="5" s="1"/>
  <c r="I133" i="7" s="1"/>
  <c r="N250" i="5"/>
  <c r="O250" i="5" s="1"/>
  <c r="I322" i="7" s="1"/>
  <c r="N251" i="5"/>
  <c r="O251" i="5" s="1"/>
  <c r="I134" i="7" s="1"/>
  <c r="N252" i="5"/>
  <c r="O252" i="5" s="1"/>
  <c r="I33" i="7" s="1"/>
  <c r="N253" i="5"/>
  <c r="O253" i="5" s="1"/>
  <c r="I135" i="7" s="1"/>
  <c r="N254" i="5"/>
  <c r="O254" i="5" s="1"/>
  <c r="I136" i="7" s="1"/>
  <c r="N255" i="5"/>
  <c r="O255" i="5" s="1"/>
  <c r="I323" i="7" s="1"/>
  <c r="N256" i="5"/>
  <c r="O256" i="5" s="1"/>
  <c r="I137" i="7" s="1"/>
  <c r="N257" i="5"/>
  <c r="O257" i="5" s="1"/>
  <c r="I324" i="7" s="1"/>
  <c r="N258" i="5"/>
  <c r="O258" i="5" s="1"/>
  <c r="I138" i="7" s="1"/>
  <c r="N259" i="5"/>
  <c r="O259" i="5" s="1"/>
  <c r="I325" i="7" s="1"/>
  <c r="N260" i="5"/>
  <c r="O260" i="5" s="1"/>
  <c r="I139" i="7" s="1"/>
  <c r="N261" i="5"/>
  <c r="O261" i="5" s="1"/>
  <c r="I326" i="7" s="1"/>
  <c r="N262" i="5"/>
  <c r="O262" i="5" s="1"/>
  <c r="I140" i="7" s="1"/>
  <c r="N263" i="5"/>
  <c r="O263" i="5" s="1"/>
  <c r="I327" i="7" s="1"/>
  <c r="N264" i="5"/>
  <c r="O264" i="5" s="1"/>
  <c r="I328" i="7" s="1"/>
  <c r="N265" i="5"/>
  <c r="O265" i="5" s="1"/>
  <c r="I34" i="7" s="1"/>
  <c r="N266" i="5"/>
  <c r="O266" i="5" s="1"/>
  <c r="I35" i="7" s="1"/>
  <c r="N267" i="5"/>
  <c r="O267" i="5" s="1"/>
  <c r="I329" i="7" s="1"/>
  <c r="N268" i="5"/>
  <c r="O268" i="5" s="1"/>
  <c r="I141" i="7" s="1"/>
  <c r="N269" i="5"/>
  <c r="O269" i="5" s="1"/>
  <c r="I330" i="7" s="1"/>
  <c r="N270" i="5"/>
  <c r="O270" i="5" s="1"/>
  <c r="I331" i="7" s="1"/>
  <c r="N271" i="5"/>
  <c r="O271" i="5" s="1"/>
  <c r="I332" i="7" s="1"/>
  <c r="N272" i="5"/>
  <c r="O272" i="5" s="1"/>
  <c r="I142" i="7" s="1"/>
  <c r="N273" i="5"/>
  <c r="O273" i="5" s="1"/>
  <c r="I143" i="7" s="1"/>
  <c r="N274" i="5"/>
  <c r="O274" i="5" s="1"/>
  <c r="I144" i="7" s="1"/>
  <c r="N275" i="5"/>
  <c r="O275" i="5" s="1"/>
  <c r="I333" i="7" s="1"/>
  <c r="N276" i="5"/>
  <c r="O276" i="5" s="1"/>
  <c r="I145" i="7" s="1"/>
  <c r="N277" i="5"/>
  <c r="O277" i="5" s="1"/>
  <c r="I334" i="7" s="1"/>
  <c r="N278" i="5"/>
  <c r="O278" i="5" s="1"/>
  <c r="I146" i="7" s="1"/>
  <c r="N279" i="5"/>
  <c r="O279" i="5" s="1"/>
  <c r="I147" i="7" s="1"/>
  <c r="N280" i="5"/>
  <c r="O280" i="5" s="1"/>
  <c r="I335" i="7" s="1"/>
  <c r="N281" i="5"/>
  <c r="O281" i="5" s="1"/>
  <c r="I336" i="7" s="1"/>
  <c r="N282" i="5"/>
  <c r="O282" i="5" s="1"/>
  <c r="I337" i="7" s="1"/>
  <c r="N283" i="5"/>
  <c r="O283" i="5" s="1"/>
  <c r="I36" i="7" s="1"/>
  <c r="N284" i="5"/>
  <c r="O284" i="5" s="1"/>
  <c r="I338" i="7" s="1"/>
  <c r="N285" i="5"/>
  <c r="O285" i="5" s="1"/>
  <c r="I339" i="7" s="1"/>
  <c r="N286" i="5"/>
  <c r="O286" i="5" s="1"/>
  <c r="I37" i="7" s="1"/>
  <c r="N287" i="5"/>
  <c r="O287" i="5" s="1"/>
  <c r="I340" i="7" s="1"/>
  <c r="N288" i="5"/>
  <c r="O288" i="5" s="1"/>
  <c r="I148" i="7" s="1"/>
  <c r="N289" i="5"/>
  <c r="O289" i="5" s="1"/>
  <c r="I341" i="7" s="1"/>
  <c r="N290" i="5"/>
  <c r="O290" i="5" s="1"/>
  <c r="I149" i="7" s="1"/>
  <c r="N291" i="5"/>
  <c r="O291" i="5" s="1"/>
  <c r="I150" i="7" s="1"/>
  <c r="N292" i="5"/>
  <c r="O292" i="5" s="1"/>
  <c r="I342" i="7" s="1"/>
  <c r="N293" i="5"/>
  <c r="O293" i="5" s="1"/>
  <c r="I343" i="7" s="1"/>
  <c r="N294" i="5"/>
  <c r="O294" i="5" s="1"/>
  <c r="I344" i="7" s="1"/>
  <c r="N295" i="5"/>
  <c r="O295" i="5" s="1"/>
  <c r="I38" i="7" s="1"/>
  <c r="N296" i="5"/>
  <c r="O296" i="5" s="1"/>
  <c r="I151" i="7" s="1"/>
  <c r="N297" i="5"/>
  <c r="O297" i="5" s="1"/>
  <c r="I39" i="7" s="1"/>
  <c r="N298" i="5"/>
  <c r="O298" i="5" s="1"/>
  <c r="I345" i="7" s="1"/>
  <c r="N299" i="5"/>
  <c r="O299" i="5" s="1"/>
  <c r="I346" i="7" s="1"/>
  <c r="N300" i="5"/>
  <c r="O300" i="5" s="1"/>
  <c r="I347" i="7" s="1"/>
  <c r="N301" i="5"/>
  <c r="O301" i="5" s="1"/>
  <c r="I348" i="7" s="1"/>
  <c r="N302" i="5"/>
  <c r="O302" i="5" s="1"/>
  <c r="I152" i="7" s="1"/>
  <c r="N303" i="5"/>
  <c r="O303" i="5" s="1"/>
  <c r="I153" i="7" s="1"/>
  <c r="N304" i="5"/>
  <c r="O304" i="5" s="1"/>
  <c r="I349" i="7" s="1"/>
  <c r="N305" i="5"/>
  <c r="O305" i="5" s="1"/>
  <c r="I40" i="7" s="1"/>
  <c r="N306" i="5"/>
  <c r="O306" i="5" s="1"/>
  <c r="I350" i="7" s="1"/>
  <c r="N307" i="5"/>
  <c r="O307" i="5" s="1"/>
  <c r="I154" i="7" s="1"/>
  <c r="N308" i="5"/>
  <c r="O308" i="5" s="1"/>
  <c r="I351" i="7" s="1"/>
  <c r="N309" i="5"/>
  <c r="O309" i="5" s="1"/>
  <c r="I352" i="7" s="1"/>
  <c r="N310" i="5"/>
  <c r="O310" i="5" s="1"/>
  <c r="I155" i="7" s="1"/>
  <c r="N311" i="5"/>
  <c r="O311" i="5" s="1"/>
  <c r="I353" i="7" s="1"/>
  <c r="N312" i="5"/>
  <c r="O312" i="5" s="1"/>
  <c r="I156" i="7" s="1"/>
  <c r="N313" i="5"/>
  <c r="O313" i="5" s="1"/>
  <c r="I157" i="7" s="1"/>
  <c r="N314" i="5"/>
  <c r="O314" i="5" s="1"/>
  <c r="I354" i="7" s="1"/>
  <c r="N315" i="5"/>
  <c r="O315" i="5" s="1"/>
  <c r="I41" i="7" s="1"/>
  <c r="N316" i="5"/>
  <c r="O316" i="5" s="1"/>
  <c r="I42" i="7" s="1"/>
  <c r="N317" i="5"/>
  <c r="O317" i="5" s="1"/>
  <c r="I158" i="7" s="1"/>
  <c r="N318" i="5"/>
  <c r="O318" i="5" s="1"/>
  <c r="I355" i="7" s="1"/>
  <c r="N319" i="5"/>
  <c r="O319" i="5" s="1"/>
  <c r="I159" i="7" s="1"/>
  <c r="N320" i="5"/>
  <c r="O320" i="5" s="1"/>
  <c r="I160" i="7" s="1"/>
  <c r="N321" i="5"/>
  <c r="O321" i="5" s="1"/>
  <c r="I161" i="7" s="1"/>
  <c r="N322" i="5"/>
  <c r="O322" i="5" s="1"/>
  <c r="I162" i="7" s="1"/>
  <c r="N323" i="5"/>
  <c r="O323" i="5" s="1"/>
  <c r="I356" i="7" s="1"/>
  <c r="N324" i="5"/>
  <c r="O324" i="5" s="1"/>
  <c r="I163" i="7" s="1"/>
  <c r="N325" i="5"/>
  <c r="O325" i="5" s="1"/>
  <c r="I43" i="7" s="1"/>
  <c r="N326" i="5"/>
  <c r="O326" i="5" s="1"/>
  <c r="I357" i="7" s="1"/>
  <c r="N327" i="5"/>
  <c r="O327" i="5" s="1"/>
  <c r="I358" i="7" s="1"/>
  <c r="N328" i="5"/>
  <c r="O328" i="5" s="1"/>
  <c r="I359" i="7" s="1"/>
  <c r="N329" i="5"/>
  <c r="O329" i="5" s="1"/>
  <c r="I360" i="7" s="1"/>
  <c r="N330" i="5"/>
  <c r="O330" i="5" s="1"/>
  <c r="I361" i="7" s="1"/>
  <c r="N331" i="5"/>
  <c r="O331" i="5" s="1"/>
  <c r="I164" i="7" s="1"/>
  <c r="N332" i="5"/>
  <c r="O332" i="5" s="1"/>
  <c r="I362" i="7" s="1"/>
  <c r="N333" i="5"/>
  <c r="O333" i="5" s="1"/>
  <c r="I165" i="7" s="1"/>
  <c r="N334" i="5"/>
  <c r="O334" i="5" s="1"/>
  <c r="I363" i="7" s="1"/>
  <c r="N335" i="5"/>
  <c r="O335" i="5" s="1"/>
  <c r="I364" i="7" s="1"/>
  <c r="N336" i="5"/>
  <c r="O336" i="5" s="1"/>
  <c r="I166" i="7" s="1"/>
  <c r="N337" i="5"/>
  <c r="O337" i="5" s="1"/>
  <c r="I365" i="7" s="1"/>
  <c r="N338" i="5"/>
  <c r="O338" i="5" s="1"/>
  <c r="I167" i="7" s="1"/>
  <c r="N339" i="5"/>
  <c r="O339" i="5" s="1"/>
  <c r="I366" i="7" s="1"/>
  <c r="N340" i="5"/>
  <c r="O340" i="5" s="1"/>
  <c r="I44" i="7" s="1"/>
  <c r="N341" i="5"/>
  <c r="O341" i="5" s="1"/>
  <c r="I45" i="7" s="1"/>
  <c r="N342" i="5"/>
  <c r="O342" i="5" s="1"/>
  <c r="I168" i="7" s="1"/>
  <c r="N343" i="5"/>
  <c r="O343" i="5" s="1"/>
  <c r="I367" i="7" s="1"/>
  <c r="N344" i="5"/>
  <c r="O344" i="5" s="1"/>
  <c r="I368" i="7" s="1"/>
  <c r="N345" i="5"/>
  <c r="O345" i="5" s="1"/>
  <c r="I369" i="7" s="1"/>
  <c r="N346" i="5"/>
  <c r="O346" i="5" s="1"/>
  <c r="I169" i="7" s="1"/>
  <c r="N347" i="5"/>
  <c r="O347" i="5" s="1"/>
  <c r="I170" i="7" s="1"/>
  <c r="N348" i="5"/>
  <c r="O348" i="5" s="1"/>
  <c r="I370" i="7" s="1"/>
  <c r="N349" i="5"/>
  <c r="O349" i="5" s="1"/>
  <c r="I371" i="7" s="1"/>
  <c r="N350" i="5"/>
  <c r="O350" i="5" s="1"/>
  <c r="I171" i="7" s="1"/>
  <c r="N351" i="5"/>
  <c r="O351" i="5" s="1"/>
  <c r="I372" i="7" s="1"/>
  <c r="N352" i="5"/>
  <c r="O352" i="5" s="1"/>
  <c r="I373" i="7" s="1"/>
  <c r="N353" i="5"/>
  <c r="O353" i="5" s="1"/>
  <c r="I46" i="7" s="1"/>
  <c r="N354" i="5"/>
  <c r="O354" i="5" s="1"/>
  <c r="I374" i="7" s="1"/>
  <c r="N355" i="5"/>
  <c r="O355" i="5" s="1"/>
  <c r="I172" i="7" s="1"/>
  <c r="N356" i="5"/>
  <c r="O356" i="5" s="1"/>
  <c r="I375" i="7" s="1"/>
  <c r="N357" i="5"/>
  <c r="O357" i="5" s="1"/>
  <c r="I376" i="7" s="1"/>
  <c r="N358" i="5"/>
  <c r="O358" i="5" s="1"/>
  <c r="I377" i="7" s="1"/>
  <c r="N359" i="5"/>
  <c r="O359" i="5" s="1"/>
  <c r="I173" i="7" s="1"/>
  <c r="N360" i="5"/>
  <c r="O360" i="5" s="1"/>
  <c r="I378" i="7" s="1"/>
  <c r="N361" i="5"/>
  <c r="O361" i="5" s="1"/>
  <c r="I379" i="7" s="1"/>
  <c r="N362" i="5"/>
  <c r="O362" i="5" s="1"/>
  <c r="I174" i="7" s="1"/>
  <c r="N363" i="5"/>
  <c r="O363" i="5" s="1"/>
  <c r="I175" i="7" s="1"/>
  <c r="N364" i="5"/>
  <c r="O364" i="5" s="1"/>
  <c r="I176" i="7" s="1"/>
  <c r="N365" i="5"/>
  <c r="O365" i="5" s="1"/>
  <c r="I380" i="7" s="1"/>
  <c r="N366" i="5"/>
  <c r="O366" i="5" s="1"/>
  <c r="I381" i="7" s="1"/>
  <c r="N367" i="5"/>
  <c r="O367" i="5" s="1"/>
  <c r="I382" i="7" s="1"/>
  <c r="N368" i="5"/>
  <c r="O368" i="5" s="1"/>
  <c r="I383" i="7" s="1"/>
  <c r="N369" i="5"/>
  <c r="O369" i="5" s="1"/>
  <c r="I384" i="7" s="1"/>
  <c r="N370" i="5"/>
  <c r="O370" i="5" s="1"/>
  <c r="I385" i="7" s="1"/>
  <c r="N371" i="5"/>
  <c r="O371" i="5" s="1"/>
  <c r="I386" i="7" s="1"/>
  <c r="N372" i="5"/>
  <c r="O372" i="5" s="1"/>
  <c r="I387" i="7" s="1"/>
  <c r="N373" i="5"/>
  <c r="O373" i="5" s="1"/>
  <c r="I177" i="7" s="1"/>
  <c r="N374" i="5"/>
  <c r="O374" i="5" s="1"/>
  <c r="I178" i="7" s="1"/>
  <c r="N375" i="5"/>
  <c r="O375" i="5" s="1"/>
  <c r="I179" i="7" s="1"/>
  <c r="N376" i="5"/>
  <c r="O376" i="5" s="1"/>
  <c r="I47" i="7" s="1"/>
  <c r="N377" i="5"/>
  <c r="O377" i="5" s="1"/>
  <c r="I48" i="7" s="1"/>
  <c r="N378" i="5"/>
  <c r="O378" i="5" s="1"/>
  <c r="I180" i="7" s="1"/>
  <c r="N379" i="5"/>
  <c r="O379" i="5" s="1"/>
  <c r="I388" i="7" s="1"/>
  <c r="N380" i="5"/>
  <c r="O380" i="5" s="1"/>
  <c r="I389" i="7" s="1"/>
  <c r="N381" i="5"/>
  <c r="O381" i="5" s="1"/>
  <c r="I181" i="7" s="1"/>
  <c r="N382" i="5"/>
  <c r="O382" i="5" s="1"/>
  <c r="I182" i="7" s="1"/>
  <c r="N383" i="5"/>
  <c r="O383" i="5" s="1"/>
  <c r="I390" i="7" s="1"/>
  <c r="N384" i="5"/>
  <c r="O384" i="5" s="1"/>
  <c r="I183" i="7" s="1"/>
  <c r="N385" i="5"/>
  <c r="O385" i="5" s="1"/>
  <c r="I391" i="7" s="1"/>
  <c r="N386" i="5"/>
  <c r="O386" i="5" s="1"/>
  <c r="I392" i="7" s="1"/>
  <c r="N387" i="5"/>
  <c r="O387" i="5" s="1"/>
  <c r="I393" i="7" s="1"/>
  <c r="N388" i="5"/>
  <c r="O388" i="5" s="1"/>
  <c r="I394" i="7" s="1"/>
  <c r="N389" i="5"/>
  <c r="O389" i="5" s="1"/>
  <c r="I184" i="7" s="1"/>
  <c r="N390" i="5"/>
  <c r="O390" i="5" s="1"/>
  <c r="I395" i="7" s="1"/>
  <c r="N391" i="5"/>
  <c r="O391" i="5" s="1"/>
  <c r="I185" i="7" s="1"/>
  <c r="N392" i="5"/>
  <c r="O392" i="5" s="1"/>
  <c r="I396" i="7" s="1"/>
  <c r="N393" i="5"/>
  <c r="O393" i="5" s="1"/>
  <c r="I49" i="7" s="1"/>
  <c r="N394" i="5"/>
  <c r="O394" i="5" s="1"/>
  <c r="I397" i="7" s="1"/>
  <c r="N395" i="5"/>
  <c r="O395" i="5" s="1"/>
  <c r="I398" i="7" s="1"/>
  <c r="N396" i="5"/>
  <c r="O396" i="5" s="1"/>
  <c r="I186" i="7" s="1"/>
  <c r="N397" i="5"/>
  <c r="O397" i="5" s="1"/>
  <c r="I399" i="7" s="1"/>
  <c r="N398" i="5"/>
  <c r="O398" i="5" s="1"/>
  <c r="I400" i="7" s="1"/>
  <c r="N399" i="5"/>
  <c r="O399" i="5" s="1"/>
  <c r="I401" i="7" s="1"/>
  <c r="N400" i="5"/>
  <c r="O400" i="5" s="1"/>
  <c r="I187" i="7" s="1"/>
  <c r="N401" i="5"/>
  <c r="O401" i="5" s="1"/>
  <c r="I402" i="7" s="1"/>
  <c r="N402" i="5"/>
  <c r="O402" i="5" s="1"/>
  <c r="I403" i="7" s="1"/>
  <c r="A402" i="2"/>
  <c r="B410" i="2"/>
  <c r="C410" i="2"/>
  <c r="D410" i="2" s="1"/>
  <c r="A4" i="2"/>
  <c r="B4" i="2"/>
  <c r="C4" i="2"/>
  <c r="D4" i="2"/>
  <c r="F4" i="2"/>
  <c r="G4" i="2"/>
  <c r="L4" i="2"/>
  <c r="E4" i="5" s="1"/>
  <c r="D189" i="7" s="1"/>
  <c r="A5" i="2"/>
  <c r="B5" i="2"/>
  <c r="C5" i="2"/>
  <c r="D5" i="2"/>
  <c r="F5" i="2"/>
  <c r="G5" i="2"/>
  <c r="L5" i="2"/>
  <c r="E5" i="5" s="1"/>
  <c r="D190" i="7" s="1"/>
  <c r="A6" i="2"/>
  <c r="B6" i="2"/>
  <c r="C6" i="2"/>
  <c r="D6" i="2"/>
  <c r="F6" i="2"/>
  <c r="G6" i="2"/>
  <c r="L6" i="2"/>
  <c r="E6" i="5" s="1"/>
  <c r="D4" i="7" s="1"/>
  <c r="A7" i="2"/>
  <c r="B7" i="2"/>
  <c r="C7" i="2"/>
  <c r="D7" i="2"/>
  <c r="F7" i="2"/>
  <c r="G7" i="2"/>
  <c r="L7" i="2"/>
  <c r="E7" i="5" s="1"/>
  <c r="D50" i="7" s="1"/>
  <c r="A8" i="2"/>
  <c r="B8" i="2"/>
  <c r="C8" i="2"/>
  <c r="D8" i="2"/>
  <c r="F8" i="2"/>
  <c r="G8" i="2"/>
  <c r="L8" i="2"/>
  <c r="E8" i="5" s="1"/>
  <c r="D51" i="7" s="1"/>
  <c r="A9" i="2"/>
  <c r="B9" i="2"/>
  <c r="C9" i="2"/>
  <c r="D9" i="2"/>
  <c r="F9" i="2"/>
  <c r="G9" i="2"/>
  <c r="L9" i="2"/>
  <c r="E9" i="5" s="1"/>
  <c r="D5" i="7" s="1"/>
  <c r="A10" i="2"/>
  <c r="B10" i="2"/>
  <c r="C10" i="2"/>
  <c r="D10" i="2"/>
  <c r="F10" i="2"/>
  <c r="G10" i="2"/>
  <c r="L10" i="2"/>
  <c r="E10" i="5" s="1"/>
  <c r="D191" i="7" s="1"/>
  <c r="A11" i="2"/>
  <c r="B11" i="2"/>
  <c r="C11" i="2"/>
  <c r="D11" i="2"/>
  <c r="F11" i="2"/>
  <c r="G11" i="2"/>
  <c r="L11" i="2"/>
  <c r="E11" i="5" s="1"/>
  <c r="D192" i="7" s="1"/>
  <c r="A12" i="2"/>
  <c r="B12" i="2"/>
  <c r="C12" i="2"/>
  <c r="D12" i="2"/>
  <c r="F12" i="2"/>
  <c r="G12" i="2"/>
  <c r="L12" i="2"/>
  <c r="E12" i="5" s="1"/>
  <c r="D52" i="7" s="1"/>
  <c r="A13" i="2"/>
  <c r="B13" i="2"/>
  <c r="C13" i="2"/>
  <c r="D13" i="2"/>
  <c r="F13" i="2"/>
  <c r="G13" i="2"/>
  <c r="L13" i="2"/>
  <c r="E13" i="5" s="1"/>
  <c r="D53" i="7" s="1"/>
  <c r="A14" i="2"/>
  <c r="B14" i="2"/>
  <c r="C14" i="2"/>
  <c r="D14" i="2"/>
  <c r="F14" i="2"/>
  <c r="G14" i="2"/>
  <c r="L14" i="2"/>
  <c r="E14" i="5" s="1"/>
  <c r="D54" i="7" s="1"/>
  <c r="A15" i="2"/>
  <c r="B15" i="2"/>
  <c r="C15" i="2"/>
  <c r="D15" i="2"/>
  <c r="F15" i="2"/>
  <c r="G15" i="2"/>
  <c r="L15" i="2"/>
  <c r="E15" i="5" s="1"/>
  <c r="D193" i="7" s="1"/>
  <c r="A16" i="2"/>
  <c r="B16" i="2"/>
  <c r="C16" i="2"/>
  <c r="D16" i="2"/>
  <c r="F16" i="2"/>
  <c r="G16" i="2"/>
  <c r="L16" i="2"/>
  <c r="E16" i="5" s="1"/>
  <c r="D194" i="7" s="1"/>
  <c r="A17" i="2"/>
  <c r="B17" i="2"/>
  <c r="C17" i="2"/>
  <c r="D17" i="2"/>
  <c r="F17" i="2"/>
  <c r="G17" i="2"/>
  <c r="L17" i="2"/>
  <c r="E17" i="5" s="1"/>
  <c r="D195" i="7" s="1"/>
  <c r="A18" i="2"/>
  <c r="B18" i="2"/>
  <c r="C18" i="2"/>
  <c r="D18" i="2"/>
  <c r="F18" i="2"/>
  <c r="G18" i="2"/>
  <c r="L18" i="2"/>
  <c r="E18" i="5" s="1"/>
  <c r="D196" i="7" s="1"/>
  <c r="A19" i="2"/>
  <c r="B19" i="2"/>
  <c r="C19" i="2"/>
  <c r="D19" i="2"/>
  <c r="F19" i="2"/>
  <c r="G19" i="2"/>
  <c r="L19" i="2"/>
  <c r="E19" i="5" s="1"/>
  <c r="D6" i="7" s="1"/>
  <c r="A20" i="2"/>
  <c r="B20" i="2"/>
  <c r="C20" i="2"/>
  <c r="D20" i="2"/>
  <c r="F20" i="2"/>
  <c r="G20" i="2"/>
  <c r="L20" i="2"/>
  <c r="E20" i="5" s="1"/>
  <c r="D197" i="7" s="1"/>
  <c r="A21" i="2"/>
  <c r="B21" i="2"/>
  <c r="C21" i="2"/>
  <c r="D21" i="2"/>
  <c r="F21" i="2"/>
  <c r="G21" i="2"/>
  <c r="L21" i="2"/>
  <c r="E21" i="5" s="1"/>
  <c r="D55" i="7" s="1"/>
  <c r="A22" i="2"/>
  <c r="B22" i="2"/>
  <c r="C22" i="2"/>
  <c r="D22" i="2"/>
  <c r="F22" i="2"/>
  <c r="G22" i="2"/>
  <c r="L22" i="2"/>
  <c r="E22" i="5" s="1"/>
  <c r="D198" i="7" s="1"/>
  <c r="A23" i="2"/>
  <c r="B23" i="2"/>
  <c r="C23" i="2"/>
  <c r="D23" i="2"/>
  <c r="F23" i="2"/>
  <c r="G23" i="2"/>
  <c r="L23" i="2"/>
  <c r="E23" i="5" s="1"/>
  <c r="D199" i="7" s="1"/>
  <c r="A24" i="2"/>
  <c r="B24" i="2"/>
  <c r="C24" i="2"/>
  <c r="D24" i="2"/>
  <c r="F24" i="2"/>
  <c r="G24" i="2"/>
  <c r="L24" i="2"/>
  <c r="E24" i="5" s="1"/>
  <c r="D200" i="7" s="1"/>
  <c r="A25" i="2"/>
  <c r="B25" i="2"/>
  <c r="C25" i="2"/>
  <c r="D25" i="2"/>
  <c r="F25" i="2"/>
  <c r="G25" i="2"/>
  <c r="L25" i="2"/>
  <c r="E25" i="5" s="1"/>
  <c r="D7" i="7" s="1"/>
  <c r="A26" i="2"/>
  <c r="B26" i="2"/>
  <c r="C26" i="2"/>
  <c r="D26" i="2"/>
  <c r="F26" i="2"/>
  <c r="G26" i="2"/>
  <c r="L26" i="2"/>
  <c r="E26" i="5" s="1"/>
  <c r="D8" i="7" s="1"/>
  <c r="A27" i="2"/>
  <c r="B27" i="2"/>
  <c r="C27" i="2"/>
  <c r="D27" i="2"/>
  <c r="F27" i="2"/>
  <c r="G27" i="2"/>
  <c r="L27" i="2"/>
  <c r="E27" i="5" s="1"/>
  <c r="D56" i="7" s="1"/>
  <c r="A28" i="2"/>
  <c r="B28" i="2"/>
  <c r="C28" i="2"/>
  <c r="D28" i="2"/>
  <c r="F28" i="2"/>
  <c r="G28" i="2"/>
  <c r="L28" i="2"/>
  <c r="E28" i="5" s="1"/>
  <c r="D57" i="7" s="1"/>
  <c r="A29" i="2"/>
  <c r="B29" i="2"/>
  <c r="C29" i="2"/>
  <c r="D29" i="2"/>
  <c r="F29" i="2"/>
  <c r="G29" i="2"/>
  <c r="L29" i="2"/>
  <c r="E29" i="5" s="1"/>
  <c r="D9" i="7" s="1"/>
  <c r="A30" i="2"/>
  <c r="B30" i="2"/>
  <c r="C30" i="2"/>
  <c r="D30" i="2"/>
  <c r="F30" i="2"/>
  <c r="G30" i="2"/>
  <c r="L30" i="2"/>
  <c r="E30" i="5" s="1"/>
  <c r="D10" i="7" s="1"/>
  <c r="A31" i="2"/>
  <c r="B31" i="2"/>
  <c r="C31" i="2"/>
  <c r="D31" i="2"/>
  <c r="F31" i="2"/>
  <c r="G31" i="2"/>
  <c r="L31" i="2"/>
  <c r="E31" i="5" s="1"/>
  <c r="D11" i="7" s="1"/>
  <c r="A32" i="2"/>
  <c r="B32" i="2"/>
  <c r="C32" i="2"/>
  <c r="D32" i="2"/>
  <c r="F32" i="2"/>
  <c r="G32" i="2"/>
  <c r="L32" i="2"/>
  <c r="E32" i="5" s="1"/>
  <c r="D201" i="7" s="1"/>
  <c r="A33" i="2"/>
  <c r="B33" i="2"/>
  <c r="C33" i="2"/>
  <c r="D33" i="2"/>
  <c r="F33" i="2"/>
  <c r="G33" i="2"/>
  <c r="L33" i="2"/>
  <c r="E33" i="5" s="1"/>
  <c r="D58" i="7" s="1"/>
  <c r="A34" i="2"/>
  <c r="B34" i="2"/>
  <c r="C34" i="2"/>
  <c r="D34" i="2"/>
  <c r="F34" i="2"/>
  <c r="G34" i="2"/>
  <c r="L34" i="2"/>
  <c r="E34" i="5" s="1"/>
  <c r="D202" i="7" s="1"/>
  <c r="A35" i="2"/>
  <c r="B35" i="2"/>
  <c r="C35" i="2"/>
  <c r="D35" i="2"/>
  <c r="F35" i="2"/>
  <c r="G35" i="2"/>
  <c r="L35" i="2"/>
  <c r="E35" i="5" s="1"/>
  <c r="D59" i="7" s="1"/>
  <c r="A36" i="2"/>
  <c r="B36" i="2"/>
  <c r="C36" i="2"/>
  <c r="D36" i="2"/>
  <c r="F36" i="2"/>
  <c r="G36" i="2"/>
  <c r="L36" i="2"/>
  <c r="E36" i="5" s="1"/>
  <c r="D12" i="7" s="1"/>
  <c r="A37" i="2"/>
  <c r="B37" i="2"/>
  <c r="C37" i="2"/>
  <c r="D37" i="2"/>
  <c r="F37" i="2"/>
  <c r="G37" i="2"/>
  <c r="L37" i="2"/>
  <c r="E37" i="5" s="1"/>
  <c r="D60" i="7" s="1"/>
  <c r="A38" i="2"/>
  <c r="B38" i="2"/>
  <c r="C38" i="2"/>
  <c r="D38" i="2"/>
  <c r="F38" i="2"/>
  <c r="G38" i="2"/>
  <c r="L38" i="2"/>
  <c r="E38" i="5" s="1"/>
  <c r="D61" i="7" s="1"/>
  <c r="A39" i="2"/>
  <c r="B39" i="2"/>
  <c r="C39" i="2"/>
  <c r="D39" i="2"/>
  <c r="F39" i="2"/>
  <c r="G39" i="2"/>
  <c r="L39" i="2"/>
  <c r="E39" i="5" s="1"/>
  <c r="D13" i="7" s="1"/>
  <c r="A40" i="2"/>
  <c r="B40" i="2"/>
  <c r="C40" i="2"/>
  <c r="D40" i="2"/>
  <c r="F40" i="2"/>
  <c r="G40" i="2"/>
  <c r="L40" i="2"/>
  <c r="E40" i="5" s="1"/>
  <c r="D203" i="7" s="1"/>
  <c r="A41" i="2"/>
  <c r="B41" i="2"/>
  <c r="C41" i="2"/>
  <c r="D41" i="2"/>
  <c r="F41" i="2"/>
  <c r="G41" i="2"/>
  <c r="L41" i="2"/>
  <c r="E41" i="5" s="1"/>
  <c r="D62" i="7" s="1"/>
  <c r="A42" i="2"/>
  <c r="B42" i="2"/>
  <c r="C42" i="2"/>
  <c r="D42" i="2"/>
  <c r="F42" i="2"/>
  <c r="G42" i="2"/>
  <c r="L42" i="2"/>
  <c r="E42" i="5" s="1"/>
  <c r="D204" i="7" s="1"/>
  <c r="A43" i="2"/>
  <c r="B43" i="2"/>
  <c r="C43" i="2"/>
  <c r="D43" i="2"/>
  <c r="F43" i="2"/>
  <c r="G43" i="2"/>
  <c r="L43" i="2"/>
  <c r="E43" i="5" s="1"/>
  <c r="D14" i="7" s="1"/>
  <c r="A44" i="2"/>
  <c r="B44" i="2"/>
  <c r="C44" i="2"/>
  <c r="D44" i="2"/>
  <c r="F44" i="2"/>
  <c r="G44" i="2"/>
  <c r="L44" i="2"/>
  <c r="E44" i="5" s="1"/>
  <c r="D205" i="7" s="1"/>
  <c r="A45" i="2"/>
  <c r="B45" i="2"/>
  <c r="C45" i="2"/>
  <c r="D45" i="2"/>
  <c r="F45" i="2"/>
  <c r="G45" i="2"/>
  <c r="L45" i="2"/>
  <c r="E45" i="5" s="1"/>
  <c r="D63" i="7" s="1"/>
  <c r="A46" i="2"/>
  <c r="B46" i="2"/>
  <c r="C46" i="2"/>
  <c r="D46" i="2"/>
  <c r="F46" i="2"/>
  <c r="G46" i="2"/>
  <c r="L46" i="2"/>
  <c r="E46" i="5" s="1"/>
  <c r="D206" i="7" s="1"/>
  <c r="A47" i="2"/>
  <c r="B47" i="2"/>
  <c r="C47" i="2"/>
  <c r="D47" i="2"/>
  <c r="F47" i="2"/>
  <c r="G47" i="2"/>
  <c r="L47" i="2"/>
  <c r="E47" i="5" s="1"/>
  <c r="D207" i="7" s="1"/>
  <c r="A48" i="2"/>
  <c r="B48" i="2"/>
  <c r="C48" i="2"/>
  <c r="D48" i="2"/>
  <c r="F48" i="2"/>
  <c r="G48" i="2"/>
  <c r="L48" i="2"/>
  <c r="E48" i="5" s="1"/>
  <c r="D15" i="7" s="1"/>
  <c r="A49" i="2"/>
  <c r="B49" i="2"/>
  <c r="C49" i="2"/>
  <c r="D49" i="2"/>
  <c r="F49" i="2"/>
  <c r="G49" i="2"/>
  <c r="L49" i="2"/>
  <c r="E49" i="5" s="1"/>
  <c r="D64" i="7" s="1"/>
  <c r="A50" i="2"/>
  <c r="B50" i="2"/>
  <c r="C50" i="2"/>
  <c r="D50" i="2"/>
  <c r="F50" i="2"/>
  <c r="G50" i="2"/>
  <c r="L50" i="2"/>
  <c r="E50" i="5" s="1"/>
  <c r="D208" i="7" s="1"/>
  <c r="A51" i="2"/>
  <c r="B51" i="2"/>
  <c r="C51" i="2"/>
  <c r="D51" i="2"/>
  <c r="F51" i="2"/>
  <c r="G51" i="2"/>
  <c r="L51" i="2"/>
  <c r="E51" i="5" s="1"/>
  <c r="D65" i="7" s="1"/>
  <c r="A52" i="2"/>
  <c r="B52" i="2"/>
  <c r="C52" i="2"/>
  <c r="D52" i="2"/>
  <c r="F52" i="2"/>
  <c r="G52" i="2"/>
  <c r="L52" i="2"/>
  <c r="E52" i="5" s="1"/>
  <c r="D209" i="7" s="1"/>
  <c r="A53" i="2"/>
  <c r="B53" i="2"/>
  <c r="C53" i="2"/>
  <c r="D53" i="2"/>
  <c r="F53" i="2"/>
  <c r="G53" i="2"/>
  <c r="L53" i="2"/>
  <c r="E53" i="5" s="1"/>
  <c r="D210" i="7" s="1"/>
  <c r="A54" i="2"/>
  <c r="B54" i="2"/>
  <c r="C54" i="2"/>
  <c r="D54" i="2"/>
  <c r="F54" i="2"/>
  <c r="G54" i="2"/>
  <c r="L54" i="2"/>
  <c r="E54" i="5" s="1"/>
  <c r="D211" i="7" s="1"/>
  <c r="A55" i="2"/>
  <c r="B55" i="2"/>
  <c r="C55" i="2"/>
  <c r="D55" i="2"/>
  <c r="F55" i="2"/>
  <c r="G55" i="2"/>
  <c r="L55" i="2"/>
  <c r="E55" i="5" s="1"/>
  <c r="D212" i="7" s="1"/>
  <c r="A56" i="2"/>
  <c r="B56" i="2"/>
  <c r="C56" i="2"/>
  <c r="D56" i="2"/>
  <c r="F56" i="2"/>
  <c r="G56" i="2"/>
  <c r="L56" i="2"/>
  <c r="E56" i="5" s="1"/>
  <c r="D16" i="7" s="1"/>
  <c r="A57" i="2"/>
  <c r="B57" i="2"/>
  <c r="C57" i="2"/>
  <c r="D57" i="2"/>
  <c r="F57" i="2"/>
  <c r="G57" i="2"/>
  <c r="L57" i="2"/>
  <c r="E57" i="5" s="1"/>
  <c r="D213" i="7" s="1"/>
  <c r="A58" i="2"/>
  <c r="B58" i="2"/>
  <c r="C58" i="2"/>
  <c r="D58" i="2"/>
  <c r="F58" i="2"/>
  <c r="G58" i="2"/>
  <c r="L58" i="2"/>
  <c r="E58" i="5" s="1"/>
  <c r="D214" i="7" s="1"/>
  <c r="A59" i="2"/>
  <c r="B59" i="2"/>
  <c r="C59" i="2"/>
  <c r="D59" i="2"/>
  <c r="F59" i="2"/>
  <c r="G59" i="2"/>
  <c r="L59" i="2"/>
  <c r="E59" i="5" s="1"/>
  <c r="D66" i="7" s="1"/>
  <c r="A60" i="2"/>
  <c r="B60" i="2"/>
  <c r="C60" i="2"/>
  <c r="D60" i="2"/>
  <c r="F60" i="2"/>
  <c r="G60" i="2"/>
  <c r="L60" i="2"/>
  <c r="E60" i="5" s="1"/>
  <c r="D67" i="7" s="1"/>
  <c r="A61" i="2"/>
  <c r="B61" i="2"/>
  <c r="C61" i="2"/>
  <c r="D61" i="2"/>
  <c r="F61" i="2"/>
  <c r="G61" i="2"/>
  <c r="L61" i="2"/>
  <c r="E61" i="5" s="1"/>
  <c r="D215" i="7" s="1"/>
  <c r="A62" i="2"/>
  <c r="B62" i="2"/>
  <c r="C62" i="2"/>
  <c r="D62" i="2"/>
  <c r="F62" i="2"/>
  <c r="G62" i="2"/>
  <c r="L62" i="2"/>
  <c r="E62" i="5" s="1"/>
  <c r="D216" i="7" s="1"/>
  <c r="A63" i="2"/>
  <c r="B63" i="2"/>
  <c r="C63" i="2"/>
  <c r="D63" i="2"/>
  <c r="F63" i="2"/>
  <c r="G63" i="2"/>
  <c r="L63" i="2"/>
  <c r="E63" i="5" s="1"/>
  <c r="D68" i="7" s="1"/>
  <c r="A64" i="2"/>
  <c r="B64" i="2"/>
  <c r="C64" i="2"/>
  <c r="D64" i="2"/>
  <c r="F64" i="2"/>
  <c r="G64" i="2"/>
  <c r="L64" i="2"/>
  <c r="E64" i="5" s="1"/>
  <c r="D217" i="7" s="1"/>
  <c r="A65" i="2"/>
  <c r="B65" i="2"/>
  <c r="C65" i="2"/>
  <c r="D65" i="2"/>
  <c r="F65" i="2"/>
  <c r="G65" i="2"/>
  <c r="L65" i="2"/>
  <c r="E65" i="5" s="1"/>
  <c r="D218" i="7" s="1"/>
  <c r="A66" i="2"/>
  <c r="B66" i="2"/>
  <c r="C66" i="2"/>
  <c r="D66" i="2"/>
  <c r="F66" i="2"/>
  <c r="G66" i="2"/>
  <c r="L66" i="2"/>
  <c r="E66" i="5" s="1"/>
  <c r="D69" i="7" s="1"/>
  <c r="A67" i="2"/>
  <c r="B67" i="2"/>
  <c r="C67" i="2"/>
  <c r="D67" i="2"/>
  <c r="F67" i="2"/>
  <c r="G67" i="2"/>
  <c r="L67" i="2"/>
  <c r="E67" i="5" s="1"/>
  <c r="D70" i="7" s="1"/>
  <c r="A68" i="2"/>
  <c r="B68" i="2"/>
  <c r="C68" i="2"/>
  <c r="D68" i="2"/>
  <c r="F68" i="2"/>
  <c r="G68" i="2"/>
  <c r="L68" i="2"/>
  <c r="E68" i="5" s="1"/>
  <c r="D71" i="7" s="1"/>
  <c r="A69" i="2"/>
  <c r="B69" i="2"/>
  <c r="C69" i="2"/>
  <c r="D69" i="2"/>
  <c r="F69" i="2"/>
  <c r="G69" i="2"/>
  <c r="L69" i="2"/>
  <c r="E69" i="5" s="1"/>
  <c r="D219" i="7" s="1"/>
  <c r="A70" i="2"/>
  <c r="B70" i="2"/>
  <c r="C70" i="2"/>
  <c r="D70" i="2"/>
  <c r="F70" i="2"/>
  <c r="G70" i="2"/>
  <c r="L70" i="2"/>
  <c r="E70" i="5" s="1"/>
  <c r="D72" i="7" s="1"/>
  <c r="A71" i="2"/>
  <c r="B71" i="2"/>
  <c r="C71" i="2"/>
  <c r="D71" i="2"/>
  <c r="F71" i="2"/>
  <c r="G71" i="2"/>
  <c r="L71" i="2"/>
  <c r="E71" i="5" s="1"/>
  <c r="D73" i="7" s="1"/>
  <c r="A72" i="2"/>
  <c r="B72" i="2"/>
  <c r="C72" i="2"/>
  <c r="D72" i="2"/>
  <c r="F72" i="2"/>
  <c r="G72" i="2"/>
  <c r="L72" i="2"/>
  <c r="E72" i="5" s="1"/>
  <c r="D220" i="7" s="1"/>
  <c r="A73" i="2"/>
  <c r="B73" i="2"/>
  <c r="C73" i="2"/>
  <c r="D73" i="2"/>
  <c r="F73" i="2"/>
  <c r="G73" i="2"/>
  <c r="L73" i="2"/>
  <c r="E73" i="5" s="1"/>
  <c r="D74" i="7" s="1"/>
  <c r="A74" i="2"/>
  <c r="B74" i="2"/>
  <c r="C74" i="2"/>
  <c r="D74" i="2"/>
  <c r="F74" i="2"/>
  <c r="G74" i="2"/>
  <c r="L74" i="2"/>
  <c r="E74" i="5" s="1"/>
  <c r="D221" i="7" s="1"/>
  <c r="A75" i="2"/>
  <c r="B75" i="2"/>
  <c r="C75" i="2"/>
  <c r="D75" i="2"/>
  <c r="F75" i="2"/>
  <c r="G75" i="2"/>
  <c r="L75" i="2"/>
  <c r="E75" i="5" s="1"/>
  <c r="D222" i="7" s="1"/>
  <c r="A76" i="2"/>
  <c r="B76" i="2"/>
  <c r="C76" i="2"/>
  <c r="D76" i="2"/>
  <c r="F76" i="2"/>
  <c r="G76" i="2"/>
  <c r="L76" i="2"/>
  <c r="E76" i="5" s="1"/>
  <c r="D75" i="7" s="1"/>
  <c r="A77" i="2"/>
  <c r="B77" i="2"/>
  <c r="C77" i="2"/>
  <c r="D77" i="2"/>
  <c r="F77" i="2"/>
  <c r="G77" i="2"/>
  <c r="L77" i="2"/>
  <c r="E77" i="5" s="1"/>
  <c r="D76" i="7" s="1"/>
  <c r="A78" i="2"/>
  <c r="B78" i="2"/>
  <c r="C78" i="2"/>
  <c r="D78" i="2"/>
  <c r="F78" i="2"/>
  <c r="G78" i="2"/>
  <c r="L78" i="2"/>
  <c r="E78" i="5" s="1"/>
  <c r="D17" i="7" s="1"/>
  <c r="A79" i="2"/>
  <c r="B79" i="2"/>
  <c r="C79" i="2"/>
  <c r="D79" i="2"/>
  <c r="F79" i="2"/>
  <c r="G79" i="2"/>
  <c r="L79" i="2"/>
  <c r="E79" i="5" s="1"/>
  <c r="D223" i="7" s="1"/>
  <c r="A80" i="2"/>
  <c r="B80" i="2"/>
  <c r="C80" i="2"/>
  <c r="D80" i="2"/>
  <c r="F80" i="2"/>
  <c r="G80" i="2"/>
  <c r="L80" i="2"/>
  <c r="E80" i="5" s="1"/>
  <c r="D224" i="7" s="1"/>
  <c r="A81" i="2"/>
  <c r="B81" i="2"/>
  <c r="C81" i="2"/>
  <c r="D81" i="2"/>
  <c r="F81" i="2"/>
  <c r="G81" i="2"/>
  <c r="L81" i="2"/>
  <c r="E81" i="5" s="1"/>
  <c r="D77" i="7" s="1"/>
  <c r="A82" i="2"/>
  <c r="B82" i="2"/>
  <c r="C82" i="2"/>
  <c r="D82" i="2"/>
  <c r="F82" i="2"/>
  <c r="G82" i="2"/>
  <c r="L82" i="2"/>
  <c r="E82" i="5" s="1"/>
  <c r="D225" i="7" s="1"/>
  <c r="A83" i="2"/>
  <c r="B83" i="2"/>
  <c r="C83" i="2"/>
  <c r="D83" i="2"/>
  <c r="F83" i="2"/>
  <c r="G83" i="2"/>
  <c r="L83" i="2"/>
  <c r="E83" i="5" s="1"/>
  <c r="D18" i="7" s="1"/>
  <c r="A84" i="2"/>
  <c r="B84" i="2"/>
  <c r="C84" i="2"/>
  <c r="D84" i="2"/>
  <c r="F84" i="2"/>
  <c r="G84" i="2"/>
  <c r="L84" i="2"/>
  <c r="E84" i="5" s="1"/>
  <c r="D226" i="7" s="1"/>
  <c r="A85" i="2"/>
  <c r="B85" i="2"/>
  <c r="C85" i="2"/>
  <c r="D85" i="2"/>
  <c r="F85" i="2"/>
  <c r="G85" i="2"/>
  <c r="L85" i="2"/>
  <c r="E85" i="5" s="1"/>
  <c r="D227" i="7" s="1"/>
  <c r="A86" i="2"/>
  <c r="B86" i="2"/>
  <c r="C86" i="2"/>
  <c r="D86" i="2"/>
  <c r="F86" i="2"/>
  <c r="G86" i="2"/>
  <c r="L86" i="2"/>
  <c r="E86" i="5" s="1"/>
  <c r="D19" i="7" s="1"/>
  <c r="A87" i="2"/>
  <c r="B87" i="2"/>
  <c r="C87" i="2"/>
  <c r="D87" i="2"/>
  <c r="F87" i="2"/>
  <c r="G87" i="2"/>
  <c r="L87" i="2"/>
  <c r="E87" i="5" s="1"/>
  <c r="D78" i="7" s="1"/>
  <c r="A88" i="2"/>
  <c r="B88" i="2"/>
  <c r="C88" i="2"/>
  <c r="D88" i="2"/>
  <c r="F88" i="2"/>
  <c r="G88" i="2"/>
  <c r="L88" i="2"/>
  <c r="E88" i="5" s="1"/>
  <c r="D79" i="7" s="1"/>
  <c r="A89" i="2"/>
  <c r="B89" i="2"/>
  <c r="C89" i="2"/>
  <c r="D89" i="2"/>
  <c r="F89" i="2"/>
  <c r="G89" i="2"/>
  <c r="L89" i="2"/>
  <c r="E89" i="5" s="1"/>
  <c r="D80" i="7" s="1"/>
  <c r="A90" i="2"/>
  <c r="B90" i="2"/>
  <c r="C90" i="2"/>
  <c r="D90" i="2"/>
  <c r="F90" i="2"/>
  <c r="G90" i="2"/>
  <c r="L90" i="2"/>
  <c r="E90" i="5" s="1"/>
  <c r="D228" i="7" s="1"/>
  <c r="A91" i="2"/>
  <c r="B91" i="2"/>
  <c r="C91" i="2"/>
  <c r="D91" i="2"/>
  <c r="F91" i="2"/>
  <c r="G91" i="2"/>
  <c r="L91" i="2"/>
  <c r="E91" i="5" s="1"/>
  <c r="D81" i="7" s="1"/>
  <c r="A92" i="2"/>
  <c r="B92" i="2"/>
  <c r="C92" i="2"/>
  <c r="D92" i="2"/>
  <c r="F92" i="2"/>
  <c r="G92" i="2"/>
  <c r="L92" i="2"/>
  <c r="E92" i="5" s="1"/>
  <c r="D229" i="7" s="1"/>
  <c r="A93" i="2"/>
  <c r="B93" i="2"/>
  <c r="C93" i="2"/>
  <c r="D93" i="2"/>
  <c r="F93" i="2"/>
  <c r="G93" i="2"/>
  <c r="L93" i="2"/>
  <c r="E93" i="5" s="1"/>
  <c r="D230" i="7" s="1"/>
  <c r="A94" i="2"/>
  <c r="B94" i="2"/>
  <c r="C94" i="2"/>
  <c r="D94" i="2"/>
  <c r="F94" i="2"/>
  <c r="G94" i="2"/>
  <c r="L94" i="2"/>
  <c r="E94" i="5" s="1"/>
  <c r="D231" i="7" s="1"/>
  <c r="A95" i="2"/>
  <c r="B95" i="2"/>
  <c r="C95" i="2"/>
  <c r="D95" i="2"/>
  <c r="F95" i="2"/>
  <c r="G95" i="2"/>
  <c r="L95" i="2"/>
  <c r="E95" i="5" s="1"/>
  <c r="D232" i="7" s="1"/>
  <c r="A96" i="2"/>
  <c r="B96" i="2"/>
  <c r="C96" i="2"/>
  <c r="D96" i="2"/>
  <c r="F96" i="2"/>
  <c r="G96" i="2"/>
  <c r="L96" i="2"/>
  <c r="E96" i="5" s="1"/>
  <c r="D82" i="7" s="1"/>
  <c r="A97" i="2"/>
  <c r="B97" i="2"/>
  <c r="C97" i="2"/>
  <c r="D97" i="2"/>
  <c r="F97" i="2"/>
  <c r="G97" i="2"/>
  <c r="L97" i="2"/>
  <c r="E97" i="5" s="1"/>
  <c r="D233" i="7" s="1"/>
  <c r="A98" i="2"/>
  <c r="B98" i="2"/>
  <c r="C98" i="2"/>
  <c r="D98" i="2"/>
  <c r="F98" i="2"/>
  <c r="G98" i="2"/>
  <c r="L98" i="2"/>
  <c r="E98" i="5" s="1"/>
  <c r="D234" i="7" s="1"/>
  <c r="A99" i="2"/>
  <c r="B99" i="2"/>
  <c r="C99" i="2"/>
  <c r="D99" i="2"/>
  <c r="F99" i="2"/>
  <c r="G99" i="2"/>
  <c r="L99" i="2"/>
  <c r="E99" i="5" s="1"/>
  <c r="D83" i="7" s="1"/>
  <c r="A100" i="2"/>
  <c r="B100" i="2"/>
  <c r="C100" i="2"/>
  <c r="D100" i="2"/>
  <c r="F100" i="2"/>
  <c r="G100" i="2"/>
  <c r="L100" i="2"/>
  <c r="E100" i="5" s="1"/>
  <c r="D235" i="7" s="1"/>
  <c r="A101" i="2"/>
  <c r="B101" i="2"/>
  <c r="C101" i="2"/>
  <c r="D101" i="2"/>
  <c r="F101" i="2"/>
  <c r="G101" i="2"/>
  <c r="L101" i="2"/>
  <c r="E101" i="5" s="1"/>
  <c r="D84" i="7" s="1"/>
  <c r="A102" i="2"/>
  <c r="B102" i="2"/>
  <c r="C102" i="2"/>
  <c r="D102" i="2"/>
  <c r="F102" i="2"/>
  <c r="G102" i="2"/>
  <c r="L102" i="2"/>
  <c r="E102" i="5" s="1"/>
  <c r="D236" i="7" s="1"/>
  <c r="A103" i="2"/>
  <c r="B103" i="2"/>
  <c r="C103" i="2"/>
  <c r="D103" i="2"/>
  <c r="F103" i="2"/>
  <c r="G103" i="2"/>
  <c r="L103" i="2"/>
  <c r="E103" i="5" s="1"/>
  <c r="D20" i="7" s="1"/>
  <c r="A104" i="2"/>
  <c r="B104" i="2"/>
  <c r="C104" i="2"/>
  <c r="D104" i="2"/>
  <c r="F104" i="2"/>
  <c r="G104" i="2"/>
  <c r="L104" i="2"/>
  <c r="E104" i="5" s="1"/>
  <c r="D237" i="7" s="1"/>
  <c r="A105" i="2"/>
  <c r="B105" i="2"/>
  <c r="C105" i="2"/>
  <c r="D105" i="2"/>
  <c r="F105" i="2"/>
  <c r="G105" i="2"/>
  <c r="L105" i="2"/>
  <c r="E105" i="5" s="1"/>
  <c r="D238" i="7" s="1"/>
  <c r="A106" i="2"/>
  <c r="B106" i="2"/>
  <c r="C106" i="2"/>
  <c r="D106" i="2"/>
  <c r="F106" i="2"/>
  <c r="G106" i="2"/>
  <c r="L106" i="2"/>
  <c r="E106" i="5" s="1"/>
  <c r="D239" i="7" s="1"/>
  <c r="A107" i="2"/>
  <c r="B107" i="2"/>
  <c r="C107" i="2"/>
  <c r="D107" i="2"/>
  <c r="F107" i="2"/>
  <c r="G107" i="2"/>
  <c r="L107" i="2"/>
  <c r="E107" i="5" s="1"/>
  <c r="D85" i="7" s="1"/>
  <c r="A108" i="2"/>
  <c r="B108" i="2"/>
  <c r="C108" i="2"/>
  <c r="D108" i="2"/>
  <c r="F108" i="2"/>
  <c r="G108" i="2"/>
  <c r="L108" i="2"/>
  <c r="E108" i="5" s="1"/>
  <c r="D86" i="7" s="1"/>
  <c r="A109" i="2"/>
  <c r="B109" i="2"/>
  <c r="C109" i="2"/>
  <c r="D109" i="2"/>
  <c r="F109" i="2"/>
  <c r="G109" i="2"/>
  <c r="L109" i="2"/>
  <c r="E109" i="5" s="1"/>
  <c r="D240" i="7" s="1"/>
  <c r="A110" i="2"/>
  <c r="B110" i="2"/>
  <c r="C110" i="2"/>
  <c r="D110" i="2"/>
  <c r="F110" i="2"/>
  <c r="G110" i="2"/>
  <c r="L110" i="2"/>
  <c r="E110" i="5" s="1"/>
  <c r="D241" i="7" s="1"/>
  <c r="A111" i="2"/>
  <c r="B111" i="2"/>
  <c r="C111" i="2"/>
  <c r="D111" i="2"/>
  <c r="F111" i="2"/>
  <c r="G111" i="2"/>
  <c r="L111" i="2"/>
  <c r="E111" i="5" s="1"/>
  <c r="D242" i="7" s="1"/>
  <c r="A112" i="2"/>
  <c r="B112" i="2"/>
  <c r="C112" i="2"/>
  <c r="D112" i="2"/>
  <c r="F112" i="2"/>
  <c r="G112" i="2"/>
  <c r="L112" i="2"/>
  <c r="E112" i="5" s="1"/>
  <c r="D87" i="7" s="1"/>
  <c r="A113" i="2"/>
  <c r="B113" i="2"/>
  <c r="C113" i="2"/>
  <c r="D113" i="2"/>
  <c r="F113" i="2"/>
  <c r="G113" i="2"/>
  <c r="L113" i="2"/>
  <c r="E113" i="5" s="1"/>
  <c r="D243" i="7" s="1"/>
  <c r="A114" i="2"/>
  <c r="B114" i="2"/>
  <c r="C114" i="2"/>
  <c r="D114" i="2"/>
  <c r="F114" i="2"/>
  <c r="G114" i="2"/>
  <c r="L114" i="2"/>
  <c r="E114" i="5" s="1"/>
  <c r="D244" i="7" s="1"/>
  <c r="A115" i="2"/>
  <c r="B115" i="2"/>
  <c r="C115" i="2"/>
  <c r="D115" i="2"/>
  <c r="F115" i="2"/>
  <c r="G115" i="2"/>
  <c r="L115" i="2"/>
  <c r="E115" i="5" s="1"/>
  <c r="D245" i="7" s="1"/>
  <c r="A116" i="2"/>
  <c r="B116" i="2"/>
  <c r="C116" i="2"/>
  <c r="D116" i="2"/>
  <c r="F116" i="2"/>
  <c r="G116" i="2"/>
  <c r="L116" i="2"/>
  <c r="E116" i="5" s="1"/>
  <c r="D88" i="7" s="1"/>
  <c r="A117" i="2"/>
  <c r="B117" i="2"/>
  <c r="C117" i="2"/>
  <c r="D117" i="2"/>
  <c r="F117" i="2"/>
  <c r="G117" i="2"/>
  <c r="L117" i="2"/>
  <c r="E117" i="5" s="1"/>
  <c r="D246" i="7" s="1"/>
  <c r="A118" i="2"/>
  <c r="B118" i="2"/>
  <c r="C118" i="2"/>
  <c r="D118" i="2"/>
  <c r="F118" i="2"/>
  <c r="G118" i="2"/>
  <c r="L118" i="2"/>
  <c r="E118" i="5" s="1"/>
  <c r="D89" i="7" s="1"/>
  <c r="A119" i="2"/>
  <c r="B119" i="2"/>
  <c r="C119" i="2"/>
  <c r="D119" i="2"/>
  <c r="F119" i="2"/>
  <c r="G119" i="2"/>
  <c r="L119" i="2"/>
  <c r="E119" i="5" s="1"/>
  <c r="D247" i="7" s="1"/>
  <c r="A120" i="2"/>
  <c r="B120" i="2"/>
  <c r="C120" i="2"/>
  <c r="D120" i="2"/>
  <c r="F120" i="2"/>
  <c r="G120" i="2"/>
  <c r="L120" i="2"/>
  <c r="E120" i="5" s="1"/>
  <c r="D248" i="7" s="1"/>
  <c r="A121" i="2"/>
  <c r="B121" i="2"/>
  <c r="C121" i="2"/>
  <c r="D121" i="2"/>
  <c r="F121" i="2"/>
  <c r="G121" i="2"/>
  <c r="L121" i="2"/>
  <c r="E121" i="5" s="1"/>
  <c r="D249" i="7" s="1"/>
  <c r="A122" i="2"/>
  <c r="B122" i="2"/>
  <c r="C122" i="2"/>
  <c r="D122" i="2"/>
  <c r="F122" i="2"/>
  <c r="G122" i="2"/>
  <c r="L122" i="2"/>
  <c r="E122" i="5" s="1"/>
  <c r="D90" i="7" s="1"/>
  <c r="A123" i="2"/>
  <c r="B123" i="2"/>
  <c r="C123" i="2"/>
  <c r="D123" i="2"/>
  <c r="F123" i="2"/>
  <c r="G123" i="2"/>
  <c r="L123" i="2"/>
  <c r="E123" i="5" s="1"/>
  <c r="D250" i="7" s="1"/>
  <c r="A124" i="2"/>
  <c r="B124" i="2"/>
  <c r="C124" i="2"/>
  <c r="D124" i="2"/>
  <c r="F124" i="2"/>
  <c r="G124" i="2"/>
  <c r="L124" i="2"/>
  <c r="E124" i="5" s="1"/>
  <c r="D251" i="7" s="1"/>
  <c r="A125" i="2"/>
  <c r="B125" i="2"/>
  <c r="C125" i="2"/>
  <c r="D125" i="2"/>
  <c r="F125" i="2"/>
  <c r="G125" i="2"/>
  <c r="L125" i="2"/>
  <c r="E125" i="5" s="1"/>
  <c r="D252" i="7" s="1"/>
  <c r="A126" i="2"/>
  <c r="B126" i="2"/>
  <c r="C126" i="2"/>
  <c r="D126" i="2"/>
  <c r="F126" i="2"/>
  <c r="G126" i="2"/>
  <c r="L126" i="2"/>
  <c r="E126" i="5" s="1"/>
  <c r="D253" i="7" s="1"/>
  <c r="A127" i="2"/>
  <c r="B127" i="2"/>
  <c r="C127" i="2"/>
  <c r="D127" i="2"/>
  <c r="F127" i="2"/>
  <c r="G127" i="2"/>
  <c r="L127" i="2"/>
  <c r="E127" i="5" s="1"/>
  <c r="D91" i="7" s="1"/>
  <c r="A128" i="2"/>
  <c r="B128" i="2"/>
  <c r="C128" i="2"/>
  <c r="D128" i="2"/>
  <c r="F128" i="2"/>
  <c r="G128" i="2"/>
  <c r="L128" i="2"/>
  <c r="E128" i="5" s="1"/>
  <c r="D254" i="7" s="1"/>
  <c r="A129" i="2"/>
  <c r="B129" i="2"/>
  <c r="C129" i="2"/>
  <c r="D129" i="2"/>
  <c r="F129" i="2"/>
  <c r="G129" i="2"/>
  <c r="L129" i="2"/>
  <c r="E129" i="5" s="1"/>
  <c r="D255" i="7" s="1"/>
  <c r="A130" i="2"/>
  <c r="B130" i="2"/>
  <c r="C130" i="2"/>
  <c r="D130" i="2"/>
  <c r="F130" i="2"/>
  <c r="G130" i="2"/>
  <c r="L130" i="2"/>
  <c r="E130" i="5" s="1"/>
  <c r="D256" i="7" s="1"/>
  <c r="A131" i="2"/>
  <c r="B131" i="2"/>
  <c r="C131" i="2"/>
  <c r="D131" i="2"/>
  <c r="F131" i="2"/>
  <c r="G131" i="2"/>
  <c r="L131" i="2"/>
  <c r="E131" i="5" s="1"/>
  <c r="D92" i="7" s="1"/>
  <c r="A132" i="2"/>
  <c r="B132" i="2"/>
  <c r="C132" i="2"/>
  <c r="D132" i="2"/>
  <c r="F132" i="2"/>
  <c r="G132" i="2"/>
  <c r="L132" i="2"/>
  <c r="E132" i="5" s="1"/>
  <c r="D93" i="7" s="1"/>
  <c r="A133" i="2"/>
  <c r="B133" i="2"/>
  <c r="C133" i="2"/>
  <c r="D133" i="2"/>
  <c r="F133" i="2"/>
  <c r="G133" i="2"/>
  <c r="L133" i="2"/>
  <c r="E133" i="5" s="1"/>
  <c r="D257" i="7" s="1"/>
  <c r="A134" i="2"/>
  <c r="B134" i="2"/>
  <c r="C134" i="2"/>
  <c r="D134" i="2"/>
  <c r="F134" i="2"/>
  <c r="G134" i="2"/>
  <c r="L134" i="2"/>
  <c r="E134" i="5" s="1"/>
  <c r="D258" i="7" s="1"/>
  <c r="A135" i="2"/>
  <c r="B135" i="2"/>
  <c r="C135" i="2"/>
  <c r="D135" i="2"/>
  <c r="F135" i="2"/>
  <c r="G135" i="2"/>
  <c r="L135" i="2"/>
  <c r="E135" i="5" s="1"/>
  <c r="D94" i="7" s="1"/>
  <c r="A136" i="2"/>
  <c r="B136" i="2"/>
  <c r="C136" i="2"/>
  <c r="D136" i="2"/>
  <c r="F136" i="2"/>
  <c r="G136" i="2"/>
  <c r="L136" i="2"/>
  <c r="E136" i="5" s="1"/>
  <c r="D95" i="7" s="1"/>
  <c r="A137" i="2"/>
  <c r="B137" i="2"/>
  <c r="C137" i="2"/>
  <c r="D137" i="2"/>
  <c r="F137" i="2"/>
  <c r="G137" i="2"/>
  <c r="L137" i="2"/>
  <c r="E137" i="5" s="1"/>
  <c r="D259" i="7" s="1"/>
  <c r="A138" i="2"/>
  <c r="B138" i="2"/>
  <c r="C138" i="2"/>
  <c r="D138" i="2"/>
  <c r="F138" i="2"/>
  <c r="G138" i="2"/>
  <c r="L138" i="2"/>
  <c r="E138" i="5" s="1"/>
  <c r="D96" i="7" s="1"/>
  <c r="A139" i="2"/>
  <c r="B139" i="2"/>
  <c r="C139" i="2"/>
  <c r="D139" i="2"/>
  <c r="F139" i="2"/>
  <c r="G139" i="2"/>
  <c r="L139" i="2"/>
  <c r="E139" i="5" s="1"/>
  <c r="D260" i="7" s="1"/>
  <c r="A140" i="2"/>
  <c r="B140" i="2"/>
  <c r="C140" i="2"/>
  <c r="D140" i="2"/>
  <c r="F140" i="2"/>
  <c r="G140" i="2"/>
  <c r="L140" i="2"/>
  <c r="E140" i="5" s="1"/>
  <c r="D261" i="7" s="1"/>
  <c r="A141" i="2"/>
  <c r="B141" i="2"/>
  <c r="C141" i="2"/>
  <c r="D141" i="2"/>
  <c r="F141" i="2"/>
  <c r="G141" i="2"/>
  <c r="L141" i="2"/>
  <c r="E141" i="5" s="1"/>
  <c r="D97" i="7" s="1"/>
  <c r="A142" i="2"/>
  <c r="B142" i="2"/>
  <c r="C142" i="2"/>
  <c r="D142" i="2"/>
  <c r="F142" i="2"/>
  <c r="G142" i="2"/>
  <c r="L142" i="2"/>
  <c r="E142" i="5" s="1"/>
  <c r="D262" i="7" s="1"/>
  <c r="A143" i="2"/>
  <c r="B143" i="2"/>
  <c r="C143" i="2"/>
  <c r="D143" i="2"/>
  <c r="F143" i="2"/>
  <c r="G143" i="2"/>
  <c r="L143" i="2"/>
  <c r="E143" i="5" s="1"/>
  <c r="D263" i="7" s="1"/>
  <c r="A144" i="2"/>
  <c r="B144" i="2"/>
  <c r="C144" i="2"/>
  <c r="D144" i="2"/>
  <c r="F144" i="2"/>
  <c r="G144" i="2"/>
  <c r="L144" i="2"/>
  <c r="E144" i="5" s="1"/>
  <c r="D264" i="7" s="1"/>
  <c r="A145" i="2"/>
  <c r="B145" i="2"/>
  <c r="C145" i="2"/>
  <c r="D145" i="2"/>
  <c r="F145" i="2"/>
  <c r="G145" i="2"/>
  <c r="L145" i="2"/>
  <c r="E145" i="5" s="1"/>
  <c r="D265" i="7" s="1"/>
  <c r="A146" i="2"/>
  <c r="B146" i="2"/>
  <c r="C146" i="2"/>
  <c r="D146" i="2"/>
  <c r="F146" i="2"/>
  <c r="G146" i="2"/>
  <c r="L146" i="2"/>
  <c r="E146" i="5" s="1"/>
  <c r="D98" i="7" s="1"/>
  <c r="A147" i="2"/>
  <c r="B147" i="2"/>
  <c r="C147" i="2"/>
  <c r="D147" i="2"/>
  <c r="F147" i="2"/>
  <c r="G147" i="2"/>
  <c r="L147" i="2"/>
  <c r="E147" i="5" s="1"/>
  <c r="D99" i="7" s="1"/>
  <c r="A148" i="2"/>
  <c r="B148" i="2"/>
  <c r="C148" i="2"/>
  <c r="D148" i="2"/>
  <c r="F148" i="2"/>
  <c r="G148" i="2"/>
  <c r="L148" i="2"/>
  <c r="E148" i="5" s="1"/>
  <c r="D21" i="7" s="1"/>
  <c r="A149" i="2"/>
  <c r="B149" i="2"/>
  <c r="C149" i="2"/>
  <c r="D149" i="2"/>
  <c r="F149" i="2"/>
  <c r="G149" i="2"/>
  <c r="L149" i="2"/>
  <c r="E149" i="5" s="1"/>
  <c r="D100" i="7" s="1"/>
  <c r="A150" i="2"/>
  <c r="B150" i="2"/>
  <c r="C150" i="2"/>
  <c r="D150" i="2"/>
  <c r="F150" i="2"/>
  <c r="G150" i="2"/>
  <c r="L150" i="2"/>
  <c r="E150" i="5" s="1"/>
  <c r="D266" i="7" s="1"/>
  <c r="A151" i="2"/>
  <c r="B151" i="2"/>
  <c r="C151" i="2"/>
  <c r="D151" i="2"/>
  <c r="F151" i="2"/>
  <c r="G151" i="2"/>
  <c r="L151" i="2"/>
  <c r="E151" i="5" s="1"/>
  <c r="D22" i="7" s="1"/>
  <c r="A152" i="2"/>
  <c r="B152" i="2"/>
  <c r="C152" i="2"/>
  <c r="D152" i="2"/>
  <c r="F152" i="2"/>
  <c r="G152" i="2"/>
  <c r="L152" i="2"/>
  <c r="E152" i="5" s="1"/>
  <c r="D101" i="7" s="1"/>
  <c r="A153" i="2"/>
  <c r="B153" i="2"/>
  <c r="C153" i="2"/>
  <c r="D153" i="2"/>
  <c r="F153" i="2"/>
  <c r="G153" i="2"/>
  <c r="L153" i="2"/>
  <c r="E153" i="5" s="1"/>
  <c r="D267" i="7" s="1"/>
  <c r="A154" i="2"/>
  <c r="B154" i="2"/>
  <c r="C154" i="2"/>
  <c r="D154" i="2"/>
  <c r="F154" i="2"/>
  <c r="G154" i="2"/>
  <c r="L154" i="2"/>
  <c r="E154" i="5" s="1"/>
  <c r="D268" i="7" s="1"/>
  <c r="A155" i="2"/>
  <c r="B155" i="2"/>
  <c r="C155" i="2"/>
  <c r="D155" i="2"/>
  <c r="F155" i="2"/>
  <c r="G155" i="2"/>
  <c r="L155" i="2"/>
  <c r="E155" i="5" s="1"/>
  <c r="D23" i="7" s="1"/>
  <c r="A156" i="2"/>
  <c r="B156" i="2"/>
  <c r="C156" i="2"/>
  <c r="D156" i="2"/>
  <c r="F156" i="2"/>
  <c r="G156" i="2"/>
  <c r="L156" i="2"/>
  <c r="E156" i="5" s="1"/>
  <c r="D102" i="7" s="1"/>
  <c r="A157" i="2"/>
  <c r="B157" i="2"/>
  <c r="C157" i="2"/>
  <c r="D157" i="2"/>
  <c r="F157" i="2"/>
  <c r="G157" i="2"/>
  <c r="L157" i="2"/>
  <c r="E157" i="5" s="1"/>
  <c r="D24" i="7" s="1"/>
  <c r="A158" i="2"/>
  <c r="B158" i="2"/>
  <c r="C158" i="2"/>
  <c r="D158" i="2"/>
  <c r="F158" i="2"/>
  <c r="G158" i="2"/>
  <c r="L158" i="2"/>
  <c r="E158" i="5" s="1"/>
  <c r="D269" i="7" s="1"/>
  <c r="A159" i="2"/>
  <c r="B159" i="2"/>
  <c r="C159" i="2"/>
  <c r="D159" i="2"/>
  <c r="F159" i="2"/>
  <c r="G159" i="2"/>
  <c r="L159" i="2"/>
  <c r="E159" i="5" s="1"/>
  <c r="D270" i="7" s="1"/>
  <c r="A160" i="2"/>
  <c r="B160" i="2"/>
  <c r="C160" i="2"/>
  <c r="D160" i="2"/>
  <c r="F160" i="2"/>
  <c r="G160" i="2"/>
  <c r="L160" i="2"/>
  <c r="E160" i="5" s="1"/>
  <c r="D271" i="7" s="1"/>
  <c r="A161" i="2"/>
  <c r="B161" i="2"/>
  <c r="C161" i="2"/>
  <c r="D161" i="2"/>
  <c r="F161" i="2"/>
  <c r="G161" i="2"/>
  <c r="L161" i="2"/>
  <c r="E161" i="5" s="1"/>
  <c r="D103" i="7" s="1"/>
  <c r="A162" i="2"/>
  <c r="B162" i="2"/>
  <c r="C162" i="2"/>
  <c r="D162" i="2"/>
  <c r="F162" i="2"/>
  <c r="G162" i="2"/>
  <c r="L162" i="2"/>
  <c r="E162" i="5" s="1"/>
  <c r="D272" i="7" s="1"/>
  <c r="A163" i="2"/>
  <c r="B163" i="2"/>
  <c r="C163" i="2"/>
  <c r="D163" i="2"/>
  <c r="F163" i="2"/>
  <c r="G163" i="2"/>
  <c r="L163" i="2"/>
  <c r="E163" i="5" s="1"/>
  <c r="D104" i="7" s="1"/>
  <c r="A164" i="2"/>
  <c r="B164" i="2"/>
  <c r="C164" i="2"/>
  <c r="D164" i="2"/>
  <c r="F164" i="2"/>
  <c r="G164" i="2"/>
  <c r="L164" i="2"/>
  <c r="E164" i="5" s="1"/>
  <c r="D273" i="7" s="1"/>
  <c r="A165" i="2"/>
  <c r="B165" i="2"/>
  <c r="C165" i="2"/>
  <c r="D165" i="2"/>
  <c r="F165" i="2"/>
  <c r="G165" i="2"/>
  <c r="L165" i="2"/>
  <c r="E165" i="5" s="1"/>
  <c r="D274" i="7" s="1"/>
  <c r="A166" i="2"/>
  <c r="B166" i="2"/>
  <c r="C166" i="2"/>
  <c r="D166" i="2"/>
  <c r="F166" i="2"/>
  <c r="G166" i="2"/>
  <c r="L166" i="2"/>
  <c r="E166" i="5" s="1"/>
  <c r="D275" i="7" s="1"/>
  <c r="A167" i="2"/>
  <c r="B167" i="2"/>
  <c r="C167" i="2"/>
  <c r="D167" i="2"/>
  <c r="F167" i="2"/>
  <c r="G167" i="2"/>
  <c r="L167" i="2"/>
  <c r="E167" i="5" s="1"/>
  <c r="D105" i="7" s="1"/>
  <c r="A168" i="2"/>
  <c r="B168" i="2"/>
  <c r="C168" i="2"/>
  <c r="D168" i="2"/>
  <c r="F168" i="2"/>
  <c r="G168" i="2"/>
  <c r="L168" i="2"/>
  <c r="E168" i="5" s="1"/>
  <c r="D106" i="7" s="1"/>
  <c r="A169" i="2"/>
  <c r="B169" i="2"/>
  <c r="C169" i="2"/>
  <c r="D169" i="2"/>
  <c r="F169" i="2"/>
  <c r="G169" i="2"/>
  <c r="L169" i="2"/>
  <c r="E169" i="5" s="1"/>
  <c r="D276" i="7" s="1"/>
  <c r="A170" i="2"/>
  <c r="B170" i="2"/>
  <c r="C170" i="2"/>
  <c r="D170" i="2"/>
  <c r="F170" i="2"/>
  <c r="G170" i="2"/>
  <c r="L170" i="2"/>
  <c r="E170" i="5" s="1"/>
  <c r="D25" i="7" s="1"/>
  <c r="A171" i="2"/>
  <c r="B171" i="2"/>
  <c r="C171" i="2"/>
  <c r="D171" i="2"/>
  <c r="F171" i="2"/>
  <c r="G171" i="2"/>
  <c r="L171" i="2"/>
  <c r="E171" i="5" s="1"/>
  <c r="D277" i="7" s="1"/>
  <c r="A172" i="2"/>
  <c r="B172" i="2"/>
  <c r="C172" i="2"/>
  <c r="D172" i="2"/>
  <c r="F172" i="2"/>
  <c r="G172" i="2"/>
  <c r="L172" i="2"/>
  <c r="E172" i="5" s="1"/>
  <c r="D278" i="7" s="1"/>
  <c r="A173" i="2"/>
  <c r="B173" i="2"/>
  <c r="C173" i="2"/>
  <c r="D173" i="2"/>
  <c r="F173" i="2"/>
  <c r="G173" i="2"/>
  <c r="L173" i="2"/>
  <c r="E173" i="5" s="1"/>
  <c r="D279" i="7" s="1"/>
  <c r="A174" i="2"/>
  <c r="B174" i="2"/>
  <c r="C174" i="2"/>
  <c r="D174" i="2"/>
  <c r="F174" i="2"/>
  <c r="G174" i="2"/>
  <c r="L174" i="2"/>
  <c r="E174" i="5" s="1"/>
  <c r="D107" i="7" s="1"/>
  <c r="A175" i="2"/>
  <c r="B175" i="2"/>
  <c r="C175" i="2"/>
  <c r="D175" i="2"/>
  <c r="F175" i="2"/>
  <c r="G175" i="2"/>
  <c r="L175" i="2"/>
  <c r="E175" i="5" s="1"/>
  <c r="D280" i="7" s="1"/>
  <c r="A176" i="2"/>
  <c r="B176" i="2"/>
  <c r="C176" i="2"/>
  <c r="D176" i="2"/>
  <c r="F176" i="2"/>
  <c r="G176" i="2"/>
  <c r="L176" i="2"/>
  <c r="E176" i="5" s="1"/>
  <c r="D108" i="7" s="1"/>
  <c r="A177" i="2"/>
  <c r="B177" i="2"/>
  <c r="C177" i="2"/>
  <c r="D177" i="2"/>
  <c r="F177" i="2"/>
  <c r="G177" i="2"/>
  <c r="L177" i="2"/>
  <c r="E177" i="5" s="1"/>
  <c r="D109" i="7" s="1"/>
  <c r="A178" i="2"/>
  <c r="B178" i="2"/>
  <c r="C178" i="2"/>
  <c r="D178" i="2"/>
  <c r="F178" i="2"/>
  <c r="G178" i="2"/>
  <c r="L178" i="2"/>
  <c r="E178" i="5" s="1"/>
  <c r="D281" i="7" s="1"/>
  <c r="A179" i="2"/>
  <c r="B179" i="2"/>
  <c r="C179" i="2"/>
  <c r="D179" i="2"/>
  <c r="F179" i="2"/>
  <c r="G179" i="2"/>
  <c r="L179" i="2"/>
  <c r="E179" i="5" s="1"/>
  <c r="D282" i="7" s="1"/>
  <c r="A180" i="2"/>
  <c r="B180" i="2"/>
  <c r="C180" i="2"/>
  <c r="D180" i="2"/>
  <c r="F180" i="2"/>
  <c r="G180" i="2"/>
  <c r="L180" i="2"/>
  <c r="E180" i="5" s="1"/>
  <c r="D283" i="7" s="1"/>
  <c r="A181" i="2"/>
  <c r="B181" i="2"/>
  <c r="C181" i="2"/>
  <c r="D181" i="2"/>
  <c r="F181" i="2"/>
  <c r="G181" i="2"/>
  <c r="L181" i="2"/>
  <c r="E181" i="5" s="1"/>
  <c r="D284" i="7" s="1"/>
  <c r="A182" i="2"/>
  <c r="B182" i="2"/>
  <c r="C182" i="2"/>
  <c r="D182" i="2"/>
  <c r="F182" i="2"/>
  <c r="G182" i="2"/>
  <c r="L182" i="2"/>
  <c r="E182" i="5" s="1"/>
  <c r="D285" i="7" s="1"/>
  <c r="A183" i="2"/>
  <c r="B183" i="2"/>
  <c r="C183" i="2"/>
  <c r="D183" i="2"/>
  <c r="F183" i="2"/>
  <c r="G183" i="2"/>
  <c r="L183" i="2"/>
  <c r="E183" i="5" s="1"/>
  <c r="D110" i="7" s="1"/>
  <c r="A184" i="2"/>
  <c r="B184" i="2"/>
  <c r="C184" i="2"/>
  <c r="D184" i="2"/>
  <c r="F184" i="2"/>
  <c r="G184" i="2"/>
  <c r="L184" i="2"/>
  <c r="E184" i="5" s="1"/>
  <c r="D286" i="7" s="1"/>
  <c r="A185" i="2"/>
  <c r="B185" i="2"/>
  <c r="C185" i="2"/>
  <c r="D185" i="2"/>
  <c r="F185" i="2"/>
  <c r="G185" i="2"/>
  <c r="L185" i="2"/>
  <c r="E185" i="5" s="1"/>
  <c r="D287" i="7" s="1"/>
  <c r="A186" i="2"/>
  <c r="B186" i="2"/>
  <c r="C186" i="2"/>
  <c r="D186" i="2"/>
  <c r="F186" i="2"/>
  <c r="G186" i="2"/>
  <c r="L186" i="2"/>
  <c r="E186" i="5" s="1"/>
  <c r="D288" i="7" s="1"/>
  <c r="A187" i="2"/>
  <c r="B187" i="2"/>
  <c r="C187" i="2"/>
  <c r="D187" i="2"/>
  <c r="F187" i="2"/>
  <c r="G187" i="2"/>
  <c r="L187" i="2"/>
  <c r="E187" i="5" s="1"/>
  <c r="D111" i="7" s="1"/>
  <c r="A188" i="2"/>
  <c r="B188" i="2"/>
  <c r="C188" i="2"/>
  <c r="D188" i="2"/>
  <c r="F188" i="2"/>
  <c r="G188" i="2"/>
  <c r="L188" i="2"/>
  <c r="E188" i="5" s="1"/>
  <c r="D289" i="7" s="1"/>
  <c r="A189" i="2"/>
  <c r="B189" i="2"/>
  <c r="C189" i="2"/>
  <c r="D189" i="2"/>
  <c r="F189" i="2"/>
  <c r="G189" i="2"/>
  <c r="L189" i="2"/>
  <c r="E189" i="5" s="1"/>
  <c r="D290" i="7" s="1"/>
  <c r="A190" i="2"/>
  <c r="B190" i="2"/>
  <c r="C190" i="2"/>
  <c r="D190" i="2"/>
  <c r="F190" i="2"/>
  <c r="G190" i="2"/>
  <c r="L190" i="2"/>
  <c r="E190" i="5" s="1"/>
  <c r="D291" i="7" s="1"/>
  <c r="A191" i="2"/>
  <c r="B191" i="2"/>
  <c r="C191" i="2"/>
  <c r="D191" i="2"/>
  <c r="F191" i="2"/>
  <c r="G191" i="2"/>
  <c r="L191" i="2"/>
  <c r="E191" i="5" s="1"/>
  <c r="D112" i="7" s="1"/>
  <c r="A192" i="2"/>
  <c r="B192" i="2"/>
  <c r="C192" i="2"/>
  <c r="D192" i="2"/>
  <c r="F192" i="2"/>
  <c r="G192" i="2"/>
  <c r="L192" i="2"/>
  <c r="E192" i="5" s="1"/>
  <c r="D292" i="7" s="1"/>
  <c r="A193" i="2"/>
  <c r="B193" i="2"/>
  <c r="C193" i="2"/>
  <c r="D193" i="2"/>
  <c r="F193" i="2"/>
  <c r="G193" i="2"/>
  <c r="L193" i="2"/>
  <c r="E193" i="5" s="1"/>
  <c r="D113" i="7" s="1"/>
  <c r="A194" i="2"/>
  <c r="B194" i="2"/>
  <c r="C194" i="2"/>
  <c r="D194" i="2"/>
  <c r="F194" i="2"/>
  <c r="G194" i="2"/>
  <c r="L194" i="2"/>
  <c r="E194" i="5" s="1"/>
  <c r="D114" i="7" s="1"/>
  <c r="A195" i="2"/>
  <c r="B195" i="2"/>
  <c r="C195" i="2"/>
  <c r="D195" i="2"/>
  <c r="F195" i="2"/>
  <c r="G195" i="2"/>
  <c r="L195" i="2"/>
  <c r="E195" i="5" s="1"/>
  <c r="D293" i="7" s="1"/>
  <c r="A196" i="2"/>
  <c r="B196" i="2"/>
  <c r="C196" i="2"/>
  <c r="D196" i="2"/>
  <c r="F196" i="2"/>
  <c r="G196" i="2"/>
  <c r="L196" i="2"/>
  <c r="E196" i="5" s="1"/>
  <c r="D115" i="7" s="1"/>
  <c r="A197" i="2"/>
  <c r="B197" i="2"/>
  <c r="C197" i="2"/>
  <c r="D197" i="2"/>
  <c r="F197" i="2"/>
  <c r="G197" i="2"/>
  <c r="L197" i="2"/>
  <c r="E197" i="5" s="1"/>
  <c r="D294" i="7" s="1"/>
  <c r="A198" i="2"/>
  <c r="B198" i="2"/>
  <c r="C198" i="2"/>
  <c r="D198" i="2"/>
  <c r="F198" i="2"/>
  <c r="G198" i="2"/>
  <c r="L198" i="2"/>
  <c r="E198" i="5" s="1"/>
  <c r="D295" i="7" s="1"/>
  <c r="A199" i="2"/>
  <c r="B199" i="2"/>
  <c r="C199" i="2"/>
  <c r="D199" i="2"/>
  <c r="F199" i="2"/>
  <c r="G199" i="2"/>
  <c r="L199" i="2"/>
  <c r="E199" i="5" s="1"/>
  <c r="D296" i="7" s="1"/>
  <c r="A200" i="2"/>
  <c r="B200" i="2"/>
  <c r="C200" i="2"/>
  <c r="D200" i="2"/>
  <c r="F200" i="2"/>
  <c r="G200" i="2"/>
  <c r="L200" i="2"/>
  <c r="E200" i="5" s="1"/>
  <c r="D297" i="7" s="1"/>
  <c r="A201" i="2"/>
  <c r="B201" i="2"/>
  <c r="C201" i="2"/>
  <c r="D201" i="2"/>
  <c r="F201" i="2"/>
  <c r="G201" i="2"/>
  <c r="L201" i="2"/>
  <c r="E201" i="5" s="1"/>
  <c r="D298" i="7" s="1"/>
  <c r="A202" i="2"/>
  <c r="B202" i="2"/>
  <c r="C202" i="2"/>
  <c r="D202" i="2"/>
  <c r="F202" i="2"/>
  <c r="G202" i="2"/>
  <c r="L202" i="2"/>
  <c r="E202" i="5" s="1"/>
  <c r="D299" i="7" s="1"/>
  <c r="A203" i="2"/>
  <c r="B203" i="2"/>
  <c r="C203" i="2"/>
  <c r="D203" i="2"/>
  <c r="F203" i="2"/>
  <c r="G203" i="2"/>
  <c r="L203" i="2"/>
  <c r="E203" i="5" s="1"/>
  <c r="D300" i="7" s="1"/>
  <c r="A204" i="2"/>
  <c r="B204" i="2"/>
  <c r="C204" i="2"/>
  <c r="D204" i="2"/>
  <c r="F204" i="2"/>
  <c r="G204" i="2"/>
  <c r="L204" i="2"/>
  <c r="E204" i="5" s="1"/>
  <c r="D116" i="7" s="1"/>
  <c r="A205" i="2"/>
  <c r="B205" i="2"/>
  <c r="C205" i="2"/>
  <c r="D205" i="2"/>
  <c r="F205" i="2"/>
  <c r="G205" i="2"/>
  <c r="L205" i="2"/>
  <c r="E205" i="5" s="1"/>
  <c r="D117" i="7" s="1"/>
  <c r="A206" i="2"/>
  <c r="B206" i="2"/>
  <c r="C206" i="2"/>
  <c r="D206" i="2"/>
  <c r="F206" i="2"/>
  <c r="G206" i="2"/>
  <c r="L206" i="2"/>
  <c r="E206" i="5" s="1"/>
  <c r="D118" i="7" s="1"/>
  <c r="A207" i="2"/>
  <c r="B207" i="2"/>
  <c r="C207" i="2"/>
  <c r="D207" i="2"/>
  <c r="F207" i="2"/>
  <c r="G207" i="2"/>
  <c r="L207" i="2"/>
  <c r="E207" i="5" s="1"/>
  <c r="D301" i="7" s="1"/>
  <c r="A208" i="2"/>
  <c r="B208" i="2"/>
  <c r="C208" i="2"/>
  <c r="D208" i="2"/>
  <c r="F208" i="2"/>
  <c r="G208" i="2"/>
  <c r="L208" i="2"/>
  <c r="E208" i="5" s="1"/>
  <c r="D26" i="7" s="1"/>
  <c r="A209" i="2"/>
  <c r="B209" i="2"/>
  <c r="C209" i="2"/>
  <c r="D209" i="2"/>
  <c r="F209" i="2"/>
  <c r="G209" i="2"/>
  <c r="L209" i="2"/>
  <c r="E209" i="5" s="1"/>
  <c r="D302" i="7" s="1"/>
  <c r="A210" i="2"/>
  <c r="B210" i="2"/>
  <c r="C210" i="2"/>
  <c r="D210" i="2"/>
  <c r="F210" i="2"/>
  <c r="G210" i="2"/>
  <c r="L210" i="2"/>
  <c r="E210" i="5" s="1"/>
  <c r="D119" i="7" s="1"/>
  <c r="A211" i="2"/>
  <c r="B211" i="2"/>
  <c r="C211" i="2"/>
  <c r="D211" i="2"/>
  <c r="F211" i="2"/>
  <c r="G211" i="2"/>
  <c r="L211" i="2"/>
  <c r="E211" i="5" s="1"/>
  <c r="D303" i="7" s="1"/>
  <c r="A212" i="2"/>
  <c r="B212" i="2"/>
  <c r="C212" i="2"/>
  <c r="D212" i="2"/>
  <c r="F212" i="2"/>
  <c r="G212" i="2"/>
  <c r="L212" i="2"/>
  <c r="E212" i="5" s="1"/>
  <c r="D304" i="7" s="1"/>
  <c r="A213" i="2"/>
  <c r="B213" i="2"/>
  <c r="C213" i="2"/>
  <c r="D213" i="2"/>
  <c r="F213" i="2"/>
  <c r="G213" i="2"/>
  <c r="L213" i="2"/>
  <c r="E213" i="5" s="1"/>
  <c r="D120" i="7" s="1"/>
  <c r="A214" i="2"/>
  <c r="B214" i="2"/>
  <c r="C214" i="2"/>
  <c r="D214" i="2"/>
  <c r="F214" i="2"/>
  <c r="G214" i="2"/>
  <c r="L214" i="2"/>
  <c r="E214" i="5" s="1"/>
  <c r="D121" i="7" s="1"/>
  <c r="A215" i="2"/>
  <c r="B215" i="2"/>
  <c r="C215" i="2"/>
  <c r="D215" i="2"/>
  <c r="F215" i="2"/>
  <c r="G215" i="2"/>
  <c r="L215" i="2"/>
  <c r="E215" i="5" s="1"/>
  <c r="D27" i="7" s="1"/>
  <c r="A216" i="2"/>
  <c r="B216" i="2"/>
  <c r="C216" i="2"/>
  <c r="D216" i="2"/>
  <c r="F216" i="2"/>
  <c r="G216" i="2"/>
  <c r="L216" i="2"/>
  <c r="E216" i="5" s="1"/>
  <c r="D305" i="7" s="1"/>
  <c r="A217" i="2"/>
  <c r="B217" i="2"/>
  <c r="C217" i="2"/>
  <c r="D217" i="2"/>
  <c r="F217" i="2"/>
  <c r="G217" i="2"/>
  <c r="L217" i="2"/>
  <c r="E217" i="5" s="1"/>
  <c r="D122" i="7" s="1"/>
  <c r="A218" i="2"/>
  <c r="B218" i="2"/>
  <c r="C218" i="2"/>
  <c r="D218" i="2"/>
  <c r="F218" i="2"/>
  <c r="G218" i="2"/>
  <c r="L218" i="2"/>
  <c r="E218" i="5" s="1"/>
  <c r="D28" i="7" s="1"/>
  <c r="A219" i="2"/>
  <c r="B219" i="2"/>
  <c r="C219" i="2"/>
  <c r="D219" i="2"/>
  <c r="F219" i="2"/>
  <c r="G219" i="2"/>
  <c r="L219" i="2"/>
  <c r="E219" i="5" s="1"/>
  <c r="D306" i="7" s="1"/>
  <c r="A220" i="2"/>
  <c r="B220" i="2"/>
  <c r="C220" i="2"/>
  <c r="D220" i="2"/>
  <c r="F220" i="2"/>
  <c r="G220" i="2"/>
  <c r="L220" i="2"/>
  <c r="E220" i="5" s="1"/>
  <c r="D123" i="7" s="1"/>
  <c r="A221" i="2"/>
  <c r="B221" i="2"/>
  <c r="C221" i="2"/>
  <c r="D221" i="2"/>
  <c r="F221" i="2"/>
  <c r="G221" i="2"/>
  <c r="L221" i="2"/>
  <c r="E221" i="5" s="1"/>
  <c r="D307" i="7" s="1"/>
  <c r="A222" i="2"/>
  <c r="B222" i="2"/>
  <c r="C222" i="2"/>
  <c r="D222" i="2"/>
  <c r="F222" i="2"/>
  <c r="G222" i="2"/>
  <c r="L222" i="2"/>
  <c r="E222" i="5" s="1"/>
  <c r="D308" i="7" s="1"/>
  <c r="A223" i="2"/>
  <c r="B223" i="2"/>
  <c r="C223" i="2"/>
  <c r="D223" i="2"/>
  <c r="F223" i="2"/>
  <c r="G223" i="2"/>
  <c r="L223" i="2"/>
  <c r="E223" i="5" s="1"/>
  <c r="D309" i="7" s="1"/>
  <c r="A224" i="2"/>
  <c r="B224" i="2"/>
  <c r="C224" i="2"/>
  <c r="D224" i="2"/>
  <c r="F224" i="2"/>
  <c r="G224" i="2"/>
  <c r="L224" i="2"/>
  <c r="E224" i="5" s="1"/>
  <c r="D124" i="7" s="1"/>
  <c r="A225" i="2"/>
  <c r="B225" i="2"/>
  <c r="C225" i="2"/>
  <c r="D225" i="2"/>
  <c r="F225" i="2"/>
  <c r="G225" i="2"/>
  <c r="L225" i="2"/>
  <c r="E225" i="5" s="1"/>
  <c r="D310" i="7" s="1"/>
  <c r="A226" i="2"/>
  <c r="B226" i="2"/>
  <c r="C226" i="2"/>
  <c r="D226" i="2"/>
  <c r="F226" i="2"/>
  <c r="G226" i="2"/>
  <c r="L226" i="2"/>
  <c r="E226" i="5" s="1"/>
  <c r="D125" i="7" s="1"/>
  <c r="A227" i="2"/>
  <c r="B227" i="2"/>
  <c r="C227" i="2"/>
  <c r="D227" i="2"/>
  <c r="F227" i="2"/>
  <c r="G227" i="2"/>
  <c r="L227" i="2"/>
  <c r="E227" i="5" s="1"/>
  <c r="D311" i="7" s="1"/>
  <c r="A228" i="2"/>
  <c r="B228" i="2"/>
  <c r="C228" i="2"/>
  <c r="D228" i="2"/>
  <c r="F228" i="2"/>
  <c r="G228" i="2"/>
  <c r="L228" i="2"/>
  <c r="E228" i="5" s="1"/>
  <c r="D126" i="7" s="1"/>
  <c r="A229" i="2"/>
  <c r="B229" i="2"/>
  <c r="C229" i="2"/>
  <c r="D229" i="2"/>
  <c r="F229" i="2"/>
  <c r="G229" i="2"/>
  <c r="L229" i="2"/>
  <c r="E229" i="5" s="1"/>
  <c r="D312" i="7" s="1"/>
  <c r="A230" i="2"/>
  <c r="B230" i="2"/>
  <c r="C230" i="2"/>
  <c r="D230" i="2"/>
  <c r="F230" i="2"/>
  <c r="G230" i="2"/>
  <c r="L230" i="2"/>
  <c r="E230" i="5" s="1"/>
  <c r="D29" i="7" s="1"/>
  <c r="A231" i="2"/>
  <c r="B231" i="2"/>
  <c r="C231" i="2"/>
  <c r="D231" i="2"/>
  <c r="F231" i="2"/>
  <c r="G231" i="2"/>
  <c r="L231" i="2"/>
  <c r="E231" i="5" s="1"/>
  <c r="D127" i="7" s="1"/>
  <c r="A232" i="2"/>
  <c r="B232" i="2"/>
  <c r="C232" i="2"/>
  <c r="D232" i="2"/>
  <c r="F232" i="2"/>
  <c r="G232" i="2"/>
  <c r="L232" i="2"/>
  <c r="E232" i="5" s="1"/>
  <c r="D128" i="7" s="1"/>
  <c r="A233" i="2"/>
  <c r="B233" i="2"/>
  <c r="C233" i="2"/>
  <c r="D233" i="2"/>
  <c r="F233" i="2"/>
  <c r="G233" i="2"/>
  <c r="L233" i="2"/>
  <c r="E233" i="5" s="1"/>
  <c r="D313" i="7" s="1"/>
  <c r="A234" i="2"/>
  <c r="B234" i="2"/>
  <c r="C234" i="2"/>
  <c r="D234" i="2"/>
  <c r="F234" i="2"/>
  <c r="G234" i="2"/>
  <c r="L234" i="2"/>
  <c r="E234" i="5" s="1"/>
  <c r="D129" i="7" s="1"/>
  <c r="A235" i="2"/>
  <c r="B235" i="2"/>
  <c r="C235" i="2"/>
  <c r="D235" i="2"/>
  <c r="F235" i="2"/>
  <c r="G235" i="2"/>
  <c r="L235" i="2"/>
  <c r="E235" i="5" s="1"/>
  <c r="D314" i="7" s="1"/>
  <c r="A236" i="2"/>
  <c r="B236" i="2"/>
  <c r="C236" i="2"/>
  <c r="D236" i="2"/>
  <c r="F236" i="2"/>
  <c r="G236" i="2"/>
  <c r="L236" i="2"/>
  <c r="E236" i="5" s="1"/>
  <c r="D315" i="7" s="1"/>
  <c r="A237" i="2"/>
  <c r="B237" i="2"/>
  <c r="C237" i="2"/>
  <c r="D237" i="2"/>
  <c r="F237" i="2"/>
  <c r="G237" i="2"/>
  <c r="L237" i="2"/>
  <c r="E237" i="5" s="1"/>
  <c r="D316" i="7" s="1"/>
  <c r="A238" i="2"/>
  <c r="B238" i="2"/>
  <c r="C238" i="2"/>
  <c r="D238" i="2"/>
  <c r="F238" i="2"/>
  <c r="G238" i="2"/>
  <c r="L238" i="2"/>
  <c r="E238" i="5" s="1"/>
  <c r="D30" i="7" s="1"/>
  <c r="A239" i="2"/>
  <c r="B239" i="2"/>
  <c r="C239" i="2"/>
  <c r="D239" i="2"/>
  <c r="F239" i="2"/>
  <c r="G239" i="2"/>
  <c r="L239" i="2"/>
  <c r="E239" i="5" s="1"/>
  <c r="D31" i="7" s="1"/>
  <c r="A240" i="2"/>
  <c r="B240" i="2"/>
  <c r="C240" i="2"/>
  <c r="D240" i="2"/>
  <c r="F240" i="2"/>
  <c r="G240" i="2"/>
  <c r="L240" i="2"/>
  <c r="E240" i="5" s="1"/>
  <c r="D130" i="7" s="1"/>
  <c r="A241" i="2"/>
  <c r="B241" i="2"/>
  <c r="C241" i="2"/>
  <c r="D241" i="2"/>
  <c r="F241" i="2"/>
  <c r="G241" i="2"/>
  <c r="L241" i="2"/>
  <c r="E241" i="5" s="1"/>
  <c r="D317" i="7" s="1"/>
  <c r="A242" i="2"/>
  <c r="B242" i="2"/>
  <c r="C242" i="2"/>
  <c r="D242" i="2"/>
  <c r="F242" i="2"/>
  <c r="G242" i="2"/>
  <c r="L242" i="2"/>
  <c r="E242" i="5" s="1"/>
  <c r="D32" i="7" s="1"/>
  <c r="A243" i="2"/>
  <c r="B243" i="2"/>
  <c r="C243" i="2"/>
  <c r="D243" i="2"/>
  <c r="F243" i="2"/>
  <c r="G243" i="2"/>
  <c r="L243" i="2"/>
  <c r="E243" i="5" s="1"/>
  <c r="D318" i="7" s="1"/>
  <c r="A244" i="2"/>
  <c r="B244" i="2"/>
  <c r="C244" i="2"/>
  <c r="D244" i="2"/>
  <c r="F244" i="2"/>
  <c r="G244" i="2"/>
  <c r="L244" i="2"/>
  <c r="E244" i="5" s="1"/>
  <c r="D319" i="7" s="1"/>
  <c r="A245" i="2"/>
  <c r="B245" i="2"/>
  <c r="C245" i="2"/>
  <c r="D245" i="2"/>
  <c r="F245" i="2"/>
  <c r="G245" i="2"/>
  <c r="L245" i="2"/>
  <c r="E245" i="5" s="1"/>
  <c r="D131" i="7" s="1"/>
  <c r="A246" i="2"/>
  <c r="B246" i="2"/>
  <c r="C246" i="2"/>
  <c r="D246" i="2"/>
  <c r="F246" i="2"/>
  <c r="G246" i="2"/>
  <c r="L246" i="2"/>
  <c r="E246" i="5" s="1"/>
  <c r="D320" i="7" s="1"/>
  <c r="A247" i="2"/>
  <c r="B247" i="2"/>
  <c r="C247" i="2"/>
  <c r="D247" i="2"/>
  <c r="F247" i="2"/>
  <c r="G247" i="2"/>
  <c r="L247" i="2"/>
  <c r="E247" i="5" s="1"/>
  <c r="D132" i="7" s="1"/>
  <c r="A248" i="2"/>
  <c r="B248" i="2"/>
  <c r="C248" i="2"/>
  <c r="D248" i="2"/>
  <c r="F248" i="2"/>
  <c r="G248" i="2"/>
  <c r="L248" i="2"/>
  <c r="E248" i="5" s="1"/>
  <c r="D321" i="7" s="1"/>
  <c r="A249" i="2"/>
  <c r="B249" i="2"/>
  <c r="C249" i="2"/>
  <c r="D249" i="2"/>
  <c r="F249" i="2"/>
  <c r="G249" i="2"/>
  <c r="L249" i="2"/>
  <c r="E249" i="5" s="1"/>
  <c r="D133" i="7" s="1"/>
  <c r="A250" i="2"/>
  <c r="B250" i="2"/>
  <c r="C250" i="2"/>
  <c r="D250" i="2"/>
  <c r="F250" i="2"/>
  <c r="G250" i="2"/>
  <c r="L250" i="2"/>
  <c r="E250" i="5" s="1"/>
  <c r="D322" i="7" s="1"/>
  <c r="A251" i="2"/>
  <c r="B251" i="2"/>
  <c r="C251" i="2"/>
  <c r="D251" i="2"/>
  <c r="F251" i="2"/>
  <c r="G251" i="2"/>
  <c r="L251" i="2"/>
  <c r="E251" i="5" s="1"/>
  <c r="D134" i="7" s="1"/>
  <c r="A252" i="2"/>
  <c r="B252" i="2"/>
  <c r="C252" i="2"/>
  <c r="D252" i="2"/>
  <c r="F252" i="2"/>
  <c r="G252" i="2"/>
  <c r="L252" i="2"/>
  <c r="E252" i="5" s="1"/>
  <c r="D33" i="7" s="1"/>
  <c r="A253" i="2"/>
  <c r="B253" i="2"/>
  <c r="C253" i="2"/>
  <c r="D253" i="2"/>
  <c r="F253" i="2"/>
  <c r="G253" i="2"/>
  <c r="L253" i="2"/>
  <c r="E253" i="5" s="1"/>
  <c r="D135" i="7" s="1"/>
  <c r="A254" i="2"/>
  <c r="B254" i="2"/>
  <c r="C254" i="2"/>
  <c r="D254" i="2"/>
  <c r="F254" i="2"/>
  <c r="G254" i="2"/>
  <c r="L254" i="2"/>
  <c r="E254" i="5" s="1"/>
  <c r="D136" i="7" s="1"/>
  <c r="A255" i="2"/>
  <c r="B255" i="2"/>
  <c r="C255" i="2"/>
  <c r="D255" i="2"/>
  <c r="F255" i="2"/>
  <c r="G255" i="2"/>
  <c r="L255" i="2"/>
  <c r="E255" i="5" s="1"/>
  <c r="D323" i="7" s="1"/>
  <c r="A256" i="2"/>
  <c r="B256" i="2"/>
  <c r="C256" i="2"/>
  <c r="D256" i="2"/>
  <c r="F256" i="2"/>
  <c r="G256" i="2"/>
  <c r="L256" i="2"/>
  <c r="E256" i="5" s="1"/>
  <c r="D137" i="7" s="1"/>
  <c r="A257" i="2"/>
  <c r="B257" i="2"/>
  <c r="C257" i="2"/>
  <c r="D257" i="2"/>
  <c r="F257" i="2"/>
  <c r="G257" i="2"/>
  <c r="L257" i="2"/>
  <c r="E257" i="5" s="1"/>
  <c r="D324" i="7" s="1"/>
  <c r="A258" i="2"/>
  <c r="B258" i="2"/>
  <c r="C258" i="2"/>
  <c r="D258" i="2"/>
  <c r="F258" i="2"/>
  <c r="G258" i="2"/>
  <c r="L258" i="2"/>
  <c r="E258" i="5" s="1"/>
  <c r="D138" i="7" s="1"/>
  <c r="A259" i="2"/>
  <c r="B259" i="2"/>
  <c r="C259" i="2"/>
  <c r="D259" i="2"/>
  <c r="F259" i="2"/>
  <c r="G259" i="2"/>
  <c r="L259" i="2"/>
  <c r="E259" i="5" s="1"/>
  <c r="D325" i="7" s="1"/>
  <c r="A260" i="2"/>
  <c r="B260" i="2"/>
  <c r="C260" i="2"/>
  <c r="D260" i="2"/>
  <c r="F260" i="2"/>
  <c r="G260" i="2"/>
  <c r="L260" i="2"/>
  <c r="E260" i="5" s="1"/>
  <c r="D139" i="7" s="1"/>
  <c r="A261" i="2"/>
  <c r="B261" i="2"/>
  <c r="C261" i="2"/>
  <c r="D261" i="2"/>
  <c r="F261" i="2"/>
  <c r="G261" i="2"/>
  <c r="L261" i="2"/>
  <c r="E261" i="5" s="1"/>
  <c r="D326" i="7" s="1"/>
  <c r="A262" i="2"/>
  <c r="B262" i="2"/>
  <c r="C262" i="2"/>
  <c r="D262" i="2"/>
  <c r="F262" i="2"/>
  <c r="G262" i="2"/>
  <c r="L262" i="2"/>
  <c r="E262" i="5" s="1"/>
  <c r="D140" i="7" s="1"/>
  <c r="A263" i="2"/>
  <c r="B263" i="2"/>
  <c r="C263" i="2"/>
  <c r="D263" i="2"/>
  <c r="F263" i="2"/>
  <c r="G263" i="2"/>
  <c r="L263" i="2"/>
  <c r="E263" i="5" s="1"/>
  <c r="D327" i="7" s="1"/>
  <c r="A264" i="2"/>
  <c r="B264" i="2"/>
  <c r="C264" i="2"/>
  <c r="D264" i="2"/>
  <c r="F264" i="2"/>
  <c r="G264" i="2"/>
  <c r="L264" i="2"/>
  <c r="E264" i="5" s="1"/>
  <c r="D328" i="7" s="1"/>
  <c r="A265" i="2"/>
  <c r="B265" i="2"/>
  <c r="C265" i="2"/>
  <c r="D265" i="2"/>
  <c r="F265" i="2"/>
  <c r="G265" i="2"/>
  <c r="L265" i="2"/>
  <c r="E265" i="5" s="1"/>
  <c r="D34" i="7" s="1"/>
  <c r="A266" i="2"/>
  <c r="B266" i="2"/>
  <c r="C266" i="2"/>
  <c r="D266" i="2"/>
  <c r="F266" i="2"/>
  <c r="G266" i="2"/>
  <c r="L266" i="2"/>
  <c r="E266" i="5" s="1"/>
  <c r="D35" i="7" s="1"/>
  <c r="A267" i="2"/>
  <c r="B267" i="2"/>
  <c r="C267" i="2"/>
  <c r="D267" i="2"/>
  <c r="F267" i="2"/>
  <c r="G267" i="2"/>
  <c r="L267" i="2"/>
  <c r="E267" i="5" s="1"/>
  <c r="D329" i="7" s="1"/>
  <c r="A268" i="2"/>
  <c r="B268" i="2"/>
  <c r="C268" i="2"/>
  <c r="D268" i="2"/>
  <c r="F268" i="2"/>
  <c r="G268" i="2"/>
  <c r="L268" i="2"/>
  <c r="E268" i="5" s="1"/>
  <c r="D141" i="7" s="1"/>
  <c r="A269" i="2"/>
  <c r="B269" i="2"/>
  <c r="C269" i="2"/>
  <c r="D269" i="2"/>
  <c r="F269" i="2"/>
  <c r="G269" i="2"/>
  <c r="L269" i="2"/>
  <c r="E269" i="5" s="1"/>
  <c r="D330" i="7" s="1"/>
  <c r="A270" i="2"/>
  <c r="B270" i="2"/>
  <c r="C270" i="2"/>
  <c r="D270" i="2"/>
  <c r="F270" i="2"/>
  <c r="G270" i="2"/>
  <c r="L270" i="2"/>
  <c r="E270" i="5" s="1"/>
  <c r="D331" i="7" s="1"/>
  <c r="A271" i="2"/>
  <c r="B271" i="2"/>
  <c r="C271" i="2"/>
  <c r="D271" i="2"/>
  <c r="F271" i="2"/>
  <c r="G271" i="2"/>
  <c r="L271" i="2"/>
  <c r="E271" i="5" s="1"/>
  <c r="D332" i="7" s="1"/>
  <c r="A272" i="2"/>
  <c r="B272" i="2"/>
  <c r="C272" i="2"/>
  <c r="D272" i="2"/>
  <c r="F272" i="2"/>
  <c r="G272" i="2"/>
  <c r="L272" i="2"/>
  <c r="E272" i="5" s="1"/>
  <c r="D142" i="7" s="1"/>
  <c r="A273" i="2"/>
  <c r="B273" i="2"/>
  <c r="C273" i="2"/>
  <c r="D273" i="2"/>
  <c r="F273" i="2"/>
  <c r="G273" i="2"/>
  <c r="L273" i="2"/>
  <c r="E273" i="5" s="1"/>
  <c r="D143" i="7" s="1"/>
  <c r="A274" i="2"/>
  <c r="B274" i="2"/>
  <c r="C274" i="2"/>
  <c r="D274" i="2"/>
  <c r="F274" i="2"/>
  <c r="G274" i="2"/>
  <c r="L274" i="2"/>
  <c r="E274" i="5" s="1"/>
  <c r="D144" i="7" s="1"/>
  <c r="A275" i="2"/>
  <c r="B275" i="2"/>
  <c r="C275" i="2"/>
  <c r="D275" i="2"/>
  <c r="F275" i="2"/>
  <c r="G275" i="2"/>
  <c r="L275" i="2"/>
  <c r="E275" i="5" s="1"/>
  <c r="D333" i="7" s="1"/>
  <c r="A276" i="2"/>
  <c r="B276" i="2"/>
  <c r="C276" i="2"/>
  <c r="D276" i="2"/>
  <c r="F276" i="2"/>
  <c r="G276" i="2"/>
  <c r="L276" i="2"/>
  <c r="E276" i="5" s="1"/>
  <c r="D145" i="7" s="1"/>
  <c r="A277" i="2"/>
  <c r="B277" i="2"/>
  <c r="C277" i="2"/>
  <c r="D277" i="2"/>
  <c r="F277" i="2"/>
  <c r="G277" i="2"/>
  <c r="L277" i="2"/>
  <c r="E277" i="5" s="1"/>
  <c r="D334" i="7" s="1"/>
  <c r="A278" i="2"/>
  <c r="B278" i="2"/>
  <c r="C278" i="2"/>
  <c r="D278" i="2"/>
  <c r="F278" i="2"/>
  <c r="G278" i="2"/>
  <c r="L278" i="2"/>
  <c r="E278" i="5" s="1"/>
  <c r="D146" i="7" s="1"/>
  <c r="A279" i="2"/>
  <c r="B279" i="2"/>
  <c r="C279" i="2"/>
  <c r="D279" i="2"/>
  <c r="F279" i="2"/>
  <c r="G279" i="2"/>
  <c r="L279" i="2"/>
  <c r="E279" i="5" s="1"/>
  <c r="D147" i="7" s="1"/>
  <c r="A280" i="2"/>
  <c r="B280" i="2"/>
  <c r="C280" i="2"/>
  <c r="D280" i="2"/>
  <c r="F280" i="2"/>
  <c r="G280" i="2"/>
  <c r="L280" i="2"/>
  <c r="E280" i="5" s="1"/>
  <c r="D335" i="7" s="1"/>
  <c r="A281" i="2"/>
  <c r="B281" i="2"/>
  <c r="C281" i="2"/>
  <c r="D281" i="2"/>
  <c r="F281" i="2"/>
  <c r="G281" i="2"/>
  <c r="L281" i="2"/>
  <c r="E281" i="5" s="1"/>
  <c r="D336" i="7" s="1"/>
  <c r="A282" i="2"/>
  <c r="B282" i="2"/>
  <c r="C282" i="2"/>
  <c r="D282" i="2"/>
  <c r="F282" i="2"/>
  <c r="G282" i="2"/>
  <c r="L282" i="2"/>
  <c r="E282" i="5" s="1"/>
  <c r="D337" i="7" s="1"/>
  <c r="A283" i="2"/>
  <c r="B283" i="2"/>
  <c r="C283" i="2"/>
  <c r="D283" i="2"/>
  <c r="F283" i="2"/>
  <c r="G283" i="2"/>
  <c r="L283" i="2"/>
  <c r="E283" i="5" s="1"/>
  <c r="D36" i="7" s="1"/>
  <c r="A284" i="2"/>
  <c r="B284" i="2"/>
  <c r="C284" i="2"/>
  <c r="D284" i="2"/>
  <c r="F284" i="2"/>
  <c r="G284" i="2"/>
  <c r="L284" i="2"/>
  <c r="E284" i="5" s="1"/>
  <c r="D338" i="7" s="1"/>
  <c r="A285" i="2"/>
  <c r="B285" i="2"/>
  <c r="C285" i="2"/>
  <c r="D285" i="2"/>
  <c r="F285" i="2"/>
  <c r="G285" i="2"/>
  <c r="L285" i="2"/>
  <c r="E285" i="5" s="1"/>
  <c r="D339" i="7" s="1"/>
  <c r="A286" i="2"/>
  <c r="B286" i="2"/>
  <c r="C286" i="2"/>
  <c r="D286" i="2"/>
  <c r="F286" i="2"/>
  <c r="G286" i="2"/>
  <c r="L286" i="2"/>
  <c r="E286" i="5" s="1"/>
  <c r="D37" i="7" s="1"/>
  <c r="A287" i="2"/>
  <c r="B287" i="2"/>
  <c r="C287" i="2"/>
  <c r="D287" i="2"/>
  <c r="F287" i="2"/>
  <c r="G287" i="2"/>
  <c r="L287" i="2"/>
  <c r="E287" i="5" s="1"/>
  <c r="D340" i="7" s="1"/>
  <c r="A288" i="2"/>
  <c r="B288" i="2"/>
  <c r="C288" i="2"/>
  <c r="D288" i="2"/>
  <c r="F288" i="2"/>
  <c r="G288" i="2"/>
  <c r="L288" i="2"/>
  <c r="E288" i="5" s="1"/>
  <c r="D148" i="7" s="1"/>
  <c r="A289" i="2"/>
  <c r="B289" i="2"/>
  <c r="C289" i="2"/>
  <c r="D289" i="2"/>
  <c r="F289" i="2"/>
  <c r="G289" i="2"/>
  <c r="L289" i="2"/>
  <c r="E289" i="5" s="1"/>
  <c r="D341" i="7" s="1"/>
  <c r="A290" i="2"/>
  <c r="B290" i="2"/>
  <c r="C290" i="2"/>
  <c r="D290" i="2"/>
  <c r="F290" i="2"/>
  <c r="G290" i="2"/>
  <c r="L290" i="2"/>
  <c r="E290" i="5" s="1"/>
  <c r="D149" i="7" s="1"/>
  <c r="A291" i="2"/>
  <c r="B291" i="2"/>
  <c r="C291" i="2"/>
  <c r="D291" i="2"/>
  <c r="F291" i="2"/>
  <c r="G291" i="2"/>
  <c r="L291" i="2"/>
  <c r="E291" i="5" s="1"/>
  <c r="D150" i="7" s="1"/>
  <c r="A292" i="2"/>
  <c r="B292" i="2"/>
  <c r="C292" i="2"/>
  <c r="D292" i="2"/>
  <c r="F292" i="2"/>
  <c r="G292" i="2"/>
  <c r="L292" i="2"/>
  <c r="E292" i="5" s="1"/>
  <c r="D342" i="7" s="1"/>
  <c r="A293" i="2"/>
  <c r="B293" i="2"/>
  <c r="C293" i="2"/>
  <c r="D293" i="2"/>
  <c r="F293" i="2"/>
  <c r="G293" i="2"/>
  <c r="L293" i="2"/>
  <c r="E293" i="5" s="1"/>
  <c r="D343" i="7" s="1"/>
  <c r="A294" i="2"/>
  <c r="B294" i="2"/>
  <c r="C294" i="2"/>
  <c r="D294" i="2"/>
  <c r="F294" i="2"/>
  <c r="G294" i="2"/>
  <c r="L294" i="2"/>
  <c r="E294" i="5" s="1"/>
  <c r="D344" i="7" s="1"/>
  <c r="A295" i="2"/>
  <c r="B295" i="2"/>
  <c r="C295" i="2"/>
  <c r="D295" i="2"/>
  <c r="F295" i="2"/>
  <c r="G295" i="2"/>
  <c r="L295" i="2"/>
  <c r="E295" i="5" s="1"/>
  <c r="D38" i="7" s="1"/>
  <c r="A296" i="2"/>
  <c r="B296" i="2"/>
  <c r="C296" i="2"/>
  <c r="D296" i="2"/>
  <c r="F296" i="2"/>
  <c r="G296" i="2"/>
  <c r="L296" i="2"/>
  <c r="E296" i="5" s="1"/>
  <c r="D151" i="7" s="1"/>
  <c r="A297" i="2"/>
  <c r="B297" i="2"/>
  <c r="C297" i="2"/>
  <c r="D297" i="2"/>
  <c r="F297" i="2"/>
  <c r="G297" i="2"/>
  <c r="L297" i="2"/>
  <c r="E297" i="5" s="1"/>
  <c r="D39" i="7" s="1"/>
  <c r="A298" i="2"/>
  <c r="B298" i="2"/>
  <c r="C298" i="2"/>
  <c r="D298" i="2"/>
  <c r="F298" i="2"/>
  <c r="G298" i="2"/>
  <c r="L298" i="2"/>
  <c r="E298" i="5" s="1"/>
  <c r="D345" i="7" s="1"/>
  <c r="A299" i="2"/>
  <c r="B299" i="2"/>
  <c r="C299" i="2"/>
  <c r="D299" i="2"/>
  <c r="F299" i="2"/>
  <c r="G299" i="2"/>
  <c r="L299" i="2"/>
  <c r="E299" i="5" s="1"/>
  <c r="D346" i="7" s="1"/>
  <c r="A300" i="2"/>
  <c r="B300" i="2"/>
  <c r="C300" i="2"/>
  <c r="D300" i="2"/>
  <c r="F300" i="2"/>
  <c r="G300" i="2"/>
  <c r="L300" i="2"/>
  <c r="E300" i="5" s="1"/>
  <c r="D347" i="7" s="1"/>
  <c r="A301" i="2"/>
  <c r="B301" i="2"/>
  <c r="C301" i="2"/>
  <c r="D301" i="2"/>
  <c r="F301" i="2"/>
  <c r="G301" i="2"/>
  <c r="L301" i="2"/>
  <c r="E301" i="5" s="1"/>
  <c r="D348" i="7" s="1"/>
  <c r="A302" i="2"/>
  <c r="B302" i="2"/>
  <c r="C302" i="2"/>
  <c r="D302" i="2"/>
  <c r="F302" i="2"/>
  <c r="G302" i="2"/>
  <c r="L302" i="2"/>
  <c r="E302" i="5" s="1"/>
  <c r="D152" i="7" s="1"/>
  <c r="A303" i="2"/>
  <c r="B303" i="2"/>
  <c r="C303" i="2"/>
  <c r="D303" i="2"/>
  <c r="F303" i="2"/>
  <c r="G303" i="2"/>
  <c r="L303" i="2"/>
  <c r="E303" i="5" s="1"/>
  <c r="D153" i="7" s="1"/>
  <c r="A304" i="2"/>
  <c r="B304" i="2"/>
  <c r="C304" i="2"/>
  <c r="D304" i="2"/>
  <c r="F304" i="2"/>
  <c r="G304" i="2"/>
  <c r="L304" i="2"/>
  <c r="E304" i="5" s="1"/>
  <c r="D349" i="7" s="1"/>
  <c r="A305" i="2"/>
  <c r="B305" i="2"/>
  <c r="C305" i="2"/>
  <c r="D305" i="2"/>
  <c r="F305" i="2"/>
  <c r="G305" i="2"/>
  <c r="L305" i="2"/>
  <c r="E305" i="5" s="1"/>
  <c r="D40" i="7" s="1"/>
  <c r="A306" i="2"/>
  <c r="B306" i="2"/>
  <c r="C306" i="2"/>
  <c r="D306" i="2"/>
  <c r="F306" i="2"/>
  <c r="G306" i="2"/>
  <c r="L306" i="2"/>
  <c r="E306" i="5" s="1"/>
  <c r="D350" i="7" s="1"/>
  <c r="A307" i="2"/>
  <c r="B307" i="2"/>
  <c r="C307" i="2"/>
  <c r="D307" i="2"/>
  <c r="F307" i="2"/>
  <c r="G307" i="2"/>
  <c r="L307" i="2"/>
  <c r="E307" i="5" s="1"/>
  <c r="D154" i="7" s="1"/>
  <c r="A308" i="2"/>
  <c r="B308" i="2"/>
  <c r="C308" i="2"/>
  <c r="D308" i="2"/>
  <c r="F308" i="2"/>
  <c r="G308" i="2"/>
  <c r="L308" i="2"/>
  <c r="E308" i="5" s="1"/>
  <c r="D351" i="7" s="1"/>
  <c r="A309" i="2"/>
  <c r="B309" i="2"/>
  <c r="C309" i="2"/>
  <c r="D309" i="2"/>
  <c r="F309" i="2"/>
  <c r="G309" i="2"/>
  <c r="L309" i="2"/>
  <c r="E309" i="5" s="1"/>
  <c r="D352" i="7" s="1"/>
  <c r="A310" i="2"/>
  <c r="B310" i="2"/>
  <c r="C310" i="2"/>
  <c r="D310" i="2"/>
  <c r="F310" i="2"/>
  <c r="G310" i="2"/>
  <c r="L310" i="2"/>
  <c r="E310" i="5" s="1"/>
  <c r="D155" i="7" s="1"/>
  <c r="A311" i="2"/>
  <c r="B311" i="2"/>
  <c r="C311" i="2"/>
  <c r="D311" i="2"/>
  <c r="F311" i="2"/>
  <c r="G311" i="2"/>
  <c r="L311" i="2"/>
  <c r="E311" i="5" s="1"/>
  <c r="D353" i="7" s="1"/>
  <c r="A312" i="2"/>
  <c r="B312" i="2"/>
  <c r="C312" i="2"/>
  <c r="D312" i="2"/>
  <c r="F312" i="2"/>
  <c r="G312" i="2"/>
  <c r="L312" i="2"/>
  <c r="E312" i="5" s="1"/>
  <c r="D156" i="7" s="1"/>
  <c r="A313" i="2"/>
  <c r="B313" i="2"/>
  <c r="C313" i="2"/>
  <c r="D313" i="2"/>
  <c r="F313" i="2"/>
  <c r="G313" i="2"/>
  <c r="L313" i="2"/>
  <c r="E313" i="5" s="1"/>
  <c r="D157" i="7" s="1"/>
  <c r="A314" i="2"/>
  <c r="B314" i="2"/>
  <c r="C314" i="2"/>
  <c r="D314" i="2"/>
  <c r="F314" i="2"/>
  <c r="G314" i="2"/>
  <c r="L314" i="2"/>
  <c r="E314" i="5" s="1"/>
  <c r="D354" i="7" s="1"/>
  <c r="A315" i="2"/>
  <c r="B315" i="2"/>
  <c r="C315" i="2"/>
  <c r="D315" i="2"/>
  <c r="F315" i="2"/>
  <c r="G315" i="2"/>
  <c r="L315" i="2"/>
  <c r="E315" i="5" s="1"/>
  <c r="D41" i="7" s="1"/>
  <c r="A316" i="2"/>
  <c r="B316" i="2"/>
  <c r="C316" i="2"/>
  <c r="D316" i="2"/>
  <c r="F316" i="2"/>
  <c r="G316" i="2"/>
  <c r="L316" i="2"/>
  <c r="E316" i="5" s="1"/>
  <c r="D42" i="7" s="1"/>
  <c r="A317" i="2"/>
  <c r="B317" i="2"/>
  <c r="C317" i="2"/>
  <c r="D317" i="2"/>
  <c r="F317" i="2"/>
  <c r="G317" i="2"/>
  <c r="L317" i="2"/>
  <c r="E317" i="5" s="1"/>
  <c r="D158" i="7" s="1"/>
  <c r="A318" i="2"/>
  <c r="B318" i="2"/>
  <c r="C318" i="2"/>
  <c r="D318" i="2"/>
  <c r="F318" i="2"/>
  <c r="G318" i="2"/>
  <c r="L318" i="2"/>
  <c r="E318" i="5" s="1"/>
  <c r="D355" i="7" s="1"/>
  <c r="A319" i="2"/>
  <c r="B319" i="2"/>
  <c r="C319" i="2"/>
  <c r="D319" i="2"/>
  <c r="F319" i="2"/>
  <c r="G319" i="2"/>
  <c r="L319" i="2"/>
  <c r="E319" i="5" s="1"/>
  <c r="D159" i="7" s="1"/>
  <c r="A320" i="2"/>
  <c r="B320" i="2"/>
  <c r="C320" i="2"/>
  <c r="D320" i="2"/>
  <c r="F320" i="2"/>
  <c r="G320" i="2"/>
  <c r="L320" i="2"/>
  <c r="E320" i="5" s="1"/>
  <c r="D160" i="7" s="1"/>
  <c r="A321" i="2"/>
  <c r="B321" i="2"/>
  <c r="C321" i="2"/>
  <c r="D321" i="2"/>
  <c r="F321" i="2"/>
  <c r="G321" i="2"/>
  <c r="L321" i="2"/>
  <c r="E321" i="5" s="1"/>
  <c r="D161" i="7" s="1"/>
  <c r="A322" i="2"/>
  <c r="B322" i="2"/>
  <c r="C322" i="2"/>
  <c r="D322" i="2"/>
  <c r="F322" i="2"/>
  <c r="G322" i="2"/>
  <c r="L322" i="2"/>
  <c r="E322" i="5" s="1"/>
  <c r="D162" i="7" s="1"/>
  <c r="A323" i="2"/>
  <c r="B323" i="2"/>
  <c r="C323" i="2"/>
  <c r="D323" i="2"/>
  <c r="F323" i="2"/>
  <c r="G323" i="2"/>
  <c r="L323" i="2"/>
  <c r="E323" i="5" s="1"/>
  <c r="D356" i="7" s="1"/>
  <c r="A324" i="2"/>
  <c r="B324" i="2"/>
  <c r="C324" i="2"/>
  <c r="D324" i="2"/>
  <c r="F324" i="2"/>
  <c r="G324" i="2"/>
  <c r="L324" i="2"/>
  <c r="E324" i="5" s="1"/>
  <c r="D163" i="7" s="1"/>
  <c r="A325" i="2"/>
  <c r="B325" i="2"/>
  <c r="C325" i="2"/>
  <c r="D325" i="2"/>
  <c r="F325" i="2"/>
  <c r="G325" i="2"/>
  <c r="L325" i="2"/>
  <c r="E325" i="5" s="1"/>
  <c r="D43" i="7" s="1"/>
  <c r="A326" i="2"/>
  <c r="B326" i="2"/>
  <c r="C326" i="2"/>
  <c r="D326" i="2"/>
  <c r="F326" i="2"/>
  <c r="G326" i="2"/>
  <c r="L326" i="2"/>
  <c r="E326" i="5" s="1"/>
  <c r="D357" i="7" s="1"/>
  <c r="A327" i="2"/>
  <c r="B327" i="2"/>
  <c r="C327" i="2"/>
  <c r="D327" i="2"/>
  <c r="F327" i="2"/>
  <c r="G327" i="2"/>
  <c r="L327" i="2"/>
  <c r="E327" i="5" s="1"/>
  <c r="D358" i="7" s="1"/>
  <c r="A328" i="2"/>
  <c r="B328" i="2"/>
  <c r="C328" i="2"/>
  <c r="D328" i="2"/>
  <c r="F328" i="2"/>
  <c r="G328" i="2"/>
  <c r="L328" i="2"/>
  <c r="E328" i="5" s="1"/>
  <c r="D359" i="7" s="1"/>
  <c r="A329" i="2"/>
  <c r="B329" i="2"/>
  <c r="C329" i="2"/>
  <c r="D329" i="2"/>
  <c r="F329" i="2"/>
  <c r="G329" i="2"/>
  <c r="L329" i="2"/>
  <c r="E329" i="5" s="1"/>
  <c r="D360" i="7" s="1"/>
  <c r="A330" i="2"/>
  <c r="B330" i="2"/>
  <c r="C330" i="2"/>
  <c r="D330" i="2"/>
  <c r="F330" i="2"/>
  <c r="G330" i="2"/>
  <c r="L330" i="2"/>
  <c r="E330" i="5" s="1"/>
  <c r="D361" i="7" s="1"/>
  <c r="A331" i="2"/>
  <c r="B331" i="2"/>
  <c r="C331" i="2"/>
  <c r="D331" i="2"/>
  <c r="F331" i="2"/>
  <c r="G331" i="2"/>
  <c r="L331" i="2"/>
  <c r="E331" i="5" s="1"/>
  <c r="D164" i="7" s="1"/>
  <c r="A332" i="2"/>
  <c r="B332" i="2"/>
  <c r="C332" i="2"/>
  <c r="D332" i="2"/>
  <c r="F332" i="2"/>
  <c r="G332" i="2"/>
  <c r="L332" i="2"/>
  <c r="E332" i="5" s="1"/>
  <c r="D362" i="7" s="1"/>
  <c r="A333" i="2"/>
  <c r="B333" i="2"/>
  <c r="C333" i="2"/>
  <c r="D333" i="2"/>
  <c r="F333" i="2"/>
  <c r="G333" i="2"/>
  <c r="L333" i="2"/>
  <c r="E333" i="5" s="1"/>
  <c r="D165" i="7" s="1"/>
  <c r="A334" i="2"/>
  <c r="B334" i="2"/>
  <c r="C334" i="2"/>
  <c r="D334" i="2"/>
  <c r="F334" i="2"/>
  <c r="G334" i="2"/>
  <c r="L334" i="2"/>
  <c r="E334" i="5" s="1"/>
  <c r="D363" i="7" s="1"/>
  <c r="A335" i="2"/>
  <c r="B335" i="2"/>
  <c r="C335" i="2"/>
  <c r="D335" i="2"/>
  <c r="F335" i="2"/>
  <c r="G335" i="2"/>
  <c r="L335" i="2"/>
  <c r="E335" i="5" s="1"/>
  <c r="D364" i="7" s="1"/>
  <c r="A336" i="2"/>
  <c r="B336" i="2"/>
  <c r="C336" i="2"/>
  <c r="D336" i="2"/>
  <c r="F336" i="2"/>
  <c r="G336" i="2"/>
  <c r="L336" i="2"/>
  <c r="E336" i="5" s="1"/>
  <c r="D166" i="7" s="1"/>
  <c r="A337" i="2"/>
  <c r="B337" i="2"/>
  <c r="C337" i="2"/>
  <c r="D337" i="2"/>
  <c r="F337" i="2"/>
  <c r="G337" i="2"/>
  <c r="L337" i="2"/>
  <c r="E337" i="5" s="1"/>
  <c r="D365" i="7" s="1"/>
  <c r="A338" i="2"/>
  <c r="B338" i="2"/>
  <c r="C338" i="2"/>
  <c r="D338" i="2"/>
  <c r="F338" i="2"/>
  <c r="G338" i="2"/>
  <c r="L338" i="2"/>
  <c r="E338" i="5" s="1"/>
  <c r="D167" i="7" s="1"/>
  <c r="A339" i="2"/>
  <c r="B339" i="2"/>
  <c r="C339" i="2"/>
  <c r="D339" i="2"/>
  <c r="F339" i="2"/>
  <c r="G339" i="2"/>
  <c r="L339" i="2"/>
  <c r="E339" i="5" s="1"/>
  <c r="D366" i="7" s="1"/>
  <c r="A340" i="2"/>
  <c r="B340" i="2"/>
  <c r="C340" i="2"/>
  <c r="D340" i="2"/>
  <c r="F340" i="2"/>
  <c r="G340" i="2"/>
  <c r="L340" i="2"/>
  <c r="E340" i="5" s="1"/>
  <c r="D44" i="7" s="1"/>
  <c r="A341" i="2"/>
  <c r="B341" i="2"/>
  <c r="C341" i="2"/>
  <c r="D341" i="2"/>
  <c r="F341" i="2"/>
  <c r="G341" i="2"/>
  <c r="L341" i="2"/>
  <c r="E341" i="5" s="1"/>
  <c r="D45" i="7" s="1"/>
  <c r="A342" i="2"/>
  <c r="B342" i="2"/>
  <c r="C342" i="2"/>
  <c r="D342" i="2"/>
  <c r="F342" i="2"/>
  <c r="G342" i="2"/>
  <c r="L342" i="2"/>
  <c r="E342" i="5" s="1"/>
  <c r="D168" i="7" s="1"/>
  <c r="A343" i="2"/>
  <c r="B343" i="2"/>
  <c r="C343" i="2"/>
  <c r="D343" i="2"/>
  <c r="F343" i="2"/>
  <c r="G343" i="2"/>
  <c r="L343" i="2"/>
  <c r="E343" i="5" s="1"/>
  <c r="D367" i="7" s="1"/>
  <c r="A344" i="2"/>
  <c r="B344" i="2"/>
  <c r="C344" i="2"/>
  <c r="D344" i="2"/>
  <c r="F344" i="2"/>
  <c r="G344" i="2"/>
  <c r="L344" i="2"/>
  <c r="E344" i="5" s="1"/>
  <c r="D368" i="7" s="1"/>
  <c r="A345" i="2"/>
  <c r="B345" i="2"/>
  <c r="C345" i="2"/>
  <c r="D345" i="2"/>
  <c r="F345" i="2"/>
  <c r="G345" i="2"/>
  <c r="L345" i="2"/>
  <c r="E345" i="5" s="1"/>
  <c r="D369" i="7" s="1"/>
  <c r="A346" i="2"/>
  <c r="B346" i="2"/>
  <c r="C346" i="2"/>
  <c r="D346" i="2"/>
  <c r="F346" i="2"/>
  <c r="G346" i="2"/>
  <c r="L346" i="2"/>
  <c r="E346" i="5" s="1"/>
  <c r="D169" i="7" s="1"/>
  <c r="A347" i="2"/>
  <c r="B347" i="2"/>
  <c r="C347" i="2"/>
  <c r="D347" i="2"/>
  <c r="F347" i="2"/>
  <c r="G347" i="2"/>
  <c r="L347" i="2"/>
  <c r="E347" i="5" s="1"/>
  <c r="D170" i="7" s="1"/>
  <c r="A348" i="2"/>
  <c r="B348" i="2"/>
  <c r="C348" i="2"/>
  <c r="D348" i="2"/>
  <c r="F348" i="2"/>
  <c r="G348" i="2"/>
  <c r="L348" i="2"/>
  <c r="E348" i="5" s="1"/>
  <c r="D370" i="7" s="1"/>
  <c r="A349" i="2"/>
  <c r="B349" i="2"/>
  <c r="C349" i="2"/>
  <c r="D349" i="2"/>
  <c r="F349" i="2"/>
  <c r="G349" i="2"/>
  <c r="L349" i="2"/>
  <c r="E349" i="5" s="1"/>
  <c r="D371" i="7" s="1"/>
  <c r="A350" i="2"/>
  <c r="B350" i="2"/>
  <c r="C350" i="2"/>
  <c r="D350" i="2"/>
  <c r="F350" i="2"/>
  <c r="G350" i="2"/>
  <c r="L350" i="2"/>
  <c r="E350" i="5" s="1"/>
  <c r="D171" i="7" s="1"/>
  <c r="A351" i="2"/>
  <c r="B351" i="2"/>
  <c r="C351" i="2"/>
  <c r="D351" i="2"/>
  <c r="F351" i="2"/>
  <c r="G351" i="2"/>
  <c r="L351" i="2"/>
  <c r="E351" i="5" s="1"/>
  <c r="D372" i="7" s="1"/>
  <c r="A352" i="2"/>
  <c r="B352" i="2"/>
  <c r="C352" i="2"/>
  <c r="D352" i="2"/>
  <c r="F352" i="2"/>
  <c r="G352" i="2"/>
  <c r="L352" i="2"/>
  <c r="E352" i="5" s="1"/>
  <c r="D373" i="7" s="1"/>
  <c r="A353" i="2"/>
  <c r="B353" i="2"/>
  <c r="C353" i="2"/>
  <c r="D353" i="2"/>
  <c r="F353" i="2"/>
  <c r="G353" i="2"/>
  <c r="L353" i="2"/>
  <c r="E353" i="5" s="1"/>
  <c r="D46" i="7" s="1"/>
  <c r="A354" i="2"/>
  <c r="B354" i="2"/>
  <c r="C354" i="2"/>
  <c r="D354" i="2"/>
  <c r="F354" i="2"/>
  <c r="G354" i="2"/>
  <c r="L354" i="2"/>
  <c r="E354" i="5" s="1"/>
  <c r="D374" i="7" s="1"/>
  <c r="A355" i="2"/>
  <c r="B355" i="2"/>
  <c r="C355" i="2"/>
  <c r="D355" i="2"/>
  <c r="F355" i="2"/>
  <c r="G355" i="2"/>
  <c r="L355" i="2"/>
  <c r="E355" i="5" s="1"/>
  <c r="D172" i="7" s="1"/>
  <c r="A356" i="2"/>
  <c r="B356" i="2"/>
  <c r="C356" i="2"/>
  <c r="D356" i="2"/>
  <c r="F356" i="2"/>
  <c r="G356" i="2"/>
  <c r="L356" i="2"/>
  <c r="E356" i="5" s="1"/>
  <c r="D375" i="7" s="1"/>
  <c r="A357" i="2"/>
  <c r="B357" i="2"/>
  <c r="C357" i="2"/>
  <c r="D357" i="2"/>
  <c r="F357" i="2"/>
  <c r="G357" i="2"/>
  <c r="L357" i="2"/>
  <c r="E357" i="5" s="1"/>
  <c r="D376" i="7" s="1"/>
  <c r="A358" i="2"/>
  <c r="B358" i="2"/>
  <c r="C358" i="2"/>
  <c r="D358" i="2"/>
  <c r="F358" i="2"/>
  <c r="G358" i="2"/>
  <c r="L358" i="2"/>
  <c r="E358" i="5" s="1"/>
  <c r="D377" i="7" s="1"/>
  <c r="A359" i="2"/>
  <c r="B359" i="2"/>
  <c r="C359" i="2"/>
  <c r="D359" i="2"/>
  <c r="F359" i="2"/>
  <c r="G359" i="2"/>
  <c r="L359" i="2"/>
  <c r="E359" i="5" s="1"/>
  <c r="D173" i="7" s="1"/>
  <c r="A360" i="2"/>
  <c r="B360" i="2"/>
  <c r="C360" i="2"/>
  <c r="D360" i="2"/>
  <c r="F360" i="2"/>
  <c r="G360" i="2"/>
  <c r="L360" i="2"/>
  <c r="E360" i="5" s="1"/>
  <c r="D378" i="7" s="1"/>
  <c r="A361" i="2"/>
  <c r="B361" i="2"/>
  <c r="C361" i="2"/>
  <c r="D361" i="2"/>
  <c r="F361" i="2"/>
  <c r="G361" i="2"/>
  <c r="L361" i="2"/>
  <c r="E361" i="5" s="1"/>
  <c r="D379" i="7" s="1"/>
  <c r="A362" i="2"/>
  <c r="B362" i="2"/>
  <c r="C362" i="2"/>
  <c r="D362" i="2"/>
  <c r="F362" i="2"/>
  <c r="G362" i="2"/>
  <c r="L362" i="2"/>
  <c r="E362" i="5" s="1"/>
  <c r="D174" i="7" s="1"/>
  <c r="A363" i="2"/>
  <c r="B363" i="2"/>
  <c r="C363" i="2"/>
  <c r="D363" i="2"/>
  <c r="F363" i="2"/>
  <c r="G363" i="2"/>
  <c r="L363" i="2"/>
  <c r="E363" i="5" s="1"/>
  <c r="D175" i="7" s="1"/>
  <c r="A364" i="2"/>
  <c r="B364" i="2"/>
  <c r="C364" i="2"/>
  <c r="D364" i="2"/>
  <c r="F364" i="2"/>
  <c r="G364" i="2"/>
  <c r="L364" i="2"/>
  <c r="E364" i="5" s="1"/>
  <c r="D176" i="7" s="1"/>
  <c r="A365" i="2"/>
  <c r="B365" i="2"/>
  <c r="C365" i="2"/>
  <c r="D365" i="2"/>
  <c r="F365" i="2"/>
  <c r="G365" i="2"/>
  <c r="L365" i="2"/>
  <c r="E365" i="5" s="1"/>
  <c r="D380" i="7" s="1"/>
  <c r="A366" i="2"/>
  <c r="B366" i="2"/>
  <c r="C366" i="2"/>
  <c r="D366" i="2"/>
  <c r="F366" i="2"/>
  <c r="G366" i="2"/>
  <c r="L366" i="2"/>
  <c r="E366" i="5" s="1"/>
  <c r="D381" i="7" s="1"/>
  <c r="A367" i="2"/>
  <c r="B367" i="2"/>
  <c r="C367" i="2"/>
  <c r="D367" i="2"/>
  <c r="F367" i="2"/>
  <c r="G367" i="2"/>
  <c r="L367" i="2"/>
  <c r="E367" i="5" s="1"/>
  <c r="D382" i="7" s="1"/>
  <c r="A368" i="2"/>
  <c r="B368" i="2"/>
  <c r="C368" i="2"/>
  <c r="D368" i="2"/>
  <c r="F368" i="2"/>
  <c r="G368" i="2"/>
  <c r="L368" i="2"/>
  <c r="E368" i="5" s="1"/>
  <c r="D383" i="7" s="1"/>
  <c r="A369" i="2"/>
  <c r="B369" i="2"/>
  <c r="C369" i="2"/>
  <c r="D369" i="2"/>
  <c r="F369" i="2"/>
  <c r="G369" i="2"/>
  <c r="L369" i="2"/>
  <c r="E369" i="5" s="1"/>
  <c r="D384" i="7" s="1"/>
  <c r="A370" i="2"/>
  <c r="B370" i="2"/>
  <c r="C370" i="2"/>
  <c r="D370" i="2"/>
  <c r="F370" i="2"/>
  <c r="G370" i="2"/>
  <c r="L370" i="2"/>
  <c r="E370" i="5" s="1"/>
  <c r="D385" i="7" s="1"/>
  <c r="A371" i="2"/>
  <c r="B371" i="2"/>
  <c r="C371" i="2"/>
  <c r="D371" i="2"/>
  <c r="F371" i="2"/>
  <c r="G371" i="2"/>
  <c r="L371" i="2"/>
  <c r="E371" i="5" s="1"/>
  <c r="D386" i="7" s="1"/>
  <c r="A372" i="2"/>
  <c r="B372" i="2"/>
  <c r="C372" i="2"/>
  <c r="D372" i="2"/>
  <c r="F372" i="2"/>
  <c r="G372" i="2"/>
  <c r="L372" i="2"/>
  <c r="E372" i="5" s="1"/>
  <c r="D387" i="7" s="1"/>
  <c r="A373" i="2"/>
  <c r="B373" i="2"/>
  <c r="C373" i="2"/>
  <c r="D373" i="2"/>
  <c r="F373" i="2"/>
  <c r="G373" i="2"/>
  <c r="L373" i="2"/>
  <c r="E373" i="5" s="1"/>
  <c r="D177" i="7" s="1"/>
  <c r="A374" i="2"/>
  <c r="B374" i="2"/>
  <c r="C374" i="2"/>
  <c r="D374" i="2"/>
  <c r="F374" i="2"/>
  <c r="G374" i="2"/>
  <c r="L374" i="2"/>
  <c r="E374" i="5" s="1"/>
  <c r="D178" i="7" s="1"/>
  <c r="A375" i="2"/>
  <c r="B375" i="2"/>
  <c r="C375" i="2"/>
  <c r="D375" i="2"/>
  <c r="F375" i="2"/>
  <c r="G375" i="2"/>
  <c r="L375" i="2"/>
  <c r="E375" i="5" s="1"/>
  <c r="D179" i="7" s="1"/>
  <c r="A376" i="2"/>
  <c r="B376" i="2"/>
  <c r="C376" i="2"/>
  <c r="D376" i="2"/>
  <c r="F376" i="2"/>
  <c r="G376" i="2"/>
  <c r="L376" i="2"/>
  <c r="E376" i="5" s="1"/>
  <c r="D47" i="7" s="1"/>
  <c r="A377" i="2"/>
  <c r="B377" i="2"/>
  <c r="C377" i="2"/>
  <c r="D377" i="2"/>
  <c r="F377" i="2"/>
  <c r="G377" i="2"/>
  <c r="L377" i="2"/>
  <c r="E377" i="5" s="1"/>
  <c r="D48" i="7" s="1"/>
  <c r="A378" i="2"/>
  <c r="B378" i="2"/>
  <c r="C378" i="2"/>
  <c r="D378" i="2"/>
  <c r="F378" i="2"/>
  <c r="G378" i="2"/>
  <c r="L378" i="2"/>
  <c r="E378" i="5" s="1"/>
  <c r="D180" i="7" s="1"/>
  <c r="A379" i="2"/>
  <c r="B379" i="2"/>
  <c r="C379" i="2"/>
  <c r="D379" i="2"/>
  <c r="F379" i="2"/>
  <c r="G379" i="2"/>
  <c r="L379" i="2"/>
  <c r="E379" i="5" s="1"/>
  <c r="D388" i="7" s="1"/>
  <c r="A380" i="2"/>
  <c r="B380" i="2"/>
  <c r="C380" i="2"/>
  <c r="D380" i="2"/>
  <c r="F380" i="2"/>
  <c r="G380" i="2"/>
  <c r="L380" i="2"/>
  <c r="E380" i="5" s="1"/>
  <c r="D389" i="7" s="1"/>
  <c r="A381" i="2"/>
  <c r="B381" i="2"/>
  <c r="C381" i="2"/>
  <c r="D381" i="2"/>
  <c r="F381" i="2"/>
  <c r="G381" i="2"/>
  <c r="L381" i="2"/>
  <c r="E381" i="5" s="1"/>
  <c r="D181" i="7" s="1"/>
  <c r="A382" i="2"/>
  <c r="B382" i="2"/>
  <c r="C382" i="2"/>
  <c r="D382" i="2"/>
  <c r="F382" i="2"/>
  <c r="G382" i="2"/>
  <c r="L382" i="2"/>
  <c r="E382" i="5" s="1"/>
  <c r="D182" i="7" s="1"/>
  <c r="A383" i="2"/>
  <c r="B383" i="2"/>
  <c r="C383" i="2"/>
  <c r="D383" i="2"/>
  <c r="F383" i="2"/>
  <c r="G383" i="2"/>
  <c r="L383" i="2"/>
  <c r="E383" i="5" s="1"/>
  <c r="D390" i="7" s="1"/>
  <c r="A384" i="2"/>
  <c r="B384" i="2"/>
  <c r="C384" i="2"/>
  <c r="D384" i="2"/>
  <c r="F384" i="2"/>
  <c r="G384" i="2"/>
  <c r="L384" i="2"/>
  <c r="E384" i="5" s="1"/>
  <c r="D183" i="7" s="1"/>
  <c r="A385" i="2"/>
  <c r="B385" i="2"/>
  <c r="C385" i="2"/>
  <c r="D385" i="2"/>
  <c r="F385" i="2"/>
  <c r="G385" i="2"/>
  <c r="L385" i="2"/>
  <c r="E385" i="5" s="1"/>
  <c r="D391" i="7" s="1"/>
  <c r="A386" i="2"/>
  <c r="B386" i="2"/>
  <c r="C386" i="2"/>
  <c r="D386" i="2"/>
  <c r="F386" i="2"/>
  <c r="G386" i="2"/>
  <c r="L386" i="2"/>
  <c r="E386" i="5" s="1"/>
  <c r="D392" i="7" s="1"/>
  <c r="A387" i="2"/>
  <c r="B387" i="2"/>
  <c r="C387" i="2"/>
  <c r="D387" i="2"/>
  <c r="F387" i="2"/>
  <c r="G387" i="2"/>
  <c r="L387" i="2"/>
  <c r="E387" i="5" s="1"/>
  <c r="D393" i="7" s="1"/>
  <c r="A388" i="2"/>
  <c r="B388" i="2"/>
  <c r="C388" i="2"/>
  <c r="D388" i="2"/>
  <c r="F388" i="2"/>
  <c r="G388" i="2"/>
  <c r="L388" i="2"/>
  <c r="E388" i="5" s="1"/>
  <c r="D394" i="7" s="1"/>
  <c r="A389" i="2"/>
  <c r="B389" i="2"/>
  <c r="C389" i="2"/>
  <c r="D389" i="2"/>
  <c r="F389" i="2"/>
  <c r="G389" i="2"/>
  <c r="L389" i="2"/>
  <c r="E389" i="5" s="1"/>
  <c r="D184" i="7" s="1"/>
  <c r="A390" i="2"/>
  <c r="B390" i="2"/>
  <c r="C390" i="2"/>
  <c r="D390" i="2"/>
  <c r="F390" i="2"/>
  <c r="G390" i="2"/>
  <c r="L390" i="2"/>
  <c r="E390" i="5" s="1"/>
  <c r="D395" i="7" s="1"/>
  <c r="A391" i="2"/>
  <c r="B391" i="2"/>
  <c r="C391" i="2"/>
  <c r="D391" i="2"/>
  <c r="F391" i="2"/>
  <c r="G391" i="2"/>
  <c r="L391" i="2"/>
  <c r="E391" i="5" s="1"/>
  <c r="D185" i="7" s="1"/>
  <c r="A392" i="2"/>
  <c r="B392" i="2"/>
  <c r="C392" i="2"/>
  <c r="D392" i="2"/>
  <c r="F392" i="2"/>
  <c r="G392" i="2"/>
  <c r="L392" i="2"/>
  <c r="E392" i="5" s="1"/>
  <c r="D396" i="7" s="1"/>
  <c r="A393" i="2"/>
  <c r="B393" i="2"/>
  <c r="C393" i="2"/>
  <c r="D393" i="2"/>
  <c r="F393" i="2"/>
  <c r="G393" i="2"/>
  <c r="L393" i="2"/>
  <c r="E393" i="5" s="1"/>
  <c r="D49" i="7" s="1"/>
  <c r="A394" i="2"/>
  <c r="B394" i="2"/>
  <c r="C394" i="2"/>
  <c r="D394" i="2"/>
  <c r="F394" i="2"/>
  <c r="G394" i="2"/>
  <c r="L394" i="2"/>
  <c r="E394" i="5" s="1"/>
  <c r="D397" i="7" s="1"/>
  <c r="A395" i="2"/>
  <c r="B395" i="2"/>
  <c r="C395" i="2"/>
  <c r="D395" i="2"/>
  <c r="F395" i="2"/>
  <c r="G395" i="2"/>
  <c r="L395" i="2"/>
  <c r="E395" i="5" s="1"/>
  <c r="D398" i="7" s="1"/>
  <c r="A396" i="2"/>
  <c r="B396" i="2"/>
  <c r="C396" i="2"/>
  <c r="D396" i="2"/>
  <c r="F396" i="2"/>
  <c r="G396" i="2"/>
  <c r="L396" i="2"/>
  <c r="E396" i="5" s="1"/>
  <c r="D186" i="7" s="1"/>
  <c r="A397" i="2"/>
  <c r="B397" i="2"/>
  <c r="C397" i="2"/>
  <c r="D397" i="2"/>
  <c r="F397" i="2"/>
  <c r="G397" i="2"/>
  <c r="L397" i="2"/>
  <c r="E397" i="5" s="1"/>
  <c r="D399" i="7" s="1"/>
  <c r="A398" i="2"/>
  <c r="B398" i="2"/>
  <c r="C398" i="2"/>
  <c r="D398" i="2"/>
  <c r="F398" i="2"/>
  <c r="G398" i="2"/>
  <c r="L398" i="2"/>
  <c r="E398" i="5" s="1"/>
  <c r="D400" i="7" s="1"/>
  <c r="A399" i="2"/>
  <c r="B399" i="2"/>
  <c r="C399" i="2"/>
  <c r="D399" i="2"/>
  <c r="F399" i="2"/>
  <c r="G399" i="2"/>
  <c r="L399" i="2"/>
  <c r="E399" i="5" s="1"/>
  <c r="D401" i="7" s="1"/>
  <c r="A400" i="2"/>
  <c r="B400" i="2"/>
  <c r="C400" i="2"/>
  <c r="D400" i="2"/>
  <c r="F400" i="2"/>
  <c r="G400" i="2"/>
  <c r="L400" i="2"/>
  <c r="E400" i="5" s="1"/>
  <c r="D187" i="7" s="1"/>
  <c r="A401" i="2"/>
  <c r="B401" i="2"/>
  <c r="C401" i="2"/>
  <c r="D401" i="2"/>
  <c r="F401" i="2"/>
  <c r="G401" i="2"/>
  <c r="L401" i="2"/>
  <c r="E401" i="5" s="1"/>
  <c r="D402" i="7" s="1"/>
  <c r="B402" i="2"/>
  <c r="C402" i="2"/>
  <c r="D402" i="2"/>
  <c r="F402" i="2"/>
  <c r="G402" i="2"/>
  <c r="L402" i="2"/>
  <c r="E402" i="5" s="1"/>
  <c r="D403" i="7" s="1"/>
  <c r="L3" i="2"/>
  <c r="E3" i="5" s="1"/>
  <c r="D188" i="7" s="1"/>
  <c r="G3" i="2"/>
  <c r="F3" i="2"/>
  <c r="D3" i="2"/>
  <c r="C3" i="2"/>
  <c r="B3" i="2"/>
  <c r="A3" i="2"/>
  <c r="N81" i="8" l="1"/>
  <c r="I13" i="8"/>
  <c r="K13" i="8" s="1"/>
  <c r="I16" i="8"/>
  <c r="H23" i="8"/>
  <c r="I17" i="8"/>
  <c r="K17" i="8" s="1"/>
  <c r="K56" i="8"/>
  <c r="F13" i="10"/>
  <c r="C14" i="8"/>
  <c r="D14" i="8" s="1"/>
  <c r="C9" i="8"/>
  <c r="E39" i="8"/>
  <c r="E44" i="8"/>
  <c r="I392" i="2"/>
  <c r="I384" i="2"/>
  <c r="I376" i="2"/>
  <c r="I368" i="2"/>
  <c r="I360" i="2"/>
  <c r="I352" i="2"/>
  <c r="I344" i="2"/>
  <c r="I336" i="2"/>
  <c r="I328" i="2"/>
  <c r="I118" i="2"/>
  <c r="C15" i="8"/>
  <c r="F14" i="10"/>
  <c r="E14" i="8"/>
  <c r="E16" i="8"/>
  <c r="F39" i="8"/>
  <c r="F44" i="8"/>
  <c r="E143" i="2"/>
  <c r="C16" i="8"/>
  <c r="B15" i="11"/>
  <c r="H21" i="8"/>
  <c r="E35" i="8"/>
  <c r="E40" i="8"/>
  <c r="G50" i="8"/>
  <c r="O52" i="8"/>
  <c r="O8" i="8"/>
  <c r="C15" i="11"/>
  <c r="O9" i="8"/>
  <c r="I14" i="8"/>
  <c r="K14" i="8" s="1"/>
  <c r="H22" i="8"/>
  <c r="F35" i="8"/>
  <c r="F40" i="8"/>
  <c r="E41" i="8"/>
  <c r="H50" i="8"/>
  <c r="E36" i="8"/>
  <c r="F41" i="8"/>
  <c r="E42" i="8"/>
  <c r="I50" i="8"/>
  <c r="G4" i="5"/>
  <c r="E189" i="7" s="1"/>
  <c r="B81" i="8"/>
  <c r="E15" i="8"/>
  <c r="F36" i="8"/>
  <c r="E37" i="8"/>
  <c r="F42" i="8"/>
  <c r="J67" i="8"/>
  <c r="I139" i="2"/>
  <c r="E81" i="8"/>
  <c r="F37" i="8"/>
  <c r="E38" i="8"/>
  <c r="E43" i="8"/>
  <c r="F38" i="8"/>
  <c r="F43" i="8"/>
  <c r="H81" i="8"/>
  <c r="I206" i="5"/>
  <c r="F118" i="7" s="1"/>
  <c r="I158" i="5"/>
  <c r="I391" i="5"/>
  <c r="F185" i="7" s="1"/>
  <c r="I14" i="5"/>
  <c r="F54" i="7" s="1"/>
  <c r="I94" i="5"/>
  <c r="F231" i="7" s="1"/>
  <c r="K6" i="5"/>
  <c r="G4" i="7" s="1"/>
  <c r="I30" i="5"/>
  <c r="F10" i="7" s="1"/>
  <c r="O7" i="5"/>
  <c r="I50" i="7" s="1"/>
  <c r="K81" i="8"/>
  <c r="M4" i="5"/>
  <c r="H189" i="7" s="1"/>
  <c r="E6" i="10"/>
  <c r="H14" i="10"/>
  <c r="H13" i="10"/>
  <c r="K52" i="8"/>
  <c r="J60" i="8" s="1"/>
  <c r="B24" i="10"/>
  <c r="B19" i="10"/>
  <c r="B23" i="10"/>
  <c r="H12" i="10"/>
  <c r="D15" i="11"/>
  <c r="B20" i="10"/>
  <c r="F11" i="10"/>
  <c r="F19" i="10"/>
  <c r="H6" i="10"/>
  <c r="B6" i="10"/>
  <c r="I334" i="5"/>
  <c r="F363" i="7" s="1"/>
  <c r="I270" i="5"/>
  <c r="F331" i="7" s="1"/>
  <c r="I230" i="5"/>
  <c r="F29" i="7" s="1"/>
  <c r="I166" i="5"/>
  <c r="F275" i="7" s="1"/>
  <c r="I398" i="5"/>
  <c r="F400" i="7" s="1"/>
  <c r="I350" i="5"/>
  <c r="F171" i="7" s="1"/>
  <c r="I78" i="5"/>
  <c r="F17" i="7" s="1"/>
  <c r="I294" i="5"/>
  <c r="F344" i="7" s="1"/>
  <c r="I142" i="5"/>
  <c r="F262" i="7" s="1"/>
  <c r="I286" i="5"/>
  <c r="I102" i="5"/>
  <c r="F236" i="7" s="1"/>
  <c r="I222" i="5"/>
  <c r="F308" i="7" s="1"/>
  <c r="I38" i="5"/>
  <c r="F61" i="7" s="1"/>
  <c r="I390" i="5"/>
  <c r="F395" i="7" s="1"/>
  <c r="I326" i="5"/>
  <c r="F357" i="7" s="1"/>
  <c r="I262" i="5"/>
  <c r="F140" i="7" s="1"/>
  <c r="I198" i="5"/>
  <c r="F295" i="7" s="1"/>
  <c r="I134" i="5"/>
  <c r="I70" i="5"/>
  <c r="F72" i="7" s="1"/>
  <c r="I6" i="5"/>
  <c r="F4" i="7" s="1"/>
  <c r="I382" i="5"/>
  <c r="F182" i="7" s="1"/>
  <c r="I318" i="5"/>
  <c r="F355" i="7" s="1"/>
  <c r="I254" i="5"/>
  <c r="F136" i="7" s="1"/>
  <c r="I190" i="5"/>
  <c r="F291" i="7" s="1"/>
  <c r="I126" i="5"/>
  <c r="F253" i="7" s="1"/>
  <c r="I62" i="5"/>
  <c r="F216" i="7" s="1"/>
  <c r="I374" i="5"/>
  <c r="F178" i="7" s="1"/>
  <c r="I310" i="5"/>
  <c r="F155" i="7" s="1"/>
  <c r="I246" i="5"/>
  <c r="F320" i="7" s="1"/>
  <c r="I182" i="5"/>
  <c r="F285" i="7" s="1"/>
  <c r="I118" i="5"/>
  <c r="F89" i="7" s="1"/>
  <c r="I54" i="5"/>
  <c r="F211" i="7" s="1"/>
  <c r="I366" i="5"/>
  <c r="F381" i="7" s="1"/>
  <c r="I302" i="5"/>
  <c r="F152" i="7" s="1"/>
  <c r="I238" i="5"/>
  <c r="F30" i="7" s="1"/>
  <c r="I174" i="5"/>
  <c r="F107" i="7" s="1"/>
  <c r="I110" i="5"/>
  <c r="F241" i="7" s="1"/>
  <c r="I46" i="5"/>
  <c r="F206" i="7" s="1"/>
  <c r="I358" i="5"/>
  <c r="F377" i="7" s="1"/>
  <c r="I342" i="5"/>
  <c r="F168" i="7" s="1"/>
  <c r="I278" i="5"/>
  <c r="F146" i="7" s="1"/>
  <c r="I214" i="5"/>
  <c r="F121" i="7" s="1"/>
  <c r="I150" i="5"/>
  <c r="F266" i="7" s="1"/>
  <c r="I86" i="5"/>
  <c r="F19" i="7" s="1"/>
  <c r="I22" i="5"/>
  <c r="F198" i="7" s="1"/>
  <c r="I389" i="5"/>
  <c r="F184" i="7" s="1"/>
  <c r="I357" i="5"/>
  <c r="F376" i="7" s="1"/>
  <c r="I325" i="5"/>
  <c r="F43" i="7" s="1"/>
  <c r="I293" i="5"/>
  <c r="F343" i="7" s="1"/>
  <c r="I269" i="5"/>
  <c r="F330" i="7" s="1"/>
  <c r="I237" i="5"/>
  <c r="F316" i="7" s="1"/>
  <c r="I205" i="5"/>
  <c r="F117" i="7" s="1"/>
  <c r="I181" i="5"/>
  <c r="F284" i="7" s="1"/>
  <c r="I157" i="5"/>
  <c r="F24" i="7" s="1"/>
  <c r="I141" i="5"/>
  <c r="F97" i="7" s="1"/>
  <c r="I117" i="5"/>
  <c r="F246" i="7" s="1"/>
  <c r="I77" i="5"/>
  <c r="F76" i="7" s="1"/>
  <c r="I45" i="5"/>
  <c r="F63" i="7" s="1"/>
  <c r="I29" i="5"/>
  <c r="F9" i="7" s="1"/>
  <c r="I5" i="5"/>
  <c r="F190" i="7" s="1"/>
  <c r="I395" i="5"/>
  <c r="F398" i="7" s="1"/>
  <c r="I387" i="5"/>
  <c r="F393" i="7" s="1"/>
  <c r="I379" i="5"/>
  <c r="I371" i="5"/>
  <c r="F386" i="7" s="1"/>
  <c r="I363" i="5"/>
  <c r="F175" i="7" s="1"/>
  <c r="I355" i="5"/>
  <c r="F172" i="7" s="1"/>
  <c r="I347" i="5"/>
  <c r="F170" i="7" s="1"/>
  <c r="I339" i="5"/>
  <c r="F366" i="7" s="1"/>
  <c r="I331" i="5"/>
  <c r="F164" i="7" s="1"/>
  <c r="I323" i="5"/>
  <c r="F356" i="7" s="1"/>
  <c r="I315" i="5"/>
  <c r="F41" i="7" s="1"/>
  <c r="I307" i="5"/>
  <c r="F154" i="7" s="1"/>
  <c r="I299" i="5"/>
  <c r="F346" i="7" s="1"/>
  <c r="I291" i="5"/>
  <c r="I283" i="5"/>
  <c r="F36" i="7" s="1"/>
  <c r="I275" i="5"/>
  <c r="F333" i="7" s="1"/>
  <c r="I267" i="5"/>
  <c r="F329" i="7" s="1"/>
  <c r="I259" i="5"/>
  <c r="F325" i="7" s="1"/>
  <c r="I251" i="5"/>
  <c r="F134" i="7" s="1"/>
  <c r="I243" i="5"/>
  <c r="F318" i="7" s="1"/>
  <c r="I235" i="5"/>
  <c r="F314" i="7" s="1"/>
  <c r="I227" i="5"/>
  <c r="F311" i="7" s="1"/>
  <c r="I219" i="5"/>
  <c r="F306" i="7" s="1"/>
  <c r="I211" i="5"/>
  <c r="F303" i="7" s="1"/>
  <c r="I203" i="5"/>
  <c r="F300" i="7" s="1"/>
  <c r="I195" i="5"/>
  <c r="F293" i="7" s="1"/>
  <c r="I187" i="5"/>
  <c r="F111" i="7" s="1"/>
  <c r="I179" i="5"/>
  <c r="F282" i="7" s="1"/>
  <c r="I171" i="5"/>
  <c r="F277" i="7" s="1"/>
  <c r="I163" i="5"/>
  <c r="F104" i="7" s="1"/>
  <c r="I155" i="5"/>
  <c r="F23" i="7" s="1"/>
  <c r="I147" i="5"/>
  <c r="F99" i="7" s="1"/>
  <c r="I139" i="5"/>
  <c r="F260" i="7" s="1"/>
  <c r="I131" i="5"/>
  <c r="F92" i="7" s="1"/>
  <c r="I123" i="5"/>
  <c r="F250" i="7" s="1"/>
  <c r="I115" i="5"/>
  <c r="F245" i="7" s="1"/>
  <c r="I107" i="5"/>
  <c r="F85" i="7" s="1"/>
  <c r="I99" i="5"/>
  <c r="F83" i="7" s="1"/>
  <c r="I91" i="5"/>
  <c r="F81" i="7" s="1"/>
  <c r="I83" i="5"/>
  <c r="F18" i="7" s="1"/>
  <c r="I75" i="5"/>
  <c r="F222" i="7" s="1"/>
  <c r="I67" i="5"/>
  <c r="F70" i="7" s="1"/>
  <c r="I59" i="5"/>
  <c r="F66" i="7" s="1"/>
  <c r="I51" i="5"/>
  <c r="F65" i="7" s="1"/>
  <c r="I43" i="5"/>
  <c r="F14" i="7" s="1"/>
  <c r="I35" i="5"/>
  <c r="F59" i="7" s="1"/>
  <c r="I27" i="5"/>
  <c r="F56" i="7" s="1"/>
  <c r="I19" i="5"/>
  <c r="F6" i="7" s="1"/>
  <c r="I11" i="5"/>
  <c r="F192" i="7" s="1"/>
  <c r="I3" i="5"/>
  <c r="F188" i="7" s="1"/>
  <c r="I402" i="5"/>
  <c r="F403" i="7" s="1"/>
  <c r="I394" i="5"/>
  <c r="F397" i="7" s="1"/>
  <c r="I386" i="5"/>
  <c r="F392" i="7" s="1"/>
  <c r="I378" i="5"/>
  <c r="F180" i="7" s="1"/>
  <c r="I370" i="5"/>
  <c r="F385" i="7" s="1"/>
  <c r="I362" i="5"/>
  <c r="F174" i="7" s="1"/>
  <c r="I354" i="5"/>
  <c r="F374" i="7" s="1"/>
  <c r="I346" i="5"/>
  <c r="F169" i="7" s="1"/>
  <c r="I338" i="5"/>
  <c r="F167" i="7" s="1"/>
  <c r="I330" i="5"/>
  <c r="F361" i="7" s="1"/>
  <c r="I322" i="5"/>
  <c r="F162" i="7" s="1"/>
  <c r="I314" i="5"/>
  <c r="F354" i="7" s="1"/>
  <c r="I306" i="5"/>
  <c r="F350" i="7" s="1"/>
  <c r="I298" i="5"/>
  <c r="F345" i="7" s="1"/>
  <c r="I290" i="5"/>
  <c r="F149" i="7" s="1"/>
  <c r="I282" i="5"/>
  <c r="F337" i="7" s="1"/>
  <c r="I274" i="5"/>
  <c r="F144" i="7" s="1"/>
  <c r="I266" i="5"/>
  <c r="F35" i="7" s="1"/>
  <c r="I258" i="5"/>
  <c r="F138" i="7" s="1"/>
  <c r="I250" i="5"/>
  <c r="F322" i="7" s="1"/>
  <c r="I242" i="5"/>
  <c r="F32" i="7" s="1"/>
  <c r="I234" i="5"/>
  <c r="F129" i="7" s="1"/>
  <c r="I226" i="5"/>
  <c r="F125" i="7" s="1"/>
  <c r="I218" i="5"/>
  <c r="F28" i="7" s="1"/>
  <c r="I210" i="5"/>
  <c r="F119" i="7" s="1"/>
  <c r="I202" i="5"/>
  <c r="F299" i="7" s="1"/>
  <c r="I194" i="5"/>
  <c r="F114" i="7" s="1"/>
  <c r="I186" i="5"/>
  <c r="F288" i="7" s="1"/>
  <c r="I178" i="5"/>
  <c r="F281" i="7" s="1"/>
  <c r="I170" i="5"/>
  <c r="F25" i="7" s="1"/>
  <c r="I162" i="5"/>
  <c r="F272" i="7" s="1"/>
  <c r="I154" i="5"/>
  <c r="F268" i="7" s="1"/>
  <c r="I146" i="5"/>
  <c r="F98" i="7" s="1"/>
  <c r="I138" i="5"/>
  <c r="F96" i="7" s="1"/>
  <c r="I130" i="5"/>
  <c r="F256" i="7" s="1"/>
  <c r="I122" i="5"/>
  <c r="F90" i="7" s="1"/>
  <c r="I114" i="5"/>
  <c r="F244" i="7" s="1"/>
  <c r="I106" i="5"/>
  <c r="F239" i="7" s="1"/>
  <c r="I98" i="5"/>
  <c r="F234" i="7" s="1"/>
  <c r="I90" i="5"/>
  <c r="F228" i="7" s="1"/>
  <c r="I82" i="5"/>
  <c r="F225" i="7" s="1"/>
  <c r="I74" i="5"/>
  <c r="F221" i="7" s="1"/>
  <c r="I66" i="5"/>
  <c r="F69" i="7" s="1"/>
  <c r="I58" i="5"/>
  <c r="F214" i="7" s="1"/>
  <c r="I50" i="5"/>
  <c r="F208" i="7" s="1"/>
  <c r="I42" i="5"/>
  <c r="F204" i="7" s="1"/>
  <c r="I34" i="5"/>
  <c r="F202" i="7" s="1"/>
  <c r="I26" i="5"/>
  <c r="F8" i="7" s="1"/>
  <c r="I18" i="5"/>
  <c r="F196" i="7" s="1"/>
  <c r="I10" i="5"/>
  <c r="F191" i="7" s="1"/>
  <c r="I365" i="5"/>
  <c r="F380" i="7" s="1"/>
  <c r="I401" i="5"/>
  <c r="F402" i="7" s="1"/>
  <c r="I393" i="5"/>
  <c r="F49" i="7" s="1"/>
  <c r="I385" i="5"/>
  <c r="F391" i="7" s="1"/>
  <c r="I377" i="5"/>
  <c r="F48" i="7" s="1"/>
  <c r="I369" i="5"/>
  <c r="F384" i="7" s="1"/>
  <c r="I361" i="5"/>
  <c r="F379" i="7" s="1"/>
  <c r="I353" i="5"/>
  <c r="F46" i="7" s="1"/>
  <c r="I345" i="5"/>
  <c r="F369" i="7" s="1"/>
  <c r="I337" i="5"/>
  <c r="F365" i="7" s="1"/>
  <c r="I329" i="5"/>
  <c r="F360" i="7" s="1"/>
  <c r="I321" i="5"/>
  <c r="F161" i="7" s="1"/>
  <c r="I313" i="5"/>
  <c r="F157" i="7" s="1"/>
  <c r="I305" i="5"/>
  <c r="F40" i="7" s="1"/>
  <c r="I297" i="5"/>
  <c r="I289" i="5"/>
  <c r="I281" i="5"/>
  <c r="F336" i="7" s="1"/>
  <c r="I273" i="5"/>
  <c r="F143" i="7" s="1"/>
  <c r="I265" i="5"/>
  <c r="F34" i="7" s="1"/>
  <c r="I257" i="5"/>
  <c r="F324" i="7" s="1"/>
  <c r="I249" i="5"/>
  <c r="F133" i="7" s="1"/>
  <c r="I241" i="5"/>
  <c r="F317" i="7" s="1"/>
  <c r="I233" i="5"/>
  <c r="F313" i="7" s="1"/>
  <c r="I225" i="5"/>
  <c r="F310" i="7" s="1"/>
  <c r="I217" i="5"/>
  <c r="F122" i="7" s="1"/>
  <c r="I209" i="5"/>
  <c r="F302" i="7" s="1"/>
  <c r="I201" i="5"/>
  <c r="F298" i="7" s="1"/>
  <c r="I193" i="5"/>
  <c r="F113" i="7" s="1"/>
  <c r="I185" i="5"/>
  <c r="F287" i="7" s="1"/>
  <c r="I177" i="5"/>
  <c r="F109" i="7" s="1"/>
  <c r="I169" i="5"/>
  <c r="F276" i="7" s="1"/>
  <c r="I161" i="5"/>
  <c r="F103" i="7" s="1"/>
  <c r="I153" i="5"/>
  <c r="F267" i="7" s="1"/>
  <c r="I145" i="5"/>
  <c r="F265" i="7" s="1"/>
  <c r="I137" i="5"/>
  <c r="F259" i="7" s="1"/>
  <c r="I129" i="5"/>
  <c r="F255" i="7" s="1"/>
  <c r="I121" i="5"/>
  <c r="F249" i="7" s="1"/>
  <c r="I113" i="5"/>
  <c r="F243" i="7" s="1"/>
  <c r="I105" i="5"/>
  <c r="F238" i="7" s="1"/>
  <c r="I97" i="5"/>
  <c r="F233" i="7" s="1"/>
  <c r="I89" i="5"/>
  <c r="F80" i="7" s="1"/>
  <c r="I81" i="5"/>
  <c r="F77" i="7" s="1"/>
  <c r="I73" i="5"/>
  <c r="F74" i="7" s="1"/>
  <c r="I65" i="5"/>
  <c r="F218" i="7" s="1"/>
  <c r="I57" i="5"/>
  <c r="F213" i="7" s="1"/>
  <c r="I49" i="5"/>
  <c r="F64" i="7" s="1"/>
  <c r="I41" i="5"/>
  <c r="F62" i="7" s="1"/>
  <c r="I33" i="5"/>
  <c r="F58" i="7" s="1"/>
  <c r="I25" i="5"/>
  <c r="F7" i="7" s="1"/>
  <c r="I17" i="5"/>
  <c r="F195" i="7" s="1"/>
  <c r="I9" i="5"/>
  <c r="F5" i="7" s="1"/>
  <c r="I397" i="5"/>
  <c r="F399" i="7" s="1"/>
  <c r="I373" i="5"/>
  <c r="F177" i="7" s="1"/>
  <c r="I341" i="5"/>
  <c r="F45" i="7" s="1"/>
  <c r="I317" i="5"/>
  <c r="F158" i="7" s="1"/>
  <c r="I301" i="5"/>
  <c r="F348" i="7" s="1"/>
  <c r="I277" i="5"/>
  <c r="F334" i="7" s="1"/>
  <c r="I253" i="5"/>
  <c r="F135" i="7" s="1"/>
  <c r="I229" i="5"/>
  <c r="F312" i="7" s="1"/>
  <c r="I213" i="5"/>
  <c r="F120" i="7" s="1"/>
  <c r="I197" i="5"/>
  <c r="F294" i="7" s="1"/>
  <c r="I173" i="5"/>
  <c r="F279" i="7" s="1"/>
  <c r="I149" i="5"/>
  <c r="F100" i="7" s="1"/>
  <c r="I133" i="5"/>
  <c r="F257" i="7" s="1"/>
  <c r="I125" i="5"/>
  <c r="F252" i="7" s="1"/>
  <c r="I109" i="5"/>
  <c r="F240" i="7" s="1"/>
  <c r="I93" i="5"/>
  <c r="F230" i="7" s="1"/>
  <c r="I85" i="5"/>
  <c r="F227" i="7" s="1"/>
  <c r="I69" i="5"/>
  <c r="F219" i="7" s="1"/>
  <c r="I61" i="5"/>
  <c r="F215" i="7" s="1"/>
  <c r="I53" i="5"/>
  <c r="I37" i="5"/>
  <c r="I21" i="5"/>
  <c r="F55" i="7" s="1"/>
  <c r="I13" i="5"/>
  <c r="F53" i="7" s="1"/>
  <c r="E183" i="7"/>
  <c r="I400" i="5"/>
  <c r="F187" i="7" s="1"/>
  <c r="I392" i="5"/>
  <c r="F396" i="7" s="1"/>
  <c r="I376" i="5"/>
  <c r="F47" i="7" s="1"/>
  <c r="I368" i="5"/>
  <c r="F383" i="7" s="1"/>
  <c r="I360" i="5"/>
  <c r="F378" i="7" s="1"/>
  <c r="I352" i="5"/>
  <c r="F373" i="7" s="1"/>
  <c r="I344" i="5"/>
  <c r="I336" i="5"/>
  <c r="F166" i="7" s="1"/>
  <c r="I328" i="5"/>
  <c r="F359" i="7" s="1"/>
  <c r="I320" i="5"/>
  <c r="F160" i="7" s="1"/>
  <c r="I312" i="5"/>
  <c r="F156" i="7" s="1"/>
  <c r="I304" i="5"/>
  <c r="F349" i="7" s="1"/>
  <c r="I296" i="5"/>
  <c r="F151" i="7" s="1"/>
  <c r="I288" i="5"/>
  <c r="F148" i="7" s="1"/>
  <c r="I280" i="5"/>
  <c r="F335" i="7" s="1"/>
  <c r="I272" i="5"/>
  <c r="F142" i="7" s="1"/>
  <c r="I264" i="5"/>
  <c r="F328" i="7" s="1"/>
  <c r="I256" i="5"/>
  <c r="F137" i="7" s="1"/>
  <c r="I248" i="5"/>
  <c r="F321" i="7" s="1"/>
  <c r="I240" i="5"/>
  <c r="F130" i="7" s="1"/>
  <c r="I232" i="5"/>
  <c r="F128" i="7" s="1"/>
  <c r="I224" i="5"/>
  <c r="F124" i="7" s="1"/>
  <c r="I216" i="5"/>
  <c r="F305" i="7" s="1"/>
  <c r="I208" i="5"/>
  <c r="F26" i="7" s="1"/>
  <c r="I200" i="5"/>
  <c r="F297" i="7" s="1"/>
  <c r="I192" i="5"/>
  <c r="F292" i="7" s="1"/>
  <c r="I184" i="5"/>
  <c r="F286" i="7" s="1"/>
  <c r="I176" i="5"/>
  <c r="F108" i="7" s="1"/>
  <c r="I168" i="5"/>
  <c r="F106" i="7" s="1"/>
  <c r="I160" i="5"/>
  <c r="F271" i="7" s="1"/>
  <c r="I152" i="5"/>
  <c r="F101" i="7" s="1"/>
  <c r="I144" i="5"/>
  <c r="F264" i="7" s="1"/>
  <c r="I136" i="5"/>
  <c r="F95" i="7" s="1"/>
  <c r="I128" i="5"/>
  <c r="F254" i="7" s="1"/>
  <c r="I120" i="5"/>
  <c r="F248" i="7" s="1"/>
  <c r="I112" i="5"/>
  <c r="F87" i="7" s="1"/>
  <c r="I104" i="5"/>
  <c r="F237" i="7" s="1"/>
  <c r="I96" i="5"/>
  <c r="F82" i="7" s="1"/>
  <c r="I88" i="5"/>
  <c r="F79" i="7" s="1"/>
  <c r="I80" i="5"/>
  <c r="F224" i="7" s="1"/>
  <c r="I72" i="5"/>
  <c r="F220" i="7" s="1"/>
  <c r="I64" i="5"/>
  <c r="F217" i="7" s="1"/>
  <c r="I56" i="5"/>
  <c r="F16" i="7" s="1"/>
  <c r="I48" i="5"/>
  <c r="I40" i="5"/>
  <c r="F203" i="7" s="1"/>
  <c r="I32" i="5"/>
  <c r="F201" i="7" s="1"/>
  <c r="I24" i="5"/>
  <c r="F200" i="7" s="1"/>
  <c r="I16" i="5"/>
  <c r="F194" i="7" s="1"/>
  <c r="I8" i="5"/>
  <c r="F51" i="7" s="1"/>
  <c r="I399" i="5"/>
  <c r="F401" i="7" s="1"/>
  <c r="I383" i="5"/>
  <c r="F390" i="7" s="1"/>
  <c r="I375" i="5"/>
  <c r="I367" i="5"/>
  <c r="F382" i="7" s="1"/>
  <c r="I359" i="5"/>
  <c r="F173" i="7" s="1"/>
  <c r="I351" i="5"/>
  <c r="F372" i="7" s="1"/>
  <c r="I343" i="5"/>
  <c r="F367" i="7" s="1"/>
  <c r="I335" i="5"/>
  <c r="F364" i="7" s="1"/>
  <c r="I327" i="5"/>
  <c r="F358" i="7" s="1"/>
  <c r="I319" i="5"/>
  <c r="F159" i="7" s="1"/>
  <c r="I311" i="5"/>
  <c r="I303" i="5"/>
  <c r="F153" i="7" s="1"/>
  <c r="I295" i="5"/>
  <c r="F38" i="7" s="1"/>
  <c r="I287" i="5"/>
  <c r="F340" i="7" s="1"/>
  <c r="I279" i="5"/>
  <c r="F147" i="7" s="1"/>
  <c r="I271" i="5"/>
  <c r="F332" i="7" s="1"/>
  <c r="I263" i="5"/>
  <c r="F327" i="7" s="1"/>
  <c r="I255" i="5"/>
  <c r="F323" i="7" s="1"/>
  <c r="I247" i="5"/>
  <c r="F132" i="7" s="1"/>
  <c r="I239" i="5"/>
  <c r="F31" i="7" s="1"/>
  <c r="I231" i="5"/>
  <c r="F127" i="7" s="1"/>
  <c r="I223" i="5"/>
  <c r="F309" i="7" s="1"/>
  <c r="I215" i="5"/>
  <c r="F27" i="7" s="1"/>
  <c r="I207" i="5"/>
  <c r="F301" i="7" s="1"/>
  <c r="I199" i="5"/>
  <c r="F296" i="7" s="1"/>
  <c r="I191" i="5"/>
  <c r="F112" i="7" s="1"/>
  <c r="I183" i="5"/>
  <c r="F110" i="7" s="1"/>
  <c r="I175" i="5"/>
  <c r="F280" i="7" s="1"/>
  <c r="I167" i="5"/>
  <c r="F105" i="7" s="1"/>
  <c r="I159" i="5"/>
  <c r="F270" i="7" s="1"/>
  <c r="I151" i="5"/>
  <c r="F22" i="7" s="1"/>
  <c r="I143" i="5"/>
  <c r="F263" i="7" s="1"/>
  <c r="I135" i="5"/>
  <c r="F94" i="7" s="1"/>
  <c r="I127" i="5"/>
  <c r="F91" i="7" s="1"/>
  <c r="I119" i="5"/>
  <c r="F247" i="7" s="1"/>
  <c r="I111" i="5"/>
  <c r="F242" i="7" s="1"/>
  <c r="I103" i="5"/>
  <c r="F20" i="7" s="1"/>
  <c r="I95" i="5"/>
  <c r="F232" i="7" s="1"/>
  <c r="I87" i="5"/>
  <c r="F78" i="7" s="1"/>
  <c r="I79" i="5"/>
  <c r="F223" i="7" s="1"/>
  <c r="I71" i="5"/>
  <c r="F73" i="7" s="1"/>
  <c r="I63" i="5"/>
  <c r="F68" i="7" s="1"/>
  <c r="I55" i="5"/>
  <c r="F212" i="7" s="1"/>
  <c r="I47" i="5"/>
  <c r="F207" i="7" s="1"/>
  <c r="I39" i="5"/>
  <c r="F13" i="7" s="1"/>
  <c r="I31" i="5"/>
  <c r="F11" i="7" s="1"/>
  <c r="I23" i="5"/>
  <c r="F199" i="7" s="1"/>
  <c r="I15" i="5"/>
  <c r="F193" i="7" s="1"/>
  <c r="I7" i="5"/>
  <c r="F50" i="7" s="1"/>
  <c r="I381" i="5"/>
  <c r="F181" i="7" s="1"/>
  <c r="I349" i="5"/>
  <c r="F371" i="7" s="1"/>
  <c r="I333" i="5"/>
  <c r="F165" i="7" s="1"/>
  <c r="I309" i="5"/>
  <c r="F352" i="7" s="1"/>
  <c r="I285" i="5"/>
  <c r="F339" i="7" s="1"/>
  <c r="I261" i="5"/>
  <c r="F326" i="7" s="1"/>
  <c r="I245" i="5"/>
  <c r="F131" i="7" s="1"/>
  <c r="I221" i="5"/>
  <c r="F307" i="7" s="1"/>
  <c r="I189" i="5"/>
  <c r="F290" i="7" s="1"/>
  <c r="I165" i="5"/>
  <c r="F274" i="7" s="1"/>
  <c r="I101" i="5"/>
  <c r="F84" i="7" s="1"/>
  <c r="I396" i="5"/>
  <c r="F186" i="7" s="1"/>
  <c r="I388" i="5"/>
  <c r="F394" i="7" s="1"/>
  <c r="I380" i="5"/>
  <c r="F389" i="7" s="1"/>
  <c r="I372" i="5"/>
  <c r="F387" i="7" s="1"/>
  <c r="I364" i="5"/>
  <c r="F176" i="7" s="1"/>
  <c r="I356" i="5"/>
  <c r="F375" i="7" s="1"/>
  <c r="I348" i="5"/>
  <c r="F370" i="7" s="1"/>
  <c r="I340" i="5"/>
  <c r="F44" i="7" s="1"/>
  <c r="I332" i="5"/>
  <c r="F362" i="7" s="1"/>
  <c r="I324" i="5"/>
  <c r="F163" i="7" s="1"/>
  <c r="I316" i="5"/>
  <c r="F42" i="7" s="1"/>
  <c r="I308" i="5"/>
  <c r="F351" i="7" s="1"/>
  <c r="I300" i="5"/>
  <c r="F347" i="7" s="1"/>
  <c r="I292" i="5"/>
  <c r="F342" i="7" s="1"/>
  <c r="I284" i="5"/>
  <c r="F338" i="7" s="1"/>
  <c r="I276" i="5"/>
  <c r="F145" i="7" s="1"/>
  <c r="I268" i="5"/>
  <c r="F141" i="7" s="1"/>
  <c r="I260" i="5"/>
  <c r="F139" i="7" s="1"/>
  <c r="I252" i="5"/>
  <c r="F33" i="7" s="1"/>
  <c r="I244" i="5"/>
  <c r="F319" i="7" s="1"/>
  <c r="I236" i="5"/>
  <c r="F315" i="7" s="1"/>
  <c r="I228" i="5"/>
  <c r="F126" i="7" s="1"/>
  <c r="I220" i="5"/>
  <c r="I212" i="5"/>
  <c r="F304" i="7" s="1"/>
  <c r="I204" i="5"/>
  <c r="F116" i="7" s="1"/>
  <c r="I196" i="5"/>
  <c r="F115" i="7" s="1"/>
  <c r="I188" i="5"/>
  <c r="F289" i="7" s="1"/>
  <c r="I180" i="5"/>
  <c r="F283" i="7" s="1"/>
  <c r="I172" i="5"/>
  <c r="F278" i="7" s="1"/>
  <c r="I164" i="5"/>
  <c r="F273" i="7" s="1"/>
  <c r="I156" i="5"/>
  <c r="F102" i="7" s="1"/>
  <c r="I148" i="5"/>
  <c r="F21" i="7" s="1"/>
  <c r="I140" i="5"/>
  <c r="F261" i="7" s="1"/>
  <c r="I132" i="5"/>
  <c r="F93" i="7" s="1"/>
  <c r="I124" i="5"/>
  <c r="F251" i="7" s="1"/>
  <c r="I116" i="5"/>
  <c r="F88" i="7" s="1"/>
  <c r="I108" i="5"/>
  <c r="F86" i="7" s="1"/>
  <c r="I100" i="5"/>
  <c r="F235" i="7" s="1"/>
  <c r="I92" i="5"/>
  <c r="F229" i="7" s="1"/>
  <c r="I84" i="5"/>
  <c r="F226" i="7" s="1"/>
  <c r="I76" i="5"/>
  <c r="F75" i="7" s="1"/>
  <c r="I68" i="5"/>
  <c r="F71" i="7" s="1"/>
  <c r="I60" i="5"/>
  <c r="F67" i="7" s="1"/>
  <c r="I52" i="5"/>
  <c r="F209" i="7" s="1"/>
  <c r="I44" i="5"/>
  <c r="F205" i="7" s="1"/>
  <c r="I36" i="5"/>
  <c r="F12" i="7" s="1"/>
  <c r="I28" i="5"/>
  <c r="F57" i="7" s="1"/>
  <c r="I20" i="5"/>
  <c r="F197" i="7" s="1"/>
  <c r="I12" i="5"/>
  <c r="F52" i="7" s="1"/>
  <c r="I4" i="5"/>
  <c r="F189" i="7" s="1"/>
  <c r="K16" i="8"/>
  <c r="Q25" i="5"/>
  <c r="J7" i="7" s="1"/>
  <c r="Q383" i="5"/>
  <c r="J390" i="7" s="1"/>
  <c r="Q359" i="5"/>
  <c r="J173" i="7" s="1"/>
  <c r="Q167" i="5"/>
  <c r="J105" i="7" s="1"/>
  <c r="Q103" i="5"/>
  <c r="J20" i="7" s="1"/>
  <c r="Q95" i="5"/>
  <c r="J232" i="7" s="1"/>
  <c r="Q369" i="5"/>
  <c r="J384" i="7" s="1"/>
  <c r="Q345" i="5"/>
  <c r="J369" i="7" s="1"/>
  <c r="Q297" i="5"/>
  <c r="J39" i="7" s="1"/>
  <c r="E262" i="2"/>
  <c r="H262" i="2" s="1"/>
  <c r="C262" i="5" s="1"/>
  <c r="E70" i="2"/>
  <c r="H70" i="2" s="1"/>
  <c r="C70" i="5" s="1"/>
  <c r="E54" i="2"/>
  <c r="H54" i="2" s="1"/>
  <c r="C54" i="5" s="1"/>
  <c r="M333" i="5"/>
  <c r="H165" i="7" s="1"/>
  <c r="Q381" i="5"/>
  <c r="J181" i="7" s="1"/>
  <c r="Q357" i="5"/>
  <c r="J376" i="7" s="1"/>
  <c r="Q333" i="5"/>
  <c r="J165" i="7" s="1"/>
  <c r="Q285" i="5"/>
  <c r="J339" i="7" s="1"/>
  <c r="Q245" i="5"/>
  <c r="J131" i="7" s="1"/>
  <c r="Q221" i="5"/>
  <c r="J307" i="7" s="1"/>
  <c r="M124" i="5"/>
  <c r="H251" i="7" s="1"/>
  <c r="F388" i="7"/>
  <c r="Q308" i="5"/>
  <c r="J351" i="7" s="1"/>
  <c r="Q260" i="5"/>
  <c r="J139" i="7" s="1"/>
  <c r="Q393" i="5"/>
  <c r="J49" i="7" s="1"/>
  <c r="Q185" i="5"/>
  <c r="J287" i="7" s="1"/>
  <c r="Q145" i="5"/>
  <c r="J265" i="7" s="1"/>
  <c r="E97" i="2"/>
  <c r="H97" i="2" s="1"/>
  <c r="C97" i="5" s="1"/>
  <c r="K43" i="2"/>
  <c r="K27" i="2"/>
  <c r="K19" i="2"/>
  <c r="Q307" i="5"/>
  <c r="J154" i="7" s="1"/>
  <c r="Q235" i="5"/>
  <c r="J314" i="7" s="1"/>
  <c r="Q203" i="5"/>
  <c r="J300" i="7" s="1"/>
  <c r="M266" i="5"/>
  <c r="H35" i="7" s="1"/>
  <c r="Q249" i="5"/>
  <c r="J133" i="7" s="1"/>
  <c r="I3" i="2"/>
  <c r="I114" i="2"/>
  <c r="Q370" i="5"/>
  <c r="J385" i="7" s="1"/>
  <c r="Q322" i="5"/>
  <c r="J162" i="7" s="1"/>
  <c r="Q282" i="5"/>
  <c r="J337" i="7" s="1"/>
  <c r="Q98" i="5"/>
  <c r="J234" i="7" s="1"/>
  <c r="K13" i="2"/>
  <c r="E12" i="2"/>
  <c r="H12" i="2" s="1"/>
  <c r="C12" i="5" s="1"/>
  <c r="Q320" i="5"/>
  <c r="J160" i="7" s="1"/>
  <c r="Q296" i="5"/>
  <c r="J151" i="7" s="1"/>
  <c r="Q272" i="5"/>
  <c r="J142" i="7" s="1"/>
  <c r="Q72" i="5"/>
  <c r="J220" i="7" s="1"/>
  <c r="Q48" i="5"/>
  <c r="J15" i="7" s="1"/>
  <c r="M383" i="5"/>
  <c r="H390" i="7" s="1"/>
  <c r="Q3" i="5"/>
  <c r="J188" i="7" s="1"/>
  <c r="Q104" i="5"/>
  <c r="J237" i="7" s="1"/>
  <c r="F39" i="7"/>
  <c r="F341" i="7"/>
  <c r="Q378" i="5"/>
  <c r="J180" i="7" s="1"/>
  <c r="Q314" i="5"/>
  <c r="J354" i="7" s="1"/>
  <c r="Q250" i="5"/>
  <c r="J322" i="7" s="1"/>
  <c r="F183" i="7"/>
  <c r="F368" i="7"/>
  <c r="F15" i="7"/>
  <c r="F179" i="7"/>
  <c r="F353" i="7"/>
  <c r="F37" i="7"/>
  <c r="F269" i="7"/>
  <c r="F258" i="7"/>
  <c r="Q399" i="5"/>
  <c r="J401" i="7" s="1"/>
  <c r="Q335" i="5"/>
  <c r="J364" i="7" s="1"/>
  <c r="Q271" i="5"/>
  <c r="J332" i="7" s="1"/>
  <c r="F210" i="7"/>
  <c r="F60" i="7"/>
  <c r="Q358" i="5"/>
  <c r="J377" i="7" s="1"/>
  <c r="Q230" i="5"/>
  <c r="J29" i="7" s="1"/>
  <c r="Q198" i="5"/>
  <c r="J295" i="7" s="1"/>
  <c r="Q134" i="5"/>
  <c r="J258" i="7" s="1"/>
  <c r="M381" i="5"/>
  <c r="H181" i="7" s="1"/>
  <c r="F123" i="7"/>
  <c r="Q107" i="5"/>
  <c r="J85" i="7" s="1"/>
  <c r="Q43" i="5"/>
  <c r="J14" i="7" s="1"/>
  <c r="M386" i="5"/>
  <c r="H392" i="7" s="1"/>
  <c r="M330" i="5"/>
  <c r="H361" i="7" s="1"/>
  <c r="M274" i="5"/>
  <c r="H144" i="7" s="1"/>
  <c r="M210" i="5"/>
  <c r="H119" i="7" s="1"/>
  <c r="M154" i="5"/>
  <c r="H268" i="7" s="1"/>
  <c r="M106" i="5"/>
  <c r="H239" i="7" s="1"/>
  <c r="M42" i="5"/>
  <c r="H204" i="7" s="1"/>
  <c r="Q114" i="5"/>
  <c r="J244" i="7" s="1"/>
  <c r="Q106" i="5"/>
  <c r="J239" i="7" s="1"/>
  <c r="Q90" i="5"/>
  <c r="J228" i="7" s="1"/>
  <c r="Q82" i="5"/>
  <c r="J225" i="7" s="1"/>
  <c r="Q74" i="5"/>
  <c r="J221" i="7" s="1"/>
  <c r="Q50" i="5"/>
  <c r="J208" i="7" s="1"/>
  <c r="Q42" i="5"/>
  <c r="J204" i="7" s="1"/>
  <c r="Q34" i="5"/>
  <c r="J202" i="7" s="1"/>
  <c r="Q18" i="5"/>
  <c r="J196" i="7" s="1"/>
  <c r="Q10" i="5"/>
  <c r="J191" i="7" s="1"/>
  <c r="Q394" i="5"/>
  <c r="J397" i="7" s="1"/>
  <c r="Q362" i="5"/>
  <c r="J174" i="7" s="1"/>
  <c r="Q330" i="5"/>
  <c r="J361" i="7" s="1"/>
  <c r="Q298" i="5"/>
  <c r="J345" i="7" s="1"/>
  <c r="Q266" i="5"/>
  <c r="J35" i="7" s="1"/>
  <c r="Q234" i="5"/>
  <c r="J129" i="7" s="1"/>
  <c r="Q202" i="5"/>
  <c r="J299" i="7" s="1"/>
  <c r="Q170" i="5"/>
  <c r="J25" i="7" s="1"/>
  <c r="Q138" i="5"/>
  <c r="J96" i="7" s="1"/>
  <c r="Q66" i="5"/>
  <c r="J69" i="7" s="1"/>
  <c r="Q26" i="5"/>
  <c r="J8" i="7" s="1"/>
  <c r="M260" i="5"/>
  <c r="H139" i="7" s="1"/>
  <c r="Q115" i="5"/>
  <c r="J245" i="7" s="1"/>
  <c r="Q59" i="5"/>
  <c r="J66" i="7" s="1"/>
  <c r="M402" i="5"/>
  <c r="H403" i="7" s="1"/>
  <c r="M338" i="5"/>
  <c r="H167" i="7" s="1"/>
  <c r="M282" i="5"/>
  <c r="H337" i="7" s="1"/>
  <c r="M218" i="5"/>
  <c r="H28" i="7" s="1"/>
  <c r="M162" i="5"/>
  <c r="H272" i="7" s="1"/>
  <c r="M98" i="5"/>
  <c r="H234" i="7" s="1"/>
  <c r="M50" i="5"/>
  <c r="H208" i="7" s="1"/>
  <c r="Q395" i="5"/>
  <c r="J398" i="7" s="1"/>
  <c r="Q294" i="5"/>
  <c r="J344" i="7" s="1"/>
  <c r="Q401" i="5"/>
  <c r="J402" i="7" s="1"/>
  <c r="Q385" i="5"/>
  <c r="J391" i="7" s="1"/>
  <c r="Q377" i="5"/>
  <c r="J48" i="7" s="1"/>
  <c r="Q361" i="5"/>
  <c r="J379" i="7" s="1"/>
  <c r="Q353" i="5"/>
  <c r="J46" i="7" s="1"/>
  <c r="Q337" i="5"/>
  <c r="J365" i="7" s="1"/>
  <c r="Q329" i="5"/>
  <c r="J360" i="7" s="1"/>
  <c r="Q321" i="5"/>
  <c r="J161" i="7" s="1"/>
  <c r="Q313" i="5"/>
  <c r="J157" i="7" s="1"/>
  <c r="Q305" i="5"/>
  <c r="J40" i="7" s="1"/>
  <c r="Q289" i="5"/>
  <c r="J341" i="7" s="1"/>
  <c r="Q281" i="5"/>
  <c r="J336" i="7" s="1"/>
  <c r="Q273" i="5"/>
  <c r="J143" i="7" s="1"/>
  <c r="Q265" i="5"/>
  <c r="J34" i="7" s="1"/>
  <c r="Q257" i="5"/>
  <c r="J324" i="7" s="1"/>
  <c r="Q241" i="5"/>
  <c r="J317" i="7" s="1"/>
  <c r="Q233" i="5"/>
  <c r="J313" i="7" s="1"/>
  <c r="Q225" i="5"/>
  <c r="J310" i="7" s="1"/>
  <c r="Q217" i="5"/>
  <c r="J122" i="7" s="1"/>
  <c r="Q209" i="5"/>
  <c r="J302" i="7" s="1"/>
  <c r="Q201" i="5"/>
  <c r="J298" i="7" s="1"/>
  <c r="Q193" i="5"/>
  <c r="J113" i="7" s="1"/>
  <c r="Q177" i="5"/>
  <c r="J109" i="7" s="1"/>
  <c r="Q169" i="5"/>
  <c r="J276" i="7" s="1"/>
  <c r="Q161" i="5"/>
  <c r="J103" i="7" s="1"/>
  <c r="Q153" i="5"/>
  <c r="J267" i="7" s="1"/>
  <c r="Q137" i="5"/>
  <c r="J259" i="7" s="1"/>
  <c r="Q129" i="5"/>
  <c r="J255" i="7" s="1"/>
  <c r="Q105" i="5"/>
  <c r="J238" i="7" s="1"/>
  <c r="Q97" i="5"/>
  <c r="J233" i="7" s="1"/>
  <c r="Q89" i="5"/>
  <c r="J80" i="7" s="1"/>
  <c r="Q81" i="5"/>
  <c r="J77" i="7" s="1"/>
  <c r="Q73" i="5"/>
  <c r="J74" i="7" s="1"/>
  <c r="Q65" i="5"/>
  <c r="J218" i="7" s="1"/>
  <c r="Q49" i="5"/>
  <c r="J64" i="7" s="1"/>
  <c r="Q41" i="5"/>
  <c r="J62" i="7" s="1"/>
  <c r="Q33" i="5"/>
  <c r="J58" i="7" s="1"/>
  <c r="Q9" i="5"/>
  <c r="J5" i="7" s="1"/>
  <c r="M400" i="5"/>
  <c r="H187" i="7" s="1"/>
  <c r="M392" i="5"/>
  <c r="H396" i="7" s="1"/>
  <c r="M384" i="5"/>
  <c r="H183" i="7" s="1"/>
  <c r="M376" i="5"/>
  <c r="H47" i="7" s="1"/>
  <c r="M368" i="5"/>
  <c r="H383" i="7" s="1"/>
  <c r="M360" i="5"/>
  <c r="H378" i="7" s="1"/>
  <c r="M352" i="5"/>
  <c r="H373" i="7" s="1"/>
  <c r="M344" i="5"/>
  <c r="H368" i="7" s="1"/>
  <c r="M336" i="5"/>
  <c r="H166" i="7" s="1"/>
  <c r="M328" i="5"/>
  <c r="H359" i="7" s="1"/>
  <c r="M320" i="5"/>
  <c r="H160" i="7" s="1"/>
  <c r="M312" i="5"/>
  <c r="H156" i="7" s="1"/>
  <c r="M304" i="5"/>
  <c r="H349" i="7" s="1"/>
  <c r="M296" i="5"/>
  <c r="H151" i="7" s="1"/>
  <c r="M288" i="5"/>
  <c r="H148" i="7" s="1"/>
  <c r="M280" i="5"/>
  <c r="H335" i="7" s="1"/>
  <c r="M272" i="5"/>
  <c r="H142" i="7" s="1"/>
  <c r="M264" i="5"/>
  <c r="H328" i="7" s="1"/>
  <c r="M256" i="5"/>
  <c r="H137" i="7" s="1"/>
  <c r="M248" i="5"/>
  <c r="H321" i="7" s="1"/>
  <c r="M240" i="5"/>
  <c r="H130" i="7" s="1"/>
  <c r="M232" i="5"/>
  <c r="H128" i="7" s="1"/>
  <c r="M224" i="5"/>
  <c r="H124" i="7" s="1"/>
  <c r="M216" i="5"/>
  <c r="H305" i="7" s="1"/>
  <c r="M208" i="5"/>
  <c r="H26" i="7" s="1"/>
  <c r="M200" i="5"/>
  <c r="H297" i="7" s="1"/>
  <c r="M192" i="5"/>
  <c r="H292" i="7" s="1"/>
  <c r="M184" i="5"/>
  <c r="H286" i="7" s="1"/>
  <c r="M176" i="5"/>
  <c r="H108" i="7" s="1"/>
  <c r="M168" i="5"/>
  <c r="H106" i="7" s="1"/>
  <c r="M160" i="5"/>
  <c r="H271" i="7" s="1"/>
  <c r="M152" i="5"/>
  <c r="H101" i="7" s="1"/>
  <c r="M144" i="5"/>
  <c r="H264" i="7" s="1"/>
  <c r="M136" i="5"/>
  <c r="H95" i="7" s="1"/>
  <c r="M128" i="5"/>
  <c r="H254" i="7" s="1"/>
  <c r="M120" i="5"/>
  <c r="H248" i="7" s="1"/>
  <c r="M112" i="5"/>
  <c r="H87" i="7" s="1"/>
  <c r="M104" i="5"/>
  <c r="H237" i="7" s="1"/>
  <c r="M96" i="5"/>
  <c r="H82" i="7" s="1"/>
  <c r="M88" i="5"/>
  <c r="H79" i="7" s="1"/>
  <c r="M80" i="5"/>
  <c r="H224" i="7" s="1"/>
  <c r="M72" i="5"/>
  <c r="H220" i="7" s="1"/>
  <c r="M64" i="5"/>
  <c r="H217" i="7" s="1"/>
  <c r="M56" i="5"/>
  <c r="H16" i="7" s="1"/>
  <c r="M48" i="5"/>
  <c r="H15" i="7" s="1"/>
  <c r="M40" i="5"/>
  <c r="H203" i="7" s="1"/>
  <c r="M32" i="5"/>
  <c r="H201" i="7" s="1"/>
  <c r="M24" i="5"/>
  <c r="H200" i="7" s="1"/>
  <c r="M16" i="5"/>
  <c r="H194" i="7" s="1"/>
  <c r="M8" i="5"/>
  <c r="H51" i="7" s="1"/>
  <c r="Q387" i="5"/>
  <c r="J393" i="7" s="1"/>
  <c r="Q355" i="5"/>
  <c r="J172" i="7" s="1"/>
  <c r="Q323" i="5"/>
  <c r="J356" i="7" s="1"/>
  <c r="Q291" i="5"/>
  <c r="J150" i="7" s="1"/>
  <c r="Q259" i="5"/>
  <c r="J325" i="7" s="1"/>
  <c r="Q227" i="5"/>
  <c r="J311" i="7" s="1"/>
  <c r="Q195" i="5"/>
  <c r="J293" i="7" s="1"/>
  <c r="Q163" i="5"/>
  <c r="J104" i="7" s="1"/>
  <c r="Q131" i="5"/>
  <c r="J92" i="7" s="1"/>
  <c r="Q58" i="5"/>
  <c r="J214" i="7" s="1"/>
  <c r="Q17" i="5"/>
  <c r="J195" i="7" s="1"/>
  <c r="M187" i="5"/>
  <c r="H111" i="7" s="1"/>
  <c r="Q83" i="5"/>
  <c r="J18" i="7" s="1"/>
  <c r="Q35" i="5"/>
  <c r="J59" i="7" s="1"/>
  <c r="M378" i="5"/>
  <c r="H180" i="7" s="1"/>
  <c r="M322" i="5"/>
  <c r="H162" i="7" s="1"/>
  <c r="M290" i="5"/>
  <c r="H149" i="7" s="1"/>
  <c r="M234" i="5"/>
  <c r="H129" i="7" s="1"/>
  <c r="M146" i="5"/>
  <c r="H98" i="7" s="1"/>
  <c r="M82" i="5"/>
  <c r="H225" i="7" s="1"/>
  <c r="M18" i="5"/>
  <c r="H196" i="7" s="1"/>
  <c r="Q171" i="5"/>
  <c r="J277" i="7" s="1"/>
  <c r="Q400" i="5"/>
  <c r="J187" i="7" s="1"/>
  <c r="Q392" i="5"/>
  <c r="J396" i="7" s="1"/>
  <c r="Q384" i="5"/>
  <c r="J183" i="7" s="1"/>
  <c r="Q376" i="5"/>
  <c r="J47" i="7" s="1"/>
  <c r="Q368" i="5"/>
  <c r="J383" i="7" s="1"/>
  <c r="Q360" i="5"/>
  <c r="J378" i="7" s="1"/>
  <c r="Q352" i="5"/>
  <c r="J373" i="7" s="1"/>
  <c r="Q344" i="5"/>
  <c r="J368" i="7" s="1"/>
  <c r="Q336" i="5"/>
  <c r="J166" i="7" s="1"/>
  <c r="Q328" i="5"/>
  <c r="J359" i="7" s="1"/>
  <c r="Q312" i="5"/>
  <c r="J156" i="7" s="1"/>
  <c r="Q304" i="5"/>
  <c r="J349" i="7" s="1"/>
  <c r="Q288" i="5"/>
  <c r="J148" i="7" s="1"/>
  <c r="Q280" i="5"/>
  <c r="J335" i="7" s="1"/>
  <c r="Q264" i="5"/>
  <c r="J328" i="7" s="1"/>
  <c r="Q256" i="5"/>
  <c r="J137" i="7" s="1"/>
  <c r="Q248" i="5"/>
  <c r="J321" i="7" s="1"/>
  <c r="Q240" i="5"/>
  <c r="J130" i="7" s="1"/>
  <c r="Q232" i="5"/>
  <c r="J128" i="7" s="1"/>
  <c r="Q224" i="5"/>
  <c r="J124" i="7" s="1"/>
  <c r="Q216" i="5"/>
  <c r="J305" i="7" s="1"/>
  <c r="Q208" i="5"/>
  <c r="J26" i="7" s="1"/>
  <c r="Q200" i="5"/>
  <c r="J297" i="7" s="1"/>
  <c r="Q192" i="5"/>
  <c r="J292" i="7" s="1"/>
  <c r="Q184" i="5"/>
  <c r="J286" i="7" s="1"/>
  <c r="Q176" i="5"/>
  <c r="J108" i="7" s="1"/>
  <c r="Q168" i="5"/>
  <c r="J106" i="7" s="1"/>
  <c r="Q160" i="5"/>
  <c r="J271" i="7" s="1"/>
  <c r="Q152" i="5"/>
  <c r="J101" i="7" s="1"/>
  <c r="Q144" i="5"/>
  <c r="J264" i="7" s="1"/>
  <c r="Q136" i="5"/>
  <c r="J95" i="7" s="1"/>
  <c r="Q128" i="5"/>
  <c r="J254" i="7" s="1"/>
  <c r="Q120" i="5"/>
  <c r="J248" i="7" s="1"/>
  <c r="Q96" i="5"/>
  <c r="J82" i="7" s="1"/>
  <c r="Q88" i="5"/>
  <c r="J79" i="7" s="1"/>
  <c r="Q80" i="5"/>
  <c r="J224" i="7" s="1"/>
  <c r="Q64" i="5"/>
  <c r="J217" i="7" s="1"/>
  <c r="Q56" i="5"/>
  <c r="J16" i="7" s="1"/>
  <c r="Q40" i="5"/>
  <c r="J203" i="7" s="1"/>
  <c r="Q32" i="5"/>
  <c r="J201" i="7" s="1"/>
  <c r="Q24" i="5"/>
  <c r="J200" i="7" s="1"/>
  <c r="Q8" i="5"/>
  <c r="M399" i="5"/>
  <c r="H401" i="7" s="1"/>
  <c r="M391" i="5"/>
  <c r="H185" i="7" s="1"/>
  <c r="M375" i="5"/>
  <c r="H179" i="7" s="1"/>
  <c r="M367" i="5"/>
  <c r="H382" i="7" s="1"/>
  <c r="M359" i="5"/>
  <c r="H173" i="7" s="1"/>
  <c r="M351" i="5"/>
  <c r="H372" i="7" s="1"/>
  <c r="M343" i="5"/>
  <c r="H367" i="7" s="1"/>
  <c r="M335" i="5"/>
  <c r="H364" i="7" s="1"/>
  <c r="M327" i="5"/>
  <c r="H358" i="7" s="1"/>
  <c r="M319" i="5"/>
  <c r="H159" i="7" s="1"/>
  <c r="M311" i="5"/>
  <c r="H353" i="7" s="1"/>
  <c r="M303" i="5"/>
  <c r="H153" i="7" s="1"/>
  <c r="M295" i="5"/>
  <c r="H38" i="7" s="1"/>
  <c r="M287" i="5"/>
  <c r="H340" i="7" s="1"/>
  <c r="M279" i="5"/>
  <c r="H147" i="7" s="1"/>
  <c r="M271" i="5"/>
  <c r="H332" i="7" s="1"/>
  <c r="M263" i="5"/>
  <c r="H327" i="7" s="1"/>
  <c r="M255" i="5"/>
  <c r="H323" i="7" s="1"/>
  <c r="M247" i="5"/>
  <c r="H132" i="7" s="1"/>
  <c r="M239" i="5"/>
  <c r="H31" i="7" s="1"/>
  <c r="M231" i="5"/>
  <c r="H127" i="7" s="1"/>
  <c r="M223" i="5"/>
  <c r="H309" i="7" s="1"/>
  <c r="M215" i="5"/>
  <c r="H27" i="7" s="1"/>
  <c r="M207" i="5"/>
  <c r="H301" i="7" s="1"/>
  <c r="M199" i="5"/>
  <c r="H296" i="7" s="1"/>
  <c r="M191" i="5"/>
  <c r="H112" i="7" s="1"/>
  <c r="M183" i="5"/>
  <c r="H110" i="7" s="1"/>
  <c r="M175" i="5"/>
  <c r="H280" i="7" s="1"/>
  <c r="M167" i="5"/>
  <c r="H105" i="7" s="1"/>
  <c r="M159" i="5"/>
  <c r="H270" i="7" s="1"/>
  <c r="M151" i="5"/>
  <c r="H22" i="7" s="1"/>
  <c r="M143" i="5"/>
  <c r="H263" i="7" s="1"/>
  <c r="M135" i="5"/>
  <c r="H94" i="7" s="1"/>
  <c r="M127" i="5"/>
  <c r="H91" i="7" s="1"/>
  <c r="M119" i="5"/>
  <c r="H247" i="7" s="1"/>
  <c r="M111" i="5"/>
  <c r="H242" i="7" s="1"/>
  <c r="M103" i="5"/>
  <c r="H20" i="7" s="1"/>
  <c r="M95" i="5"/>
  <c r="H232" i="7" s="1"/>
  <c r="M87" i="5"/>
  <c r="H78" i="7" s="1"/>
  <c r="M79" i="5"/>
  <c r="H223" i="7" s="1"/>
  <c r="M71" i="5"/>
  <c r="H73" i="7" s="1"/>
  <c r="M63" i="5"/>
  <c r="H68" i="7" s="1"/>
  <c r="M55" i="5"/>
  <c r="H212" i="7" s="1"/>
  <c r="M47" i="5"/>
  <c r="H207" i="7" s="1"/>
  <c r="M39" i="5"/>
  <c r="H13" i="7" s="1"/>
  <c r="M31" i="5"/>
  <c r="H11" i="7" s="1"/>
  <c r="M23" i="5"/>
  <c r="H199" i="7" s="1"/>
  <c r="M15" i="5"/>
  <c r="H193" i="7" s="1"/>
  <c r="M7" i="5"/>
  <c r="H50" i="7" s="1"/>
  <c r="Q386" i="5"/>
  <c r="J392" i="7" s="1"/>
  <c r="Q354" i="5"/>
  <c r="J374" i="7" s="1"/>
  <c r="Q290" i="5"/>
  <c r="J149" i="7" s="1"/>
  <c r="Q258" i="5"/>
  <c r="J138" i="7" s="1"/>
  <c r="Q226" i="5"/>
  <c r="J125" i="7" s="1"/>
  <c r="Q194" i="5"/>
  <c r="J114" i="7" s="1"/>
  <c r="Q162" i="5"/>
  <c r="J272" i="7" s="1"/>
  <c r="Q130" i="5"/>
  <c r="J256" i="7" s="1"/>
  <c r="Q93" i="5"/>
  <c r="J230" i="7" s="1"/>
  <c r="Q57" i="5"/>
  <c r="J213" i="7" s="1"/>
  <c r="Q16" i="5"/>
  <c r="J194" i="7" s="1"/>
  <c r="M101" i="5"/>
  <c r="H84" i="7" s="1"/>
  <c r="Q123" i="5"/>
  <c r="J250" i="7" s="1"/>
  <c r="Q11" i="5"/>
  <c r="J192" i="7" s="1"/>
  <c r="M354" i="5"/>
  <c r="H374" i="7" s="1"/>
  <c r="M306" i="5"/>
  <c r="H350" i="7" s="1"/>
  <c r="M250" i="5"/>
  <c r="H322" i="7" s="1"/>
  <c r="M194" i="5"/>
  <c r="H114" i="7" s="1"/>
  <c r="M138" i="5"/>
  <c r="H96" i="7" s="1"/>
  <c r="M74" i="5"/>
  <c r="H221" i="7" s="1"/>
  <c r="M26" i="5"/>
  <c r="H8" i="7" s="1"/>
  <c r="F150" i="7"/>
  <c r="Q331" i="5"/>
  <c r="J164" i="7" s="1"/>
  <c r="Q267" i="5"/>
  <c r="J329" i="7" s="1"/>
  <c r="Q139" i="5"/>
  <c r="J260" i="7" s="1"/>
  <c r="Q391" i="5"/>
  <c r="J185" i="7" s="1"/>
  <c r="Q375" i="5"/>
  <c r="J179" i="7" s="1"/>
  <c r="Q367" i="5"/>
  <c r="J382" i="7" s="1"/>
  <c r="Q351" i="5"/>
  <c r="J372" i="7" s="1"/>
  <c r="Q343" i="5"/>
  <c r="J367" i="7" s="1"/>
  <c r="Q327" i="5"/>
  <c r="J358" i="7" s="1"/>
  <c r="Q319" i="5"/>
  <c r="J159" i="7" s="1"/>
  <c r="Q311" i="5"/>
  <c r="J353" i="7" s="1"/>
  <c r="Q303" i="5"/>
  <c r="J153" i="7" s="1"/>
  <c r="Q295" i="5"/>
  <c r="J38" i="7" s="1"/>
  <c r="Q287" i="5"/>
  <c r="J340" i="7" s="1"/>
  <c r="Q279" i="5"/>
  <c r="J147" i="7" s="1"/>
  <c r="Q263" i="5"/>
  <c r="J327" i="7" s="1"/>
  <c r="Q255" i="5"/>
  <c r="J323" i="7" s="1"/>
  <c r="Q247" i="5"/>
  <c r="J132" i="7" s="1"/>
  <c r="Q239" i="5"/>
  <c r="J31" i="7" s="1"/>
  <c r="Q231" i="5"/>
  <c r="J127" i="7" s="1"/>
  <c r="Q223" i="5"/>
  <c r="J309" i="7" s="1"/>
  <c r="Q215" i="5"/>
  <c r="J27" i="7" s="1"/>
  <c r="Q207" i="5"/>
  <c r="J301" i="7" s="1"/>
  <c r="Q199" i="5"/>
  <c r="J296" i="7" s="1"/>
  <c r="Q191" i="5"/>
  <c r="J112" i="7" s="1"/>
  <c r="Q183" i="5"/>
  <c r="J110" i="7" s="1"/>
  <c r="Q175" i="5"/>
  <c r="J280" i="7" s="1"/>
  <c r="Q159" i="5"/>
  <c r="J270" i="7" s="1"/>
  <c r="Q151" i="5"/>
  <c r="J22" i="7" s="1"/>
  <c r="Q143" i="5"/>
  <c r="J263" i="7" s="1"/>
  <c r="Q135" i="5"/>
  <c r="J94" i="7" s="1"/>
  <c r="Q127" i="5"/>
  <c r="J91" i="7" s="1"/>
  <c r="Q119" i="5"/>
  <c r="J247" i="7" s="1"/>
  <c r="Q111" i="5"/>
  <c r="J242" i="7" s="1"/>
  <c r="Q87" i="5"/>
  <c r="J78" i="7" s="1"/>
  <c r="Q79" i="5"/>
  <c r="J223" i="7" s="1"/>
  <c r="Q71" i="5"/>
  <c r="J73" i="7" s="1"/>
  <c r="Q63" i="5"/>
  <c r="J68" i="7" s="1"/>
  <c r="Q55" i="5"/>
  <c r="J212" i="7" s="1"/>
  <c r="Q39" i="5"/>
  <c r="J13" i="7" s="1"/>
  <c r="Q31" i="5"/>
  <c r="J11" i="7" s="1"/>
  <c r="Q23" i="5"/>
  <c r="J199" i="7" s="1"/>
  <c r="Q15" i="5"/>
  <c r="J193" i="7" s="1"/>
  <c r="M398" i="5"/>
  <c r="H400" i="7" s="1"/>
  <c r="M390" i="5"/>
  <c r="H395" i="7" s="1"/>
  <c r="M382" i="5"/>
  <c r="H182" i="7" s="1"/>
  <c r="M374" i="5"/>
  <c r="H178" i="7" s="1"/>
  <c r="M366" i="5"/>
  <c r="H381" i="7" s="1"/>
  <c r="M358" i="5"/>
  <c r="H377" i="7" s="1"/>
  <c r="M350" i="5"/>
  <c r="H171" i="7" s="1"/>
  <c r="M342" i="5"/>
  <c r="H168" i="7" s="1"/>
  <c r="M334" i="5"/>
  <c r="H363" i="7" s="1"/>
  <c r="M326" i="5"/>
  <c r="H357" i="7" s="1"/>
  <c r="M318" i="5"/>
  <c r="H355" i="7" s="1"/>
  <c r="M310" i="5"/>
  <c r="H155" i="7" s="1"/>
  <c r="M302" i="5"/>
  <c r="H152" i="7" s="1"/>
  <c r="M294" i="5"/>
  <c r="H344" i="7" s="1"/>
  <c r="M286" i="5"/>
  <c r="H37" i="7" s="1"/>
  <c r="M278" i="5"/>
  <c r="H146" i="7" s="1"/>
  <c r="M270" i="5"/>
  <c r="H331" i="7" s="1"/>
  <c r="M262" i="5"/>
  <c r="H140" i="7" s="1"/>
  <c r="M254" i="5"/>
  <c r="H136" i="7" s="1"/>
  <c r="M246" i="5"/>
  <c r="H320" i="7" s="1"/>
  <c r="M238" i="5"/>
  <c r="H30" i="7" s="1"/>
  <c r="M230" i="5"/>
  <c r="H29" i="7" s="1"/>
  <c r="M222" i="5"/>
  <c r="H308" i="7" s="1"/>
  <c r="M214" i="5"/>
  <c r="H121" i="7" s="1"/>
  <c r="M206" i="5"/>
  <c r="H118" i="7" s="1"/>
  <c r="M198" i="5"/>
  <c r="H295" i="7" s="1"/>
  <c r="M190" i="5"/>
  <c r="H291" i="7" s="1"/>
  <c r="M182" i="5"/>
  <c r="H285" i="7" s="1"/>
  <c r="M174" i="5"/>
  <c r="H107" i="7" s="1"/>
  <c r="M166" i="5"/>
  <c r="H275" i="7" s="1"/>
  <c r="M158" i="5"/>
  <c r="H269" i="7" s="1"/>
  <c r="M150" i="5"/>
  <c r="H266" i="7" s="1"/>
  <c r="M142" i="5"/>
  <c r="H262" i="7" s="1"/>
  <c r="M134" i="5"/>
  <c r="H258" i="7" s="1"/>
  <c r="M126" i="5"/>
  <c r="H253" i="7" s="1"/>
  <c r="M118" i="5"/>
  <c r="H89" i="7" s="1"/>
  <c r="M110" i="5"/>
  <c r="H241" i="7" s="1"/>
  <c r="M102" i="5"/>
  <c r="H236" i="7" s="1"/>
  <c r="M94" i="5"/>
  <c r="H231" i="7" s="1"/>
  <c r="M86" i="5"/>
  <c r="H19" i="7" s="1"/>
  <c r="M78" i="5"/>
  <c r="H17" i="7" s="1"/>
  <c r="M70" i="5"/>
  <c r="H72" i="7" s="1"/>
  <c r="M62" i="5"/>
  <c r="H216" i="7" s="1"/>
  <c r="M54" i="5"/>
  <c r="H211" i="7" s="1"/>
  <c r="M46" i="5"/>
  <c r="H206" i="7" s="1"/>
  <c r="M38" i="5"/>
  <c r="H61" i="7" s="1"/>
  <c r="M30" i="5"/>
  <c r="H10" i="7" s="1"/>
  <c r="M22" i="5"/>
  <c r="H198" i="7" s="1"/>
  <c r="M14" i="5"/>
  <c r="H54" i="7" s="1"/>
  <c r="Q379" i="5"/>
  <c r="J388" i="7" s="1"/>
  <c r="Q347" i="5"/>
  <c r="J170" i="7" s="1"/>
  <c r="Q315" i="5"/>
  <c r="J41" i="7" s="1"/>
  <c r="Q283" i="5"/>
  <c r="J36" i="7" s="1"/>
  <c r="Q251" i="5"/>
  <c r="J134" i="7" s="1"/>
  <c r="Q219" i="5"/>
  <c r="J306" i="7" s="1"/>
  <c r="Q187" i="5"/>
  <c r="J111" i="7" s="1"/>
  <c r="Q155" i="5"/>
  <c r="J23" i="7" s="1"/>
  <c r="Q122" i="5"/>
  <c r="J90" i="7" s="1"/>
  <c r="Q85" i="5"/>
  <c r="J227" i="7" s="1"/>
  <c r="Q91" i="5"/>
  <c r="J81" i="7" s="1"/>
  <c r="M370" i="5"/>
  <c r="H385" i="7" s="1"/>
  <c r="M314" i="5"/>
  <c r="H354" i="7" s="1"/>
  <c r="M258" i="5"/>
  <c r="H138" i="7" s="1"/>
  <c r="M202" i="5"/>
  <c r="H299" i="7" s="1"/>
  <c r="M170" i="5"/>
  <c r="H25" i="7" s="1"/>
  <c r="M114" i="5"/>
  <c r="H244" i="7" s="1"/>
  <c r="M58" i="5"/>
  <c r="H214" i="7" s="1"/>
  <c r="Q363" i="5"/>
  <c r="J175" i="7" s="1"/>
  <c r="Q67" i="5"/>
  <c r="J70" i="7" s="1"/>
  <c r="Q398" i="5"/>
  <c r="J400" i="7" s="1"/>
  <c r="Q390" i="5"/>
  <c r="J395" i="7" s="1"/>
  <c r="Q382" i="5"/>
  <c r="J182" i="7" s="1"/>
  <c r="Q374" i="5"/>
  <c r="J178" i="7" s="1"/>
  <c r="Q366" i="5"/>
  <c r="J381" i="7" s="1"/>
  <c r="Q350" i="5"/>
  <c r="J171" i="7" s="1"/>
  <c r="Q342" i="5"/>
  <c r="J168" i="7" s="1"/>
  <c r="Q334" i="5"/>
  <c r="J363" i="7" s="1"/>
  <c r="Q326" i="5"/>
  <c r="J357" i="7" s="1"/>
  <c r="Q318" i="5"/>
  <c r="J355" i="7" s="1"/>
  <c r="Q310" i="5"/>
  <c r="J155" i="7" s="1"/>
  <c r="Q302" i="5"/>
  <c r="J152" i="7" s="1"/>
  <c r="Q286" i="5"/>
  <c r="J37" i="7" s="1"/>
  <c r="Q278" i="5"/>
  <c r="J146" i="7" s="1"/>
  <c r="Q270" i="5"/>
  <c r="J331" i="7" s="1"/>
  <c r="Q262" i="5"/>
  <c r="J140" i="7" s="1"/>
  <c r="Q254" i="5"/>
  <c r="J136" i="7" s="1"/>
  <c r="Q246" i="5"/>
  <c r="J320" i="7" s="1"/>
  <c r="Q238" i="5"/>
  <c r="J30" i="7" s="1"/>
  <c r="Q222" i="5"/>
  <c r="J308" i="7" s="1"/>
  <c r="Q214" i="5"/>
  <c r="J121" i="7" s="1"/>
  <c r="Q206" i="5"/>
  <c r="J118" i="7" s="1"/>
  <c r="Q190" i="5"/>
  <c r="J291" i="7" s="1"/>
  <c r="Q182" i="5"/>
  <c r="J285" i="7" s="1"/>
  <c r="Q174" i="5"/>
  <c r="J107" i="7" s="1"/>
  <c r="Q166" i="5"/>
  <c r="J275" i="7" s="1"/>
  <c r="Q158" i="5"/>
  <c r="J269" i="7" s="1"/>
  <c r="Q150" i="5"/>
  <c r="J266" i="7" s="1"/>
  <c r="Q142" i="5"/>
  <c r="J262" i="7" s="1"/>
  <c r="M397" i="5"/>
  <c r="H399" i="7" s="1"/>
  <c r="M389" i="5"/>
  <c r="H184" i="7" s="1"/>
  <c r="M373" i="5"/>
  <c r="H177" i="7" s="1"/>
  <c r="M365" i="5"/>
  <c r="H380" i="7" s="1"/>
  <c r="M357" i="5"/>
  <c r="H376" i="7" s="1"/>
  <c r="M349" i="5"/>
  <c r="H371" i="7" s="1"/>
  <c r="M341" i="5"/>
  <c r="H45" i="7" s="1"/>
  <c r="M325" i="5"/>
  <c r="H43" i="7" s="1"/>
  <c r="M317" i="5"/>
  <c r="H158" i="7" s="1"/>
  <c r="M309" i="5"/>
  <c r="H352" i="7" s="1"/>
  <c r="M301" i="5"/>
  <c r="H348" i="7" s="1"/>
  <c r="M293" i="5"/>
  <c r="H343" i="7" s="1"/>
  <c r="M285" i="5"/>
  <c r="H339" i="7" s="1"/>
  <c r="M277" i="5"/>
  <c r="H334" i="7" s="1"/>
  <c r="M269" i="5"/>
  <c r="H330" i="7" s="1"/>
  <c r="M261" i="5"/>
  <c r="H326" i="7" s="1"/>
  <c r="M253" i="5"/>
  <c r="H135" i="7" s="1"/>
  <c r="M245" i="5"/>
  <c r="H131" i="7" s="1"/>
  <c r="M237" i="5"/>
  <c r="H316" i="7" s="1"/>
  <c r="M229" i="5"/>
  <c r="H312" i="7" s="1"/>
  <c r="M221" i="5"/>
  <c r="H307" i="7" s="1"/>
  <c r="M213" i="5"/>
  <c r="H120" i="7" s="1"/>
  <c r="M205" i="5"/>
  <c r="H117" i="7" s="1"/>
  <c r="M197" i="5"/>
  <c r="H294" i="7" s="1"/>
  <c r="M189" i="5"/>
  <c r="H290" i="7" s="1"/>
  <c r="M181" i="5"/>
  <c r="H284" i="7" s="1"/>
  <c r="M173" i="5"/>
  <c r="H279" i="7" s="1"/>
  <c r="M165" i="5"/>
  <c r="H274" i="7" s="1"/>
  <c r="M157" i="5"/>
  <c r="H24" i="7" s="1"/>
  <c r="M149" i="5"/>
  <c r="H100" i="7" s="1"/>
  <c r="M141" i="5"/>
  <c r="H97" i="7" s="1"/>
  <c r="M133" i="5"/>
  <c r="H257" i="7" s="1"/>
  <c r="M125" i="5"/>
  <c r="H252" i="7" s="1"/>
  <c r="M117" i="5"/>
  <c r="H246" i="7" s="1"/>
  <c r="M109" i="5"/>
  <c r="H240" i="7" s="1"/>
  <c r="M93" i="5"/>
  <c r="H230" i="7" s="1"/>
  <c r="M85" i="5"/>
  <c r="H227" i="7" s="1"/>
  <c r="M77" i="5"/>
  <c r="H76" i="7" s="1"/>
  <c r="M69" i="5"/>
  <c r="H219" i="7" s="1"/>
  <c r="M61" i="5"/>
  <c r="H215" i="7" s="1"/>
  <c r="M53" i="5"/>
  <c r="H210" i="7" s="1"/>
  <c r="M45" i="5"/>
  <c r="H63" i="7" s="1"/>
  <c r="M37" i="5"/>
  <c r="H60" i="7" s="1"/>
  <c r="M29" i="5"/>
  <c r="H9" i="7" s="1"/>
  <c r="M21" i="5"/>
  <c r="H55" i="7" s="1"/>
  <c r="M13" i="5"/>
  <c r="H53" i="7" s="1"/>
  <c r="M5" i="5"/>
  <c r="H190" i="7" s="1"/>
  <c r="Q346" i="5"/>
  <c r="J169" i="7" s="1"/>
  <c r="Q218" i="5"/>
  <c r="J28" i="7" s="1"/>
  <c r="Q186" i="5"/>
  <c r="J288" i="7" s="1"/>
  <c r="Q154" i="5"/>
  <c r="J268" i="7" s="1"/>
  <c r="Q121" i="5"/>
  <c r="J249" i="7" s="1"/>
  <c r="Q84" i="5"/>
  <c r="J226" i="7" s="1"/>
  <c r="Q47" i="5"/>
  <c r="J207" i="7" s="1"/>
  <c r="Q4" i="5"/>
  <c r="J189" i="7" s="1"/>
  <c r="Q99" i="5"/>
  <c r="J83" i="7" s="1"/>
  <c r="Q51" i="5"/>
  <c r="J65" i="7" s="1"/>
  <c r="M394" i="5"/>
  <c r="H397" i="7" s="1"/>
  <c r="M346" i="5"/>
  <c r="H169" i="7" s="1"/>
  <c r="M298" i="5"/>
  <c r="H345" i="7" s="1"/>
  <c r="M242" i="5"/>
  <c r="H32" i="7" s="1"/>
  <c r="M186" i="5"/>
  <c r="H288" i="7" s="1"/>
  <c r="M130" i="5"/>
  <c r="H256" i="7" s="1"/>
  <c r="M90" i="5"/>
  <c r="H228" i="7" s="1"/>
  <c r="M34" i="5"/>
  <c r="H202" i="7" s="1"/>
  <c r="Q299" i="5"/>
  <c r="J346" i="7" s="1"/>
  <c r="Q27" i="5"/>
  <c r="J56" i="7" s="1"/>
  <c r="Q397" i="5"/>
  <c r="J399" i="7" s="1"/>
  <c r="Q389" i="5"/>
  <c r="J184" i="7" s="1"/>
  <c r="Q373" i="5"/>
  <c r="J177" i="7" s="1"/>
  <c r="Q365" i="5"/>
  <c r="J380" i="7" s="1"/>
  <c r="Q349" i="5"/>
  <c r="J371" i="7" s="1"/>
  <c r="Q341" i="5"/>
  <c r="J45" i="7" s="1"/>
  <c r="Q325" i="5"/>
  <c r="J43" i="7" s="1"/>
  <c r="Q317" i="5"/>
  <c r="J158" i="7" s="1"/>
  <c r="Q309" i="5"/>
  <c r="J352" i="7" s="1"/>
  <c r="Q301" i="5"/>
  <c r="J348" i="7" s="1"/>
  <c r="Q293" i="5"/>
  <c r="J343" i="7" s="1"/>
  <c r="Q277" i="5"/>
  <c r="J334" i="7" s="1"/>
  <c r="Q269" i="5"/>
  <c r="J330" i="7" s="1"/>
  <c r="Q261" i="5"/>
  <c r="J326" i="7" s="1"/>
  <c r="Q253" i="5"/>
  <c r="J135" i="7" s="1"/>
  <c r="Q237" i="5"/>
  <c r="J316" i="7" s="1"/>
  <c r="Q229" i="5"/>
  <c r="J312" i="7" s="1"/>
  <c r="Q213" i="5"/>
  <c r="J120" i="7" s="1"/>
  <c r="Q205" i="5"/>
  <c r="J117" i="7" s="1"/>
  <c r="Q197" i="5"/>
  <c r="J294" i="7" s="1"/>
  <c r="Q189" i="5"/>
  <c r="J290" i="7" s="1"/>
  <c r="Q181" i="5"/>
  <c r="J284" i="7" s="1"/>
  <c r="Q173" i="5"/>
  <c r="J279" i="7" s="1"/>
  <c r="Q165" i="5"/>
  <c r="J274" i="7" s="1"/>
  <c r="Q157" i="5"/>
  <c r="J24" i="7" s="1"/>
  <c r="Q149" i="5"/>
  <c r="J100" i="7" s="1"/>
  <c r="Q141" i="5"/>
  <c r="J97" i="7" s="1"/>
  <c r="Q133" i="5"/>
  <c r="J257" i="7" s="1"/>
  <c r="Q125" i="5"/>
  <c r="J252" i="7" s="1"/>
  <c r="Q117" i="5"/>
  <c r="J246" i="7" s="1"/>
  <c r="Q109" i="5"/>
  <c r="J240" i="7" s="1"/>
  <c r="Q101" i="5"/>
  <c r="J84" i="7" s="1"/>
  <c r="Q77" i="5"/>
  <c r="J76" i="7" s="1"/>
  <c r="Q69" i="5"/>
  <c r="J219" i="7" s="1"/>
  <c r="Q61" i="5"/>
  <c r="J215" i="7" s="1"/>
  <c r="Q53" i="5"/>
  <c r="J210" i="7" s="1"/>
  <c r="Q45" i="5"/>
  <c r="J63" i="7" s="1"/>
  <c r="Q29" i="5"/>
  <c r="J9" i="7" s="1"/>
  <c r="Q21" i="5"/>
  <c r="J55" i="7" s="1"/>
  <c r="Q13" i="5"/>
  <c r="J53" i="7" s="1"/>
  <c r="Q5" i="5"/>
  <c r="J190" i="7" s="1"/>
  <c r="M396" i="5"/>
  <c r="H186" i="7" s="1"/>
  <c r="M388" i="5"/>
  <c r="H394" i="7" s="1"/>
  <c r="M380" i="5"/>
  <c r="H389" i="7" s="1"/>
  <c r="M372" i="5"/>
  <c r="H387" i="7" s="1"/>
  <c r="M364" i="5"/>
  <c r="H176" i="7" s="1"/>
  <c r="M356" i="5"/>
  <c r="H375" i="7" s="1"/>
  <c r="M348" i="5"/>
  <c r="H370" i="7" s="1"/>
  <c r="M340" i="5"/>
  <c r="H44" i="7" s="1"/>
  <c r="M332" i="5"/>
  <c r="H362" i="7" s="1"/>
  <c r="M324" i="5"/>
  <c r="H163" i="7" s="1"/>
  <c r="M316" i="5"/>
  <c r="H42" i="7" s="1"/>
  <c r="M308" i="5"/>
  <c r="H351" i="7" s="1"/>
  <c r="M300" i="5"/>
  <c r="H347" i="7" s="1"/>
  <c r="M292" i="5"/>
  <c r="H342" i="7" s="1"/>
  <c r="M284" i="5"/>
  <c r="H338" i="7" s="1"/>
  <c r="M276" i="5"/>
  <c r="H145" i="7" s="1"/>
  <c r="M268" i="5"/>
  <c r="H141" i="7" s="1"/>
  <c r="M252" i="5"/>
  <c r="H33" i="7" s="1"/>
  <c r="M244" i="5"/>
  <c r="H319" i="7" s="1"/>
  <c r="M236" i="5"/>
  <c r="H315" i="7" s="1"/>
  <c r="M228" i="5"/>
  <c r="H126" i="7" s="1"/>
  <c r="M220" i="5"/>
  <c r="H123" i="7" s="1"/>
  <c r="M212" i="5"/>
  <c r="H304" i="7" s="1"/>
  <c r="M204" i="5"/>
  <c r="H116" i="7" s="1"/>
  <c r="M196" i="5"/>
  <c r="H115" i="7" s="1"/>
  <c r="M188" i="5"/>
  <c r="H289" i="7" s="1"/>
  <c r="M180" i="5"/>
  <c r="H283" i="7" s="1"/>
  <c r="M172" i="5"/>
  <c r="H278" i="7" s="1"/>
  <c r="M164" i="5"/>
  <c r="H273" i="7" s="1"/>
  <c r="M156" i="5"/>
  <c r="H102" i="7" s="1"/>
  <c r="M148" i="5"/>
  <c r="H21" i="7" s="1"/>
  <c r="M140" i="5"/>
  <c r="H261" i="7" s="1"/>
  <c r="M132" i="5"/>
  <c r="H93" i="7" s="1"/>
  <c r="M116" i="5"/>
  <c r="H88" i="7" s="1"/>
  <c r="M108" i="5"/>
  <c r="H86" i="7" s="1"/>
  <c r="M100" i="5"/>
  <c r="H235" i="7" s="1"/>
  <c r="M92" i="5"/>
  <c r="H229" i="7" s="1"/>
  <c r="M84" i="5"/>
  <c r="H226" i="7" s="1"/>
  <c r="M76" i="5"/>
  <c r="H75" i="7" s="1"/>
  <c r="M68" i="5"/>
  <c r="H71" i="7" s="1"/>
  <c r="M60" i="5"/>
  <c r="H67" i="7" s="1"/>
  <c r="M52" i="5"/>
  <c r="H209" i="7" s="1"/>
  <c r="M44" i="5"/>
  <c r="H205" i="7" s="1"/>
  <c r="M36" i="5"/>
  <c r="H12" i="7" s="1"/>
  <c r="M28" i="5"/>
  <c r="H57" i="7" s="1"/>
  <c r="M20" i="5"/>
  <c r="H197" i="7" s="1"/>
  <c r="M12" i="5"/>
  <c r="H52" i="7" s="1"/>
  <c r="Q371" i="5"/>
  <c r="J386" i="7" s="1"/>
  <c r="Q339" i="5"/>
  <c r="J366" i="7" s="1"/>
  <c r="Q275" i="5"/>
  <c r="J333" i="7" s="1"/>
  <c r="Q243" i="5"/>
  <c r="J318" i="7" s="1"/>
  <c r="Q211" i="5"/>
  <c r="J303" i="7" s="1"/>
  <c r="Q179" i="5"/>
  <c r="J282" i="7" s="1"/>
  <c r="Q147" i="5"/>
  <c r="J99" i="7" s="1"/>
  <c r="Q113" i="5"/>
  <c r="J243" i="7" s="1"/>
  <c r="Q76" i="5"/>
  <c r="J75" i="7" s="1"/>
  <c r="Q37" i="5"/>
  <c r="J60" i="7" s="1"/>
  <c r="Q19" i="5"/>
  <c r="J6" i="7" s="1"/>
  <c r="M362" i="5"/>
  <c r="H174" i="7" s="1"/>
  <c r="M226" i="5"/>
  <c r="H125" i="7" s="1"/>
  <c r="M178" i="5"/>
  <c r="H281" i="7" s="1"/>
  <c r="M122" i="5"/>
  <c r="H90" i="7" s="1"/>
  <c r="M66" i="5"/>
  <c r="H69" i="7" s="1"/>
  <c r="M10" i="5"/>
  <c r="H191" i="7" s="1"/>
  <c r="Q396" i="5"/>
  <c r="J186" i="7" s="1"/>
  <c r="Q388" i="5"/>
  <c r="J394" i="7" s="1"/>
  <c r="Q380" i="5"/>
  <c r="J389" i="7" s="1"/>
  <c r="Q372" i="5"/>
  <c r="J387" i="7" s="1"/>
  <c r="Q364" i="5"/>
  <c r="J176" i="7" s="1"/>
  <c r="Q356" i="5"/>
  <c r="J375" i="7" s="1"/>
  <c r="Q348" i="5"/>
  <c r="J370" i="7" s="1"/>
  <c r="Q340" i="5"/>
  <c r="J44" i="7" s="1"/>
  <c r="Q332" i="5"/>
  <c r="J362" i="7" s="1"/>
  <c r="Q324" i="5"/>
  <c r="J163" i="7" s="1"/>
  <c r="Q316" i="5"/>
  <c r="J42" i="7" s="1"/>
  <c r="Q300" i="5"/>
  <c r="J347" i="7" s="1"/>
  <c r="Q292" i="5"/>
  <c r="J342" i="7" s="1"/>
  <c r="Q284" i="5"/>
  <c r="J338" i="7" s="1"/>
  <c r="Q276" i="5"/>
  <c r="J145" i="7" s="1"/>
  <c r="Q268" i="5"/>
  <c r="J141" i="7" s="1"/>
  <c r="Q252" i="5"/>
  <c r="J33" i="7" s="1"/>
  <c r="Q244" i="5"/>
  <c r="J319" i="7" s="1"/>
  <c r="Q236" i="5"/>
  <c r="J315" i="7" s="1"/>
  <c r="Q228" i="5"/>
  <c r="J126" i="7" s="1"/>
  <c r="Q220" i="5"/>
  <c r="J123" i="7" s="1"/>
  <c r="Q212" i="5"/>
  <c r="J304" i="7" s="1"/>
  <c r="Q204" i="5"/>
  <c r="J116" i="7" s="1"/>
  <c r="Q196" i="5"/>
  <c r="J115" i="7" s="1"/>
  <c r="Q188" i="5"/>
  <c r="J289" i="7" s="1"/>
  <c r="Q180" i="5"/>
  <c r="J283" i="7" s="1"/>
  <c r="Q172" i="5"/>
  <c r="J278" i="7" s="1"/>
  <c r="Q164" i="5"/>
  <c r="J273" i="7" s="1"/>
  <c r="Q156" i="5"/>
  <c r="J102" i="7" s="1"/>
  <c r="Q148" i="5"/>
  <c r="J21" i="7" s="1"/>
  <c r="Q140" i="5"/>
  <c r="J261" i="7" s="1"/>
  <c r="Q132" i="5"/>
  <c r="J93" i="7" s="1"/>
  <c r="Q124" i="5"/>
  <c r="J251" i="7" s="1"/>
  <c r="Q116" i="5"/>
  <c r="J88" i="7" s="1"/>
  <c r="Q108" i="5"/>
  <c r="J86" i="7" s="1"/>
  <c r="Q100" i="5"/>
  <c r="J235" i="7" s="1"/>
  <c r="Q92" i="5"/>
  <c r="J229" i="7" s="1"/>
  <c r="Q68" i="5"/>
  <c r="J71" i="7" s="1"/>
  <c r="Q60" i="5"/>
  <c r="J67" i="7" s="1"/>
  <c r="Q52" i="5"/>
  <c r="J209" i="7" s="1"/>
  <c r="Q44" i="5"/>
  <c r="J205" i="7" s="1"/>
  <c r="Q28" i="5"/>
  <c r="J57" i="7" s="1"/>
  <c r="Q20" i="5"/>
  <c r="J197" i="7" s="1"/>
  <c r="Q12" i="5"/>
  <c r="J52" i="7" s="1"/>
  <c r="M395" i="5"/>
  <c r="H398" i="7" s="1"/>
  <c r="M387" i="5"/>
  <c r="H393" i="7" s="1"/>
  <c r="M379" i="5"/>
  <c r="H388" i="7" s="1"/>
  <c r="M371" i="5"/>
  <c r="H386" i="7" s="1"/>
  <c r="M363" i="5"/>
  <c r="H175" i="7" s="1"/>
  <c r="M355" i="5"/>
  <c r="H172" i="7" s="1"/>
  <c r="M347" i="5"/>
  <c r="H170" i="7" s="1"/>
  <c r="M339" i="5"/>
  <c r="H366" i="7" s="1"/>
  <c r="M331" i="5"/>
  <c r="H164" i="7" s="1"/>
  <c r="M323" i="5"/>
  <c r="H356" i="7" s="1"/>
  <c r="M315" i="5"/>
  <c r="H41" i="7" s="1"/>
  <c r="M307" i="5"/>
  <c r="H154" i="7" s="1"/>
  <c r="M299" i="5"/>
  <c r="H346" i="7" s="1"/>
  <c r="M291" i="5"/>
  <c r="H150" i="7" s="1"/>
  <c r="M283" i="5"/>
  <c r="H36" i="7" s="1"/>
  <c r="M275" i="5"/>
  <c r="H333" i="7" s="1"/>
  <c r="M267" i="5"/>
  <c r="H329" i="7" s="1"/>
  <c r="M259" i="5"/>
  <c r="H325" i="7" s="1"/>
  <c r="M251" i="5"/>
  <c r="H134" i="7" s="1"/>
  <c r="M243" i="5"/>
  <c r="H318" i="7" s="1"/>
  <c r="M235" i="5"/>
  <c r="H314" i="7" s="1"/>
  <c r="M227" i="5"/>
  <c r="H311" i="7" s="1"/>
  <c r="M219" i="5"/>
  <c r="H306" i="7" s="1"/>
  <c r="M211" i="5"/>
  <c r="H303" i="7" s="1"/>
  <c r="M203" i="5"/>
  <c r="H300" i="7" s="1"/>
  <c r="M195" i="5"/>
  <c r="H293" i="7" s="1"/>
  <c r="M179" i="5"/>
  <c r="H282" i="7" s="1"/>
  <c r="M171" i="5"/>
  <c r="H277" i="7" s="1"/>
  <c r="M163" i="5"/>
  <c r="H104" i="7" s="1"/>
  <c r="M155" i="5"/>
  <c r="H23" i="7" s="1"/>
  <c r="M147" i="5"/>
  <c r="H99" i="7" s="1"/>
  <c r="M139" i="5"/>
  <c r="H260" i="7" s="1"/>
  <c r="M131" i="5"/>
  <c r="H92" i="7" s="1"/>
  <c r="M123" i="5"/>
  <c r="H250" i="7" s="1"/>
  <c r="M115" i="5"/>
  <c r="H245" i="7" s="1"/>
  <c r="M107" i="5"/>
  <c r="H85" i="7" s="1"/>
  <c r="M99" i="5"/>
  <c r="H83" i="7" s="1"/>
  <c r="M91" i="5"/>
  <c r="H81" i="7" s="1"/>
  <c r="M83" i="5"/>
  <c r="H18" i="7" s="1"/>
  <c r="M75" i="5"/>
  <c r="H222" i="7" s="1"/>
  <c r="M67" i="5"/>
  <c r="H70" i="7" s="1"/>
  <c r="M59" i="5"/>
  <c r="H66" i="7" s="1"/>
  <c r="M51" i="5"/>
  <c r="H65" i="7" s="1"/>
  <c r="M43" i="5"/>
  <c r="H14" i="7" s="1"/>
  <c r="M35" i="5"/>
  <c r="H59" i="7" s="1"/>
  <c r="M27" i="5"/>
  <c r="H56" i="7" s="1"/>
  <c r="M19" i="5"/>
  <c r="H6" i="7" s="1"/>
  <c r="M11" i="5"/>
  <c r="H192" i="7" s="1"/>
  <c r="Q402" i="5"/>
  <c r="J403" i="7" s="1"/>
  <c r="Q338" i="5"/>
  <c r="J167" i="7" s="1"/>
  <c r="Q306" i="5"/>
  <c r="J350" i="7" s="1"/>
  <c r="Q274" i="5"/>
  <c r="J144" i="7" s="1"/>
  <c r="Q242" i="5"/>
  <c r="J32" i="7" s="1"/>
  <c r="Q210" i="5"/>
  <c r="J119" i="7" s="1"/>
  <c r="Q178" i="5"/>
  <c r="J281" i="7" s="1"/>
  <c r="Q146" i="5"/>
  <c r="J98" i="7" s="1"/>
  <c r="Q112" i="5"/>
  <c r="J87" i="7" s="1"/>
  <c r="Q75" i="5"/>
  <c r="J222" i="7" s="1"/>
  <c r="Q36" i="5"/>
  <c r="J12" i="7" s="1"/>
  <c r="M3" i="5"/>
  <c r="H188" i="7" s="1"/>
  <c r="M361" i="5"/>
  <c r="H379" i="7" s="1"/>
  <c r="M289" i="5"/>
  <c r="H341" i="7" s="1"/>
  <c r="M233" i="5"/>
  <c r="H313" i="7" s="1"/>
  <c r="M193" i="5"/>
  <c r="H113" i="7" s="1"/>
  <c r="M129" i="5"/>
  <c r="H255" i="7" s="1"/>
  <c r="M73" i="5"/>
  <c r="H74" i="7" s="1"/>
  <c r="M345" i="5"/>
  <c r="H369" i="7" s="1"/>
  <c r="M297" i="5"/>
  <c r="H39" i="7" s="1"/>
  <c r="M241" i="5"/>
  <c r="H317" i="7" s="1"/>
  <c r="M201" i="5"/>
  <c r="H298" i="7" s="1"/>
  <c r="M145" i="5"/>
  <c r="H265" i="7" s="1"/>
  <c r="M89" i="5"/>
  <c r="H80" i="7" s="1"/>
  <c r="M41" i="5"/>
  <c r="H62" i="7" s="1"/>
  <c r="M17" i="5"/>
  <c r="H195" i="7" s="1"/>
  <c r="M401" i="5"/>
  <c r="H402" i="7" s="1"/>
  <c r="M337" i="5"/>
  <c r="H365" i="7" s="1"/>
  <c r="M281" i="5"/>
  <c r="H336" i="7" s="1"/>
  <c r="M225" i="5"/>
  <c r="H310" i="7" s="1"/>
  <c r="M169" i="5"/>
  <c r="H276" i="7" s="1"/>
  <c r="M97" i="5"/>
  <c r="H233" i="7" s="1"/>
  <c r="M25" i="5"/>
  <c r="H7" i="7" s="1"/>
  <c r="M385" i="5"/>
  <c r="H391" i="7" s="1"/>
  <c r="M329" i="5"/>
  <c r="H360" i="7" s="1"/>
  <c r="M273" i="5"/>
  <c r="H143" i="7" s="1"/>
  <c r="M217" i="5"/>
  <c r="H122" i="7" s="1"/>
  <c r="M153" i="5"/>
  <c r="H267" i="7" s="1"/>
  <c r="M113" i="5"/>
  <c r="H243" i="7" s="1"/>
  <c r="M49" i="5"/>
  <c r="H64" i="7" s="1"/>
  <c r="M393" i="5"/>
  <c r="H49" i="7" s="1"/>
  <c r="M353" i="5"/>
  <c r="H46" i="7" s="1"/>
  <c r="M305" i="5"/>
  <c r="H40" i="7" s="1"/>
  <c r="M249" i="5"/>
  <c r="H133" i="7" s="1"/>
  <c r="M177" i="5"/>
  <c r="H109" i="7" s="1"/>
  <c r="M137" i="5"/>
  <c r="H259" i="7" s="1"/>
  <c r="M81" i="5"/>
  <c r="H77" i="7" s="1"/>
  <c r="M33" i="5"/>
  <c r="H58" i="7" s="1"/>
  <c r="M9" i="5"/>
  <c r="H5" i="7" s="1"/>
  <c r="M377" i="5"/>
  <c r="H48" i="7" s="1"/>
  <c r="M321" i="5"/>
  <c r="H161" i="7" s="1"/>
  <c r="M265" i="5"/>
  <c r="H34" i="7" s="1"/>
  <c r="M209" i="5"/>
  <c r="H302" i="7" s="1"/>
  <c r="M161" i="5"/>
  <c r="H103" i="7" s="1"/>
  <c r="M105" i="5"/>
  <c r="H238" i="7" s="1"/>
  <c r="M57" i="5"/>
  <c r="H213" i="7" s="1"/>
  <c r="Q126" i="5"/>
  <c r="J253" i="7" s="1"/>
  <c r="Q118" i="5"/>
  <c r="J89" i="7" s="1"/>
  <c r="Q110" i="5"/>
  <c r="J241" i="7" s="1"/>
  <c r="Q102" i="5"/>
  <c r="J236" i="7" s="1"/>
  <c r="Q94" i="5"/>
  <c r="J231" i="7" s="1"/>
  <c r="Q86" i="5"/>
  <c r="J19" i="7" s="1"/>
  <c r="Q78" i="5"/>
  <c r="J17" i="7" s="1"/>
  <c r="Q70" i="5"/>
  <c r="J72" i="7" s="1"/>
  <c r="Q62" i="5"/>
  <c r="J216" i="7" s="1"/>
  <c r="Q54" i="5"/>
  <c r="J211" i="7" s="1"/>
  <c r="Q46" i="5"/>
  <c r="J206" i="7" s="1"/>
  <c r="Q38" i="5"/>
  <c r="J61" i="7" s="1"/>
  <c r="Q30" i="5"/>
  <c r="J10" i="7" s="1"/>
  <c r="Q22" i="5"/>
  <c r="J198" i="7" s="1"/>
  <c r="Q14" i="5"/>
  <c r="J54" i="7" s="1"/>
  <c r="Q6" i="5"/>
  <c r="J4" i="7" s="1"/>
  <c r="M369" i="5"/>
  <c r="H384" i="7" s="1"/>
  <c r="M313" i="5"/>
  <c r="H157" i="7" s="1"/>
  <c r="M257" i="5"/>
  <c r="H324" i="7" s="1"/>
  <c r="M185" i="5"/>
  <c r="H287" i="7" s="1"/>
  <c r="M121" i="5"/>
  <c r="H249" i="7" s="1"/>
  <c r="M65" i="5"/>
  <c r="H218" i="7" s="1"/>
  <c r="I258" i="2"/>
  <c r="E240" i="2"/>
  <c r="H240" i="2" s="1"/>
  <c r="C240" i="5" s="1"/>
  <c r="E232" i="2"/>
  <c r="H232" i="2" s="1"/>
  <c r="C232" i="5" s="1"/>
  <c r="I120" i="2"/>
  <c r="E111" i="2"/>
  <c r="H111" i="2" s="1"/>
  <c r="C111" i="5" s="1"/>
  <c r="K9" i="2"/>
  <c r="E80" i="2"/>
  <c r="H80" i="2" s="1"/>
  <c r="C80" i="5" s="1"/>
  <c r="K49" i="2"/>
  <c r="I227" i="2"/>
  <c r="I147" i="2"/>
  <c r="E82" i="2"/>
  <c r="K75" i="2"/>
  <c r="E74" i="2"/>
  <c r="H74" i="2" s="1"/>
  <c r="C74" i="5" s="1"/>
  <c r="E50" i="2"/>
  <c r="H50" i="2" s="1"/>
  <c r="C50" i="5" s="1"/>
  <c r="E261" i="2"/>
  <c r="H261" i="2" s="1"/>
  <c r="C261" i="5" s="1"/>
  <c r="E278" i="2"/>
  <c r="H278" i="2" s="1"/>
  <c r="C278" i="5" s="1"/>
  <c r="K7" i="2"/>
  <c r="I6" i="2"/>
  <c r="E300" i="2"/>
  <c r="H300" i="2" s="1"/>
  <c r="C300" i="5" s="1"/>
  <c r="E284" i="2"/>
  <c r="H284" i="2" s="1"/>
  <c r="C284" i="5" s="1"/>
  <c r="K83" i="2"/>
  <c r="E58" i="2"/>
  <c r="H58" i="2" s="1"/>
  <c r="C58" i="5" s="1"/>
  <c r="E8" i="2"/>
  <c r="H8" i="2" s="1"/>
  <c r="C8" i="5" s="1"/>
  <c r="K263" i="2"/>
  <c r="I222" i="2"/>
  <c r="I214" i="2"/>
  <c r="E295" i="2"/>
  <c r="H295" i="2" s="1"/>
  <c r="C295" i="5" s="1"/>
  <c r="E230" i="2"/>
  <c r="H230" i="2" s="1"/>
  <c r="C230" i="5" s="1"/>
  <c r="I116" i="2"/>
  <c r="I110" i="2"/>
  <c r="I108" i="2"/>
  <c r="I100" i="2"/>
  <c r="I92" i="2"/>
  <c r="E401" i="2"/>
  <c r="H401" i="2" s="1"/>
  <c r="C401" i="5" s="1"/>
  <c r="E207" i="2"/>
  <c r="H207" i="2" s="1"/>
  <c r="C207" i="5" s="1"/>
  <c r="E14" i="2"/>
  <c r="H14" i="2" s="1"/>
  <c r="C14" i="5" s="1"/>
  <c r="E402" i="2"/>
  <c r="E397" i="2"/>
  <c r="H397" i="2" s="1"/>
  <c r="C397" i="5" s="1"/>
  <c r="E293" i="2"/>
  <c r="H293" i="2" s="1"/>
  <c r="C293" i="5" s="1"/>
  <c r="K139" i="2"/>
  <c r="E138" i="2"/>
  <c r="H138" i="2" s="1"/>
  <c r="C138" i="5" s="1"/>
  <c r="E78" i="2"/>
  <c r="H78" i="2" s="1"/>
  <c r="C78" i="5" s="1"/>
  <c r="I22" i="2"/>
  <c r="E132" i="2"/>
  <c r="H132" i="2" s="1"/>
  <c r="C132" i="5" s="1"/>
  <c r="K73" i="2"/>
  <c r="K65" i="2"/>
  <c r="K57" i="2"/>
  <c r="K41" i="2"/>
  <c r="E38" i="2"/>
  <c r="H38" i="2" s="1"/>
  <c r="C38" i="5" s="1"/>
  <c r="E4" i="2"/>
  <c r="H4" i="2" s="1"/>
  <c r="C4" i="5" s="1"/>
  <c r="I240" i="2"/>
  <c r="K51" i="2"/>
  <c r="I16" i="2"/>
  <c r="I400" i="2"/>
  <c r="E239" i="2"/>
  <c r="H239" i="2" s="1"/>
  <c r="C239" i="5" s="1"/>
  <c r="I232" i="2"/>
  <c r="I106" i="2"/>
  <c r="I98" i="2"/>
  <c r="I90" i="2"/>
  <c r="E73" i="2"/>
  <c r="H73" i="2" s="1"/>
  <c r="C73" i="5" s="1"/>
  <c r="K67" i="2"/>
  <c r="K33" i="2"/>
  <c r="K25" i="2"/>
  <c r="K17" i="2"/>
  <c r="K299" i="2"/>
  <c r="I10" i="2"/>
  <c r="E398" i="2"/>
  <c r="H398" i="2" s="1"/>
  <c r="C398" i="5" s="1"/>
  <c r="E84" i="2"/>
  <c r="H84" i="2" s="1"/>
  <c r="C84" i="5" s="1"/>
  <c r="K53" i="2"/>
  <c r="K35" i="2"/>
  <c r="E34" i="2"/>
  <c r="K11" i="2"/>
  <c r="K397" i="2"/>
  <c r="I395" i="2"/>
  <c r="E121" i="2"/>
  <c r="H121" i="2" s="1"/>
  <c r="C121" i="5" s="1"/>
  <c r="I112" i="2"/>
  <c r="I87" i="2"/>
  <c r="K37" i="2"/>
  <c r="I12" i="2"/>
  <c r="K345" i="2"/>
  <c r="E286" i="2"/>
  <c r="H286" i="2" s="1"/>
  <c r="C286" i="5" s="1"/>
  <c r="E277" i="2"/>
  <c r="H277" i="2" s="1"/>
  <c r="C277" i="5" s="1"/>
  <c r="I251" i="2"/>
  <c r="I243" i="2"/>
  <c r="E209" i="2"/>
  <c r="H209" i="2" s="1"/>
  <c r="C209" i="5" s="1"/>
  <c r="E201" i="2"/>
  <c r="H201" i="2" s="1"/>
  <c r="C201" i="5" s="1"/>
  <c r="I130" i="2"/>
  <c r="E119" i="2"/>
  <c r="H119" i="2" s="1"/>
  <c r="C119" i="5" s="1"/>
  <c r="E118" i="2"/>
  <c r="H118" i="2" s="1"/>
  <c r="C118" i="5" s="1"/>
  <c r="K55" i="2"/>
  <c r="K45" i="2"/>
  <c r="K337" i="2"/>
  <c r="E93" i="2"/>
  <c r="H93" i="2" s="1"/>
  <c r="C93" i="5" s="1"/>
  <c r="E26" i="2"/>
  <c r="H26" i="2" s="1"/>
  <c r="C26" i="5" s="1"/>
  <c r="K5" i="2"/>
  <c r="E280" i="2"/>
  <c r="H280" i="2" s="1"/>
  <c r="C280" i="5" s="1"/>
  <c r="K273" i="2"/>
  <c r="E272" i="2"/>
  <c r="H272" i="2" s="1"/>
  <c r="C272" i="5" s="1"/>
  <c r="I271" i="2"/>
  <c r="E254" i="2"/>
  <c r="H254" i="2" s="1"/>
  <c r="C254" i="5" s="1"/>
  <c r="E246" i="2"/>
  <c r="H246" i="2" s="1"/>
  <c r="C246" i="5" s="1"/>
  <c r="I237" i="2"/>
  <c r="I102" i="2"/>
  <c r="I94" i="2"/>
  <c r="K69" i="2"/>
  <c r="E66" i="2"/>
  <c r="H66" i="2" s="1"/>
  <c r="C66" i="5" s="1"/>
  <c r="K29" i="2"/>
  <c r="E16" i="2"/>
  <c r="H16" i="2" s="1"/>
  <c r="C16" i="5" s="1"/>
  <c r="K313" i="2"/>
  <c r="E203" i="2"/>
  <c r="H203" i="2" s="1"/>
  <c r="C203" i="5" s="1"/>
  <c r="I124" i="2"/>
  <c r="K59" i="2"/>
  <c r="K39" i="2"/>
  <c r="K21" i="2"/>
  <c r="E18" i="2"/>
  <c r="H18" i="2" s="1"/>
  <c r="C18" i="5" s="1"/>
  <c r="I8" i="2"/>
  <c r="K353" i="2"/>
  <c r="K329" i="2"/>
  <c r="K305" i="2"/>
  <c r="K133" i="2"/>
  <c r="E101" i="2"/>
  <c r="H101" i="2" s="1"/>
  <c r="C101" i="5" s="1"/>
  <c r="I255" i="2"/>
  <c r="E394" i="2"/>
  <c r="H394" i="2" s="1"/>
  <c r="C394" i="5" s="1"/>
  <c r="E386" i="2"/>
  <c r="H386" i="2" s="1"/>
  <c r="C386" i="5" s="1"/>
  <c r="E378" i="2"/>
  <c r="H378" i="2" s="1"/>
  <c r="C378" i="5" s="1"/>
  <c r="E370" i="2"/>
  <c r="H370" i="2" s="1"/>
  <c r="C370" i="5" s="1"/>
  <c r="E362" i="2"/>
  <c r="H362" i="2" s="1"/>
  <c r="C362" i="5" s="1"/>
  <c r="E354" i="2"/>
  <c r="H354" i="2" s="1"/>
  <c r="C354" i="5" s="1"/>
  <c r="E346" i="2"/>
  <c r="H346" i="2" s="1"/>
  <c r="C346" i="5" s="1"/>
  <c r="E338" i="2"/>
  <c r="H338" i="2" s="1"/>
  <c r="C338" i="5" s="1"/>
  <c r="E330" i="2"/>
  <c r="H330" i="2" s="1"/>
  <c r="C330" i="5" s="1"/>
  <c r="E322" i="2"/>
  <c r="H322" i="2" s="1"/>
  <c r="C322" i="5" s="1"/>
  <c r="E314" i="2"/>
  <c r="H314" i="2" s="1"/>
  <c r="C314" i="5" s="1"/>
  <c r="E306" i="2"/>
  <c r="H306" i="2" s="1"/>
  <c r="C306" i="5" s="1"/>
  <c r="I265" i="2"/>
  <c r="E257" i="2"/>
  <c r="E256" i="2"/>
  <c r="H256" i="2" s="1"/>
  <c r="C256" i="5" s="1"/>
  <c r="E249" i="2"/>
  <c r="H249" i="2" s="1"/>
  <c r="C249" i="5" s="1"/>
  <c r="E241" i="2"/>
  <c r="H241" i="2" s="1"/>
  <c r="C241" i="5" s="1"/>
  <c r="I104" i="2"/>
  <c r="I96" i="2"/>
  <c r="K81" i="2"/>
  <c r="K71" i="2"/>
  <c r="K61" i="2"/>
  <c r="I387" i="2"/>
  <c r="I379" i="2"/>
  <c r="I371" i="2"/>
  <c r="I363" i="2"/>
  <c r="I355" i="2"/>
  <c r="I347" i="2"/>
  <c r="I339" i="2"/>
  <c r="I331" i="2"/>
  <c r="I323" i="2"/>
  <c r="I315" i="2"/>
  <c r="I307" i="2"/>
  <c r="E283" i="2"/>
  <c r="H283" i="2" s="1"/>
  <c r="C283" i="5" s="1"/>
  <c r="I89" i="2"/>
  <c r="K361" i="2"/>
  <c r="K321" i="2"/>
  <c r="E211" i="2"/>
  <c r="H211" i="2" s="1"/>
  <c r="C211" i="5" s="1"/>
  <c r="I390" i="2"/>
  <c r="I382" i="2"/>
  <c r="I374" i="2"/>
  <c r="I366" i="2"/>
  <c r="I358" i="2"/>
  <c r="I350" i="2"/>
  <c r="I342" i="2"/>
  <c r="I334" i="2"/>
  <c r="I326" i="2"/>
  <c r="I318" i="2"/>
  <c r="I310" i="2"/>
  <c r="I302" i="2"/>
  <c r="I277" i="2"/>
  <c r="I275" i="2"/>
  <c r="I267" i="2"/>
  <c r="I244" i="2"/>
  <c r="E242" i="2"/>
  <c r="H242" i="2" s="1"/>
  <c r="C242" i="5" s="1"/>
  <c r="K235" i="2"/>
  <c r="E136" i="2"/>
  <c r="H136" i="2" s="1"/>
  <c r="C136" i="5" s="1"/>
  <c r="E127" i="2"/>
  <c r="H127" i="2" s="1"/>
  <c r="C127" i="5" s="1"/>
  <c r="E116" i="2"/>
  <c r="H116" i="2" s="1"/>
  <c r="C116" i="5" s="1"/>
  <c r="E42" i="2"/>
  <c r="H42" i="2" s="1"/>
  <c r="C42" i="5" s="1"/>
  <c r="K23" i="2"/>
  <c r="E22" i="2"/>
  <c r="H22" i="2" s="1"/>
  <c r="C22" i="5" s="1"/>
  <c r="K15" i="2"/>
  <c r="I14" i="2"/>
  <c r="E10" i="2"/>
  <c r="H10" i="2" s="1"/>
  <c r="C10" i="5" s="1"/>
  <c r="K279" i="2"/>
  <c r="I279" i="2"/>
  <c r="K231" i="2"/>
  <c r="E228" i="2"/>
  <c r="H228" i="2" s="1"/>
  <c r="C228" i="5" s="1"/>
  <c r="E220" i="2"/>
  <c r="H220" i="2" s="1"/>
  <c r="C220" i="5" s="1"/>
  <c r="E212" i="2"/>
  <c r="H212" i="2" s="1"/>
  <c r="C212" i="5" s="1"/>
  <c r="K206" i="2"/>
  <c r="E204" i="2"/>
  <c r="H204" i="2" s="1"/>
  <c r="C204" i="5" s="1"/>
  <c r="K198" i="2"/>
  <c r="E196" i="2"/>
  <c r="H196" i="2" s="1"/>
  <c r="C196" i="5" s="1"/>
  <c r="K190" i="2"/>
  <c r="E188" i="2"/>
  <c r="H188" i="2" s="1"/>
  <c r="C188" i="5" s="1"/>
  <c r="K182" i="2"/>
  <c r="E180" i="2"/>
  <c r="H180" i="2" s="1"/>
  <c r="C180" i="5" s="1"/>
  <c r="K174" i="2"/>
  <c r="E172" i="2"/>
  <c r="H172" i="2" s="1"/>
  <c r="C172" i="5" s="1"/>
  <c r="K166" i="2"/>
  <c r="E164" i="2"/>
  <c r="H164" i="2" s="1"/>
  <c r="C164" i="5" s="1"/>
  <c r="K158" i="2"/>
  <c r="K149" i="2"/>
  <c r="E148" i="2"/>
  <c r="H148" i="2" s="1"/>
  <c r="C148" i="5" s="1"/>
  <c r="K77" i="2"/>
  <c r="I77" i="2"/>
  <c r="K47" i="2"/>
  <c r="K396" i="2"/>
  <c r="E395" i="2"/>
  <c r="H395" i="2" s="1"/>
  <c r="C395" i="5" s="1"/>
  <c r="I388" i="2"/>
  <c r="E387" i="2"/>
  <c r="H387" i="2" s="1"/>
  <c r="C387" i="5" s="1"/>
  <c r="E291" i="2"/>
  <c r="H291" i="2" s="1"/>
  <c r="C291" i="5" s="1"/>
  <c r="E248" i="2"/>
  <c r="H248" i="2" s="1"/>
  <c r="C248" i="5" s="1"/>
  <c r="K241" i="2"/>
  <c r="E238" i="2"/>
  <c r="H238" i="2" s="1"/>
  <c r="C238" i="5" s="1"/>
  <c r="E103" i="2"/>
  <c r="H103" i="2" s="1"/>
  <c r="C103" i="5" s="1"/>
  <c r="E95" i="2"/>
  <c r="H95" i="2" s="1"/>
  <c r="C95" i="5" s="1"/>
  <c r="K79" i="2"/>
  <c r="E76" i="2"/>
  <c r="H76" i="2" s="1"/>
  <c r="C76" i="5" s="1"/>
  <c r="E105" i="2"/>
  <c r="H105" i="2" s="1"/>
  <c r="C105" i="5" s="1"/>
  <c r="H82" i="2"/>
  <c r="C82" i="5" s="1"/>
  <c r="K31" i="2"/>
  <c r="E107" i="2"/>
  <c r="H107" i="2" s="1"/>
  <c r="C107" i="5" s="1"/>
  <c r="E99" i="2"/>
  <c r="H99" i="2" s="1"/>
  <c r="C99" i="5" s="1"/>
  <c r="E91" i="2"/>
  <c r="H91" i="2" s="1"/>
  <c r="C91" i="5" s="1"/>
  <c r="K63" i="2"/>
  <c r="I320" i="2"/>
  <c r="I312" i="2"/>
  <c r="I304" i="2"/>
  <c r="E282" i="2"/>
  <c r="H282" i="2" s="1"/>
  <c r="C282" i="5" s="1"/>
  <c r="E281" i="2"/>
  <c r="H281" i="2" s="1"/>
  <c r="C281" i="5" s="1"/>
  <c r="E271" i="2"/>
  <c r="H271" i="2" s="1"/>
  <c r="C271" i="5" s="1"/>
  <c r="E260" i="2"/>
  <c r="H260" i="2" s="1"/>
  <c r="C260" i="5" s="1"/>
  <c r="I259" i="2"/>
  <c r="E250" i="2"/>
  <c r="H250" i="2" s="1"/>
  <c r="C250" i="5" s="1"/>
  <c r="E222" i="2"/>
  <c r="H222" i="2" s="1"/>
  <c r="C222" i="5" s="1"/>
  <c r="E214" i="2"/>
  <c r="H214" i="2" s="1"/>
  <c r="C214" i="5" s="1"/>
  <c r="K208" i="2"/>
  <c r="E206" i="2"/>
  <c r="H206" i="2" s="1"/>
  <c r="C206" i="5" s="1"/>
  <c r="K200" i="2"/>
  <c r="E198" i="2"/>
  <c r="H198" i="2" s="1"/>
  <c r="C198" i="5" s="1"/>
  <c r="K192" i="2"/>
  <c r="E190" i="2"/>
  <c r="K184" i="2"/>
  <c r="E182" i="2"/>
  <c r="H182" i="2" s="1"/>
  <c r="C182" i="5" s="1"/>
  <c r="K176" i="2"/>
  <c r="E174" i="2"/>
  <c r="H174" i="2" s="1"/>
  <c r="C174" i="5" s="1"/>
  <c r="K168" i="2"/>
  <c r="E166" i="2"/>
  <c r="H166" i="2" s="1"/>
  <c r="C166" i="5" s="1"/>
  <c r="K160" i="2"/>
  <c r="E158" i="2"/>
  <c r="H158" i="2" s="1"/>
  <c r="C158" i="5" s="1"/>
  <c r="K152" i="2"/>
  <c r="K144" i="2"/>
  <c r="E131" i="2"/>
  <c r="H131" i="2" s="1"/>
  <c r="C131" i="5" s="1"/>
  <c r="E130" i="2"/>
  <c r="H130" i="2" s="1"/>
  <c r="C130" i="5" s="1"/>
  <c r="K122" i="2"/>
  <c r="K86" i="2"/>
  <c r="K85" i="2"/>
  <c r="I82" i="2"/>
  <c r="E64" i="2"/>
  <c r="H64" i="2" s="1"/>
  <c r="C64" i="5" s="1"/>
  <c r="E48" i="2"/>
  <c r="H48" i="2" s="1"/>
  <c r="C48" i="5" s="1"/>
  <c r="E32" i="2"/>
  <c r="I20" i="2"/>
  <c r="E6" i="2"/>
  <c r="H6" i="2" s="1"/>
  <c r="C6" i="5" s="1"/>
  <c r="K385" i="2"/>
  <c r="K402" i="2"/>
  <c r="K377" i="2"/>
  <c r="K369" i="2"/>
  <c r="I297" i="2"/>
  <c r="E285" i="2"/>
  <c r="H285" i="2" s="1"/>
  <c r="C285" i="5" s="1"/>
  <c r="E273" i="2"/>
  <c r="H273" i="2" s="1"/>
  <c r="C273" i="5" s="1"/>
  <c r="E252" i="2"/>
  <c r="H252" i="2" s="1"/>
  <c r="C252" i="5" s="1"/>
  <c r="E244" i="2"/>
  <c r="H244" i="2" s="1"/>
  <c r="C244" i="5" s="1"/>
  <c r="E234" i="2"/>
  <c r="H234" i="2" s="1"/>
  <c r="C234" i="5" s="1"/>
  <c r="E224" i="2"/>
  <c r="H224" i="2" s="1"/>
  <c r="C224" i="5" s="1"/>
  <c r="E216" i="2"/>
  <c r="H216" i="2" s="1"/>
  <c r="C216" i="5" s="1"/>
  <c r="K210" i="2"/>
  <c r="E208" i="2"/>
  <c r="H208" i="2" s="1"/>
  <c r="C208" i="5" s="1"/>
  <c r="K202" i="2"/>
  <c r="E200" i="2"/>
  <c r="H200" i="2" s="1"/>
  <c r="C200" i="5" s="1"/>
  <c r="K194" i="2"/>
  <c r="E192" i="2"/>
  <c r="H192" i="2" s="1"/>
  <c r="C192" i="5" s="1"/>
  <c r="K186" i="2"/>
  <c r="E184" i="2"/>
  <c r="H184" i="2" s="1"/>
  <c r="C184" i="5" s="1"/>
  <c r="K178" i="2"/>
  <c r="E176" i="2"/>
  <c r="H176" i="2" s="1"/>
  <c r="C176" i="5" s="1"/>
  <c r="K170" i="2"/>
  <c r="E168" i="2"/>
  <c r="H168" i="2" s="1"/>
  <c r="C168" i="5" s="1"/>
  <c r="K162" i="2"/>
  <c r="E160" i="2"/>
  <c r="H160" i="2" s="1"/>
  <c r="C160" i="5" s="1"/>
  <c r="E153" i="2"/>
  <c r="H153" i="2" s="1"/>
  <c r="C153" i="5" s="1"/>
  <c r="E152" i="2"/>
  <c r="H152" i="2" s="1"/>
  <c r="C152" i="5" s="1"/>
  <c r="E135" i="2"/>
  <c r="H135" i="2" s="1"/>
  <c r="C135" i="5" s="1"/>
  <c r="K124" i="2"/>
  <c r="E115" i="2"/>
  <c r="H115" i="2" s="1"/>
  <c r="C115" i="5" s="1"/>
  <c r="E114" i="2"/>
  <c r="H114" i="2" s="1"/>
  <c r="C114" i="5" s="1"/>
  <c r="K88" i="2"/>
  <c r="K87" i="2"/>
  <c r="E85" i="2"/>
  <c r="E68" i="2"/>
  <c r="H68" i="2" s="1"/>
  <c r="C68" i="5" s="1"/>
  <c r="E52" i="2"/>
  <c r="H52" i="2" s="1"/>
  <c r="C52" i="5" s="1"/>
  <c r="E36" i="2"/>
  <c r="H36" i="2" s="1"/>
  <c r="C36" i="5" s="1"/>
  <c r="E20" i="2"/>
  <c r="H20" i="2" s="1"/>
  <c r="C20" i="5" s="1"/>
  <c r="K393" i="2"/>
  <c r="K3" i="2"/>
  <c r="I393" i="2"/>
  <c r="I385" i="2"/>
  <c r="I377" i="2"/>
  <c r="E297" i="2"/>
  <c r="H297" i="2" s="1"/>
  <c r="C297" i="5" s="1"/>
  <c r="E288" i="2"/>
  <c r="H288" i="2" s="1"/>
  <c r="C288" i="5" s="1"/>
  <c r="E287" i="2"/>
  <c r="H287" i="2" s="1"/>
  <c r="C287" i="5" s="1"/>
  <c r="E274" i="2"/>
  <c r="H274" i="2" s="1"/>
  <c r="C274" i="5" s="1"/>
  <c r="I273" i="2"/>
  <c r="I256" i="2"/>
  <c r="I253" i="2"/>
  <c r="K247" i="2"/>
  <c r="E245" i="2"/>
  <c r="H245" i="2" s="1"/>
  <c r="C245" i="5" s="1"/>
  <c r="I235" i="2"/>
  <c r="I225" i="2"/>
  <c r="K137" i="2"/>
  <c r="I126" i="2"/>
  <c r="I123" i="2"/>
  <c r="I86" i="2"/>
  <c r="I380" i="2"/>
  <c r="E379" i="2"/>
  <c r="H379" i="2" s="1"/>
  <c r="C379" i="5" s="1"/>
  <c r="I372" i="2"/>
  <c r="E371" i="2"/>
  <c r="H371" i="2" s="1"/>
  <c r="C371" i="5" s="1"/>
  <c r="I364" i="2"/>
  <c r="E363" i="2"/>
  <c r="H363" i="2" s="1"/>
  <c r="C363" i="5" s="1"/>
  <c r="I356" i="2"/>
  <c r="E355" i="2"/>
  <c r="H355" i="2" s="1"/>
  <c r="C355" i="5" s="1"/>
  <c r="I348" i="2"/>
  <c r="E347" i="2"/>
  <c r="H347" i="2" s="1"/>
  <c r="C347" i="5" s="1"/>
  <c r="I340" i="2"/>
  <c r="E339" i="2"/>
  <c r="H339" i="2" s="1"/>
  <c r="C339" i="5" s="1"/>
  <c r="I332" i="2"/>
  <c r="E331" i="2"/>
  <c r="H331" i="2" s="1"/>
  <c r="C331" i="5" s="1"/>
  <c r="I324" i="2"/>
  <c r="E323" i="2"/>
  <c r="H323" i="2" s="1"/>
  <c r="C323" i="5" s="1"/>
  <c r="I316" i="2"/>
  <c r="E315" i="2"/>
  <c r="H315" i="2" s="1"/>
  <c r="C315" i="5" s="1"/>
  <c r="I308" i="2"/>
  <c r="E307" i="2"/>
  <c r="H307" i="2" s="1"/>
  <c r="C307" i="5" s="1"/>
  <c r="I300" i="2"/>
  <c r="I291" i="2"/>
  <c r="E290" i="2"/>
  <c r="H290" i="2" s="1"/>
  <c r="C290" i="5" s="1"/>
  <c r="E289" i="2"/>
  <c r="H289" i="2" s="1"/>
  <c r="C289" i="5" s="1"/>
  <c r="K267" i="2"/>
  <c r="E266" i="2"/>
  <c r="H266" i="2" s="1"/>
  <c r="C266" i="5" s="1"/>
  <c r="E265" i="2"/>
  <c r="H265" i="2" s="1"/>
  <c r="C265" i="5" s="1"/>
  <c r="K257" i="2"/>
  <c r="E255" i="2"/>
  <c r="H255" i="2" s="1"/>
  <c r="C255" i="5" s="1"/>
  <c r="I248" i="2"/>
  <c r="E236" i="2"/>
  <c r="H236" i="2" s="1"/>
  <c r="C236" i="5" s="1"/>
  <c r="E226" i="2"/>
  <c r="H226" i="2" s="1"/>
  <c r="C226" i="5" s="1"/>
  <c r="E218" i="2"/>
  <c r="H218" i="2" s="1"/>
  <c r="C218" i="5" s="1"/>
  <c r="E210" i="2"/>
  <c r="H210" i="2" s="1"/>
  <c r="C210" i="5" s="1"/>
  <c r="K204" i="2"/>
  <c r="E202" i="2"/>
  <c r="H202" i="2" s="1"/>
  <c r="C202" i="5" s="1"/>
  <c r="K196" i="2"/>
  <c r="E194" i="2"/>
  <c r="H194" i="2" s="1"/>
  <c r="C194" i="5" s="1"/>
  <c r="K188" i="2"/>
  <c r="E186" i="2"/>
  <c r="H186" i="2" s="1"/>
  <c r="C186" i="5" s="1"/>
  <c r="K180" i="2"/>
  <c r="E178" i="2"/>
  <c r="H178" i="2" s="1"/>
  <c r="C178" i="5" s="1"/>
  <c r="K172" i="2"/>
  <c r="E170" i="2"/>
  <c r="H170" i="2" s="1"/>
  <c r="C170" i="5" s="1"/>
  <c r="K164" i="2"/>
  <c r="E162" i="2"/>
  <c r="H162" i="2" s="1"/>
  <c r="C162" i="5" s="1"/>
  <c r="E155" i="2"/>
  <c r="H155" i="2" s="1"/>
  <c r="C155" i="5" s="1"/>
  <c r="E146" i="2"/>
  <c r="H146" i="2" s="1"/>
  <c r="C146" i="5" s="1"/>
  <c r="I137" i="2"/>
  <c r="I132" i="2"/>
  <c r="I128" i="2"/>
  <c r="K108" i="2"/>
  <c r="K106" i="2"/>
  <c r="K104" i="2"/>
  <c r="K102" i="2"/>
  <c r="K100" i="2"/>
  <c r="K98" i="2"/>
  <c r="K96" i="2"/>
  <c r="K94" i="2"/>
  <c r="K92" i="2"/>
  <c r="K90" i="2"/>
  <c r="E88" i="2"/>
  <c r="H88" i="2" s="1"/>
  <c r="C88" i="5" s="1"/>
  <c r="E72" i="2"/>
  <c r="H72" i="2" s="1"/>
  <c r="C72" i="5" s="1"/>
  <c r="E56" i="2"/>
  <c r="H56" i="2" s="1"/>
  <c r="C56" i="5" s="1"/>
  <c r="E40" i="2"/>
  <c r="H40" i="2" s="1"/>
  <c r="C40" i="5" s="1"/>
  <c r="E24" i="2"/>
  <c r="H24" i="2" s="1"/>
  <c r="C24" i="5" s="1"/>
  <c r="I4" i="2"/>
  <c r="E60" i="2"/>
  <c r="E44" i="2"/>
  <c r="H44" i="2" s="1"/>
  <c r="C44" i="5" s="1"/>
  <c r="E28" i="2"/>
  <c r="H28" i="2" s="1"/>
  <c r="C28" i="5" s="1"/>
  <c r="I402" i="2"/>
  <c r="K391" i="2"/>
  <c r="K383" i="2"/>
  <c r="K375" i="2"/>
  <c r="I373" i="2"/>
  <c r="K367" i="2"/>
  <c r="I365" i="2"/>
  <c r="K359" i="2"/>
  <c r="I357" i="2"/>
  <c r="K351" i="2"/>
  <c r="I349" i="2"/>
  <c r="K343" i="2"/>
  <c r="I341" i="2"/>
  <c r="K335" i="2"/>
  <c r="I333" i="2"/>
  <c r="K327" i="2"/>
  <c r="I325" i="2"/>
  <c r="K319" i="2"/>
  <c r="I317" i="2"/>
  <c r="K311" i="2"/>
  <c r="I309" i="2"/>
  <c r="K303" i="2"/>
  <c r="I301" i="2"/>
  <c r="I269" i="2"/>
  <c r="I260" i="2"/>
  <c r="E258" i="2"/>
  <c r="H258" i="2" s="1"/>
  <c r="C258" i="5" s="1"/>
  <c r="K251" i="2"/>
  <c r="I242" i="2"/>
  <c r="I239" i="2"/>
  <c r="I229" i="2"/>
  <c r="E205" i="2"/>
  <c r="H205" i="2" s="1"/>
  <c r="C205" i="5" s="1"/>
  <c r="K151" i="2"/>
  <c r="I149" i="2"/>
  <c r="K84" i="2"/>
  <c r="E62" i="2"/>
  <c r="H62" i="2" s="1"/>
  <c r="C62" i="5" s="1"/>
  <c r="E46" i="2"/>
  <c r="H46" i="2" s="1"/>
  <c r="C46" i="5" s="1"/>
  <c r="E30" i="2"/>
  <c r="K381" i="2"/>
  <c r="K373" i="2"/>
  <c r="K365" i="2"/>
  <c r="K357" i="2"/>
  <c r="K349" i="2"/>
  <c r="K341" i="2"/>
  <c r="K333" i="2"/>
  <c r="K325" i="2"/>
  <c r="K317" i="2"/>
  <c r="K309" i="2"/>
  <c r="K301" i="2"/>
  <c r="K298" i="2"/>
  <c r="K295" i="2"/>
  <c r="K294" i="2"/>
  <c r="K293" i="2"/>
  <c r="I292" i="2"/>
  <c r="K275" i="2"/>
  <c r="I263" i="2"/>
  <c r="K259" i="2"/>
  <c r="H257" i="2"/>
  <c r="C257" i="5" s="1"/>
  <c r="K243" i="2"/>
  <c r="I228" i="2"/>
  <c r="I220" i="2"/>
  <c r="I212" i="2"/>
  <c r="K398" i="2"/>
  <c r="K401" i="2"/>
  <c r="K400" i="2"/>
  <c r="E399" i="2"/>
  <c r="H399" i="2" s="1"/>
  <c r="C399" i="5" s="1"/>
  <c r="I397" i="2"/>
  <c r="E396" i="2"/>
  <c r="H396" i="2" s="1"/>
  <c r="C396" i="5" s="1"/>
  <c r="E389" i="2"/>
  <c r="H389" i="2" s="1"/>
  <c r="C389" i="5" s="1"/>
  <c r="E388" i="2"/>
  <c r="H388" i="2" s="1"/>
  <c r="C388" i="5" s="1"/>
  <c r="E381" i="2"/>
  <c r="H381" i="2" s="1"/>
  <c r="C381" i="5" s="1"/>
  <c r="E380" i="2"/>
  <c r="H380" i="2" s="1"/>
  <c r="C380" i="5" s="1"/>
  <c r="E373" i="2"/>
  <c r="H373" i="2" s="1"/>
  <c r="C373" i="5" s="1"/>
  <c r="E372" i="2"/>
  <c r="H372" i="2" s="1"/>
  <c r="C372" i="5" s="1"/>
  <c r="E365" i="2"/>
  <c r="H365" i="2" s="1"/>
  <c r="C365" i="5" s="1"/>
  <c r="E364" i="2"/>
  <c r="H364" i="2" s="1"/>
  <c r="C364" i="5" s="1"/>
  <c r="E357" i="2"/>
  <c r="H357" i="2" s="1"/>
  <c r="C357" i="5" s="1"/>
  <c r="E356" i="2"/>
  <c r="H356" i="2" s="1"/>
  <c r="C356" i="5" s="1"/>
  <c r="E349" i="2"/>
  <c r="H349" i="2" s="1"/>
  <c r="C349" i="5" s="1"/>
  <c r="E348" i="2"/>
  <c r="H348" i="2" s="1"/>
  <c r="C348" i="5" s="1"/>
  <c r="E341" i="2"/>
  <c r="H341" i="2" s="1"/>
  <c r="C341" i="5" s="1"/>
  <c r="E340" i="2"/>
  <c r="H340" i="2" s="1"/>
  <c r="C340" i="5" s="1"/>
  <c r="E333" i="2"/>
  <c r="H333" i="2" s="1"/>
  <c r="C333" i="5" s="1"/>
  <c r="E332" i="2"/>
  <c r="H332" i="2" s="1"/>
  <c r="C332" i="5" s="1"/>
  <c r="E325" i="2"/>
  <c r="H325" i="2" s="1"/>
  <c r="C325" i="5" s="1"/>
  <c r="E324" i="2"/>
  <c r="H324" i="2" s="1"/>
  <c r="C324" i="5" s="1"/>
  <c r="E317" i="2"/>
  <c r="H317" i="2" s="1"/>
  <c r="C317" i="5" s="1"/>
  <c r="E316" i="2"/>
  <c r="H316" i="2" s="1"/>
  <c r="C316" i="5" s="1"/>
  <c r="E309" i="2"/>
  <c r="H309" i="2" s="1"/>
  <c r="C309" i="5" s="1"/>
  <c r="E308" i="2"/>
  <c r="H308" i="2" s="1"/>
  <c r="C308" i="5" s="1"/>
  <c r="E301" i="2"/>
  <c r="H301" i="2" s="1"/>
  <c r="C301" i="5" s="1"/>
  <c r="E298" i="2"/>
  <c r="H298" i="2" s="1"/>
  <c r="C298" i="5" s="1"/>
  <c r="E296" i="2"/>
  <c r="H296" i="2" s="1"/>
  <c r="C296" i="5" s="1"/>
  <c r="E294" i="2"/>
  <c r="H294" i="2" s="1"/>
  <c r="C294" i="5" s="1"/>
  <c r="E292" i="2"/>
  <c r="H292" i="2" s="1"/>
  <c r="C292" i="5" s="1"/>
  <c r="K289" i="2"/>
  <c r="K287" i="2"/>
  <c r="K285" i="2"/>
  <c r="K283" i="2"/>
  <c r="K281" i="2"/>
  <c r="K277" i="2"/>
  <c r="E276" i="2"/>
  <c r="H276" i="2" s="1"/>
  <c r="C276" i="5" s="1"/>
  <c r="E275" i="2"/>
  <c r="H275" i="2" s="1"/>
  <c r="C275" i="5" s="1"/>
  <c r="K261" i="2"/>
  <c r="E259" i="2"/>
  <c r="H259" i="2" s="1"/>
  <c r="C259" i="5" s="1"/>
  <c r="I257" i="2"/>
  <c r="I246" i="2"/>
  <c r="K245" i="2"/>
  <c r="E243" i="2"/>
  <c r="H243" i="2" s="1"/>
  <c r="C243" i="5" s="1"/>
  <c r="I241" i="2"/>
  <c r="I230" i="2"/>
  <c r="K229" i="2"/>
  <c r="E219" i="2"/>
  <c r="H219" i="2" s="1"/>
  <c r="C219" i="5" s="1"/>
  <c r="I219" i="2"/>
  <c r="I381" i="2"/>
  <c r="K399" i="2"/>
  <c r="K389" i="2"/>
  <c r="I401" i="2"/>
  <c r="E400" i="2"/>
  <c r="H400" i="2" s="1"/>
  <c r="C400" i="5" s="1"/>
  <c r="E391" i="2"/>
  <c r="H391" i="2" s="1"/>
  <c r="C391" i="5" s="1"/>
  <c r="E390" i="2"/>
  <c r="H390" i="2" s="1"/>
  <c r="C390" i="5" s="1"/>
  <c r="E383" i="2"/>
  <c r="H383" i="2" s="1"/>
  <c r="C383" i="5" s="1"/>
  <c r="E382" i="2"/>
  <c r="H382" i="2" s="1"/>
  <c r="C382" i="5" s="1"/>
  <c r="E375" i="2"/>
  <c r="H375" i="2" s="1"/>
  <c r="C375" i="5" s="1"/>
  <c r="E374" i="2"/>
  <c r="H374" i="2" s="1"/>
  <c r="C374" i="5" s="1"/>
  <c r="E367" i="2"/>
  <c r="H367" i="2" s="1"/>
  <c r="C367" i="5" s="1"/>
  <c r="E366" i="2"/>
  <c r="H366" i="2" s="1"/>
  <c r="C366" i="5" s="1"/>
  <c r="E359" i="2"/>
  <c r="H359" i="2" s="1"/>
  <c r="C359" i="5" s="1"/>
  <c r="E358" i="2"/>
  <c r="H358" i="2" s="1"/>
  <c r="C358" i="5" s="1"/>
  <c r="E351" i="2"/>
  <c r="H351" i="2" s="1"/>
  <c r="C351" i="5" s="1"/>
  <c r="E350" i="2"/>
  <c r="H350" i="2" s="1"/>
  <c r="C350" i="5" s="1"/>
  <c r="E343" i="2"/>
  <c r="H343" i="2" s="1"/>
  <c r="C343" i="5" s="1"/>
  <c r="E342" i="2"/>
  <c r="H342" i="2" s="1"/>
  <c r="C342" i="5" s="1"/>
  <c r="E335" i="2"/>
  <c r="H335" i="2" s="1"/>
  <c r="C335" i="5" s="1"/>
  <c r="E334" i="2"/>
  <c r="H334" i="2" s="1"/>
  <c r="C334" i="5" s="1"/>
  <c r="E327" i="2"/>
  <c r="H327" i="2" s="1"/>
  <c r="C327" i="5" s="1"/>
  <c r="E326" i="2"/>
  <c r="H326" i="2" s="1"/>
  <c r="C326" i="5" s="1"/>
  <c r="E319" i="2"/>
  <c r="H319" i="2" s="1"/>
  <c r="C319" i="5" s="1"/>
  <c r="E318" i="2"/>
  <c r="H318" i="2" s="1"/>
  <c r="C318" i="5" s="1"/>
  <c r="E311" i="2"/>
  <c r="H311" i="2" s="1"/>
  <c r="C311" i="5" s="1"/>
  <c r="E310" i="2"/>
  <c r="H310" i="2" s="1"/>
  <c r="C310" i="5" s="1"/>
  <c r="E303" i="2"/>
  <c r="H303" i="2" s="1"/>
  <c r="C303" i="5" s="1"/>
  <c r="E302" i="2"/>
  <c r="H302" i="2" s="1"/>
  <c r="C302" i="5" s="1"/>
  <c r="I299" i="2"/>
  <c r="E279" i="2"/>
  <c r="H279" i="2" s="1"/>
  <c r="C279" i="5" s="1"/>
  <c r="K265" i="2"/>
  <c r="E264" i="2"/>
  <c r="H264" i="2" s="1"/>
  <c r="C264" i="5" s="1"/>
  <c r="E263" i="2"/>
  <c r="H263" i="2" s="1"/>
  <c r="C263" i="5" s="1"/>
  <c r="I261" i="2"/>
  <c r="I250" i="2"/>
  <c r="K249" i="2"/>
  <c r="E247" i="2"/>
  <c r="H247" i="2" s="1"/>
  <c r="C247" i="5" s="1"/>
  <c r="I245" i="2"/>
  <c r="I234" i="2"/>
  <c r="K233" i="2"/>
  <c r="E221" i="2"/>
  <c r="H221" i="2" s="1"/>
  <c r="C221" i="5" s="1"/>
  <c r="I221" i="2"/>
  <c r="E213" i="2"/>
  <c r="H213" i="2" s="1"/>
  <c r="C213" i="5" s="1"/>
  <c r="I213" i="2"/>
  <c r="I389" i="2"/>
  <c r="I383" i="2"/>
  <c r="I367" i="2"/>
  <c r="I359" i="2"/>
  <c r="I351" i="2"/>
  <c r="I343" i="2"/>
  <c r="I335" i="2"/>
  <c r="I327" i="2"/>
  <c r="I319" i="2"/>
  <c r="I311" i="2"/>
  <c r="I303" i="2"/>
  <c r="I252" i="2"/>
  <c r="I247" i="2"/>
  <c r="I236" i="2"/>
  <c r="I231" i="2"/>
  <c r="I224" i="2"/>
  <c r="I216" i="2"/>
  <c r="H190" i="2"/>
  <c r="C190" i="5" s="1"/>
  <c r="I81" i="2"/>
  <c r="E217" i="2"/>
  <c r="H217" i="2" s="1"/>
  <c r="C217" i="5" s="1"/>
  <c r="I217" i="2"/>
  <c r="H402" i="2"/>
  <c r="C402" i="5" s="1"/>
  <c r="I391" i="2"/>
  <c r="I375" i="2"/>
  <c r="I396" i="2"/>
  <c r="I394" i="2"/>
  <c r="E393" i="2"/>
  <c r="H393" i="2" s="1"/>
  <c r="C393" i="5" s="1"/>
  <c r="E392" i="2"/>
  <c r="H392" i="2" s="1"/>
  <c r="C392" i="5" s="1"/>
  <c r="I386" i="2"/>
  <c r="E385" i="2"/>
  <c r="H385" i="2" s="1"/>
  <c r="C385" i="5" s="1"/>
  <c r="E384" i="2"/>
  <c r="H384" i="2" s="1"/>
  <c r="C384" i="5" s="1"/>
  <c r="I378" i="2"/>
  <c r="E377" i="2"/>
  <c r="H377" i="2" s="1"/>
  <c r="C377" i="5" s="1"/>
  <c r="E376" i="2"/>
  <c r="H376" i="2" s="1"/>
  <c r="C376" i="5" s="1"/>
  <c r="I370" i="2"/>
  <c r="E369" i="2"/>
  <c r="H369" i="2" s="1"/>
  <c r="C369" i="5" s="1"/>
  <c r="E368" i="2"/>
  <c r="H368" i="2" s="1"/>
  <c r="C368" i="5" s="1"/>
  <c r="I362" i="2"/>
  <c r="E361" i="2"/>
  <c r="H361" i="2" s="1"/>
  <c r="C361" i="5" s="1"/>
  <c r="E360" i="2"/>
  <c r="H360" i="2" s="1"/>
  <c r="C360" i="5" s="1"/>
  <c r="I354" i="2"/>
  <c r="E353" i="2"/>
  <c r="H353" i="2" s="1"/>
  <c r="C353" i="5" s="1"/>
  <c r="E352" i="2"/>
  <c r="H352" i="2" s="1"/>
  <c r="C352" i="5" s="1"/>
  <c r="I346" i="2"/>
  <c r="E345" i="2"/>
  <c r="H345" i="2" s="1"/>
  <c r="C345" i="5" s="1"/>
  <c r="E344" i="2"/>
  <c r="H344" i="2" s="1"/>
  <c r="C344" i="5" s="1"/>
  <c r="I338" i="2"/>
  <c r="E337" i="2"/>
  <c r="H337" i="2" s="1"/>
  <c r="C337" i="5" s="1"/>
  <c r="E336" i="2"/>
  <c r="H336" i="2" s="1"/>
  <c r="C336" i="5" s="1"/>
  <c r="I330" i="2"/>
  <c r="E329" i="2"/>
  <c r="H329" i="2" s="1"/>
  <c r="C329" i="5" s="1"/>
  <c r="E328" i="2"/>
  <c r="H328" i="2" s="1"/>
  <c r="C328" i="5" s="1"/>
  <c r="I322" i="2"/>
  <c r="E321" i="2"/>
  <c r="H321" i="2" s="1"/>
  <c r="C321" i="5" s="1"/>
  <c r="E320" i="2"/>
  <c r="H320" i="2" s="1"/>
  <c r="C320" i="5" s="1"/>
  <c r="I314" i="2"/>
  <c r="E313" i="2"/>
  <c r="H313" i="2" s="1"/>
  <c r="C313" i="5" s="1"/>
  <c r="E312" i="2"/>
  <c r="H312" i="2" s="1"/>
  <c r="C312" i="5" s="1"/>
  <c r="I306" i="2"/>
  <c r="E305" i="2"/>
  <c r="H305" i="2" s="1"/>
  <c r="C305" i="5" s="1"/>
  <c r="E304" i="2"/>
  <c r="H304" i="2" s="1"/>
  <c r="C304" i="5" s="1"/>
  <c r="K269" i="2"/>
  <c r="E268" i="2"/>
  <c r="H268" i="2" s="1"/>
  <c r="C268" i="5" s="1"/>
  <c r="E267" i="2"/>
  <c r="H267" i="2" s="1"/>
  <c r="C267" i="5" s="1"/>
  <c r="I254" i="2"/>
  <c r="K253" i="2"/>
  <c r="E251" i="2"/>
  <c r="H251" i="2" s="1"/>
  <c r="C251" i="5" s="1"/>
  <c r="I249" i="2"/>
  <c r="I238" i="2"/>
  <c r="K237" i="2"/>
  <c r="E235" i="2"/>
  <c r="H235" i="2" s="1"/>
  <c r="C235" i="5" s="1"/>
  <c r="I233" i="2"/>
  <c r="E223" i="2"/>
  <c r="H223" i="2" s="1"/>
  <c r="C223" i="5" s="1"/>
  <c r="I223" i="2"/>
  <c r="E215" i="2"/>
  <c r="H215" i="2" s="1"/>
  <c r="C215" i="5" s="1"/>
  <c r="I215" i="2"/>
  <c r="I399" i="2"/>
  <c r="I398" i="2"/>
  <c r="K395" i="2"/>
  <c r="K387" i="2"/>
  <c r="K379" i="2"/>
  <c r="K371" i="2"/>
  <c r="I369" i="2"/>
  <c r="K363" i="2"/>
  <c r="I361" i="2"/>
  <c r="K355" i="2"/>
  <c r="I353" i="2"/>
  <c r="K347" i="2"/>
  <c r="I345" i="2"/>
  <c r="K339" i="2"/>
  <c r="I337" i="2"/>
  <c r="K331" i="2"/>
  <c r="I329" i="2"/>
  <c r="K323" i="2"/>
  <c r="I321" i="2"/>
  <c r="K315" i="2"/>
  <c r="I313" i="2"/>
  <c r="K307" i="2"/>
  <c r="I305" i="2"/>
  <c r="I295" i="2"/>
  <c r="I293" i="2"/>
  <c r="K271" i="2"/>
  <c r="E270" i="2"/>
  <c r="H270" i="2" s="1"/>
  <c r="C270" i="5" s="1"/>
  <c r="E269" i="2"/>
  <c r="H269" i="2" s="1"/>
  <c r="C269" i="5" s="1"/>
  <c r="K255" i="2"/>
  <c r="E253" i="2"/>
  <c r="H253" i="2" s="1"/>
  <c r="C253" i="5" s="1"/>
  <c r="K239" i="2"/>
  <c r="E237" i="2"/>
  <c r="H237" i="2" s="1"/>
  <c r="C237" i="5" s="1"/>
  <c r="I226" i="2"/>
  <c r="I218" i="2"/>
  <c r="K154" i="2"/>
  <c r="K227" i="2"/>
  <c r="K225" i="2"/>
  <c r="K223" i="2"/>
  <c r="K221" i="2"/>
  <c r="K219" i="2"/>
  <c r="K217" i="2"/>
  <c r="K215" i="2"/>
  <c r="K213" i="2"/>
  <c r="K211" i="2"/>
  <c r="K209" i="2"/>
  <c r="K207" i="2"/>
  <c r="K205" i="2"/>
  <c r="K203" i="2"/>
  <c r="K201" i="2"/>
  <c r="K199" i="2"/>
  <c r="K197" i="2"/>
  <c r="K195" i="2"/>
  <c r="K193" i="2"/>
  <c r="K191" i="2"/>
  <c r="K189" i="2"/>
  <c r="K187" i="2"/>
  <c r="K185" i="2"/>
  <c r="K183" i="2"/>
  <c r="K181" i="2"/>
  <c r="K179" i="2"/>
  <c r="K177" i="2"/>
  <c r="K175" i="2"/>
  <c r="K173" i="2"/>
  <c r="K171" i="2"/>
  <c r="K169" i="2"/>
  <c r="K167" i="2"/>
  <c r="K165" i="2"/>
  <c r="K163" i="2"/>
  <c r="K161" i="2"/>
  <c r="K159" i="2"/>
  <c r="K157" i="2"/>
  <c r="E154" i="2"/>
  <c r="H154" i="2" s="1"/>
  <c r="C154" i="5" s="1"/>
  <c r="E150" i="2"/>
  <c r="H150" i="2" s="1"/>
  <c r="C150" i="5" s="1"/>
  <c r="K141" i="2"/>
  <c r="E140" i="2"/>
  <c r="H140" i="2" s="1"/>
  <c r="C140" i="5" s="1"/>
  <c r="K80" i="2"/>
  <c r="E233" i="2"/>
  <c r="H233" i="2" s="1"/>
  <c r="C233" i="5" s="1"/>
  <c r="E231" i="2"/>
  <c r="H231" i="2" s="1"/>
  <c r="C231" i="5" s="1"/>
  <c r="E229" i="2"/>
  <c r="H229" i="2" s="1"/>
  <c r="C229" i="5" s="1"/>
  <c r="E227" i="2"/>
  <c r="H227" i="2" s="1"/>
  <c r="C227" i="5" s="1"/>
  <c r="E225" i="2"/>
  <c r="H225" i="2" s="1"/>
  <c r="C225" i="5" s="1"/>
  <c r="H143" i="2"/>
  <c r="C143" i="5" s="1"/>
  <c r="I141" i="2"/>
  <c r="K89" i="2"/>
  <c r="I210" i="2"/>
  <c r="I208" i="2"/>
  <c r="I206" i="2"/>
  <c r="I204" i="2"/>
  <c r="I202" i="2"/>
  <c r="I200" i="2"/>
  <c r="E199" i="2"/>
  <c r="H199" i="2" s="1"/>
  <c r="C199" i="5" s="1"/>
  <c r="I198" i="2"/>
  <c r="E197" i="2"/>
  <c r="H197" i="2" s="1"/>
  <c r="C197" i="5" s="1"/>
  <c r="I196" i="2"/>
  <c r="E195" i="2"/>
  <c r="H195" i="2" s="1"/>
  <c r="C195" i="5" s="1"/>
  <c r="I194" i="2"/>
  <c r="E193" i="2"/>
  <c r="H193" i="2" s="1"/>
  <c r="C193" i="5" s="1"/>
  <c r="I192" i="2"/>
  <c r="E191" i="2"/>
  <c r="H191" i="2" s="1"/>
  <c r="C191" i="5" s="1"/>
  <c r="I190" i="2"/>
  <c r="E189" i="2"/>
  <c r="H189" i="2" s="1"/>
  <c r="C189" i="5" s="1"/>
  <c r="I188" i="2"/>
  <c r="E187" i="2"/>
  <c r="H187" i="2" s="1"/>
  <c r="C187" i="5" s="1"/>
  <c r="I186" i="2"/>
  <c r="E185" i="2"/>
  <c r="H185" i="2" s="1"/>
  <c r="C185" i="5" s="1"/>
  <c r="I184" i="2"/>
  <c r="E183" i="2"/>
  <c r="H183" i="2" s="1"/>
  <c r="C183" i="5" s="1"/>
  <c r="I182" i="2"/>
  <c r="E181" i="2"/>
  <c r="H181" i="2" s="1"/>
  <c r="C181" i="5" s="1"/>
  <c r="I180" i="2"/>
  <c r="E179" i="2"/>
  <c r="H179" i="2" s="1"/>
  <c r="C179" i="5" s="1"/>
  <c r="I178" i="2"/>
  <c r="E177" i="2"/>
  <c r="H177" i="2" s="1"/>
  <c r="C177" i="5" s="1"/>
  <c r="I176" i="2"/>
  <c r="E175" i="2"/>
  <c r="H175" i="2" s="1"/>
  <c r="C175" i="5" s="1"/>
  <c r="I174" i="2"/>
  <c r="E173" i="2"/>
  <c r="H173" i="2" s="1"/>
  <c r="C173" i="5" s="1"/>
  <c r="I172" i="2"/>
  <c r="E171" i="2"/>
  <c r="H171" i="2" s="1"/>
  <c r="C171" i="5" s="1"/>
  <c r="I170" i="2"/>
  <c r="E169" i="2"/>
  <c r="H169" i="2" s="1"/>
  <c r="C169" i="5" s="1"/>
  <c r="I168" i="2"/>
  <c r="E167" i="2"/>
  <c r="H167" i="2" s="1"/>
  <c r="C167" i="5" s="1"/>
  <c r="I166" i="2"/>
  <c r="E165" i="2"/>
  <c r="H165" i="2" s="1"/>
  <c r="C165" i="5" s="1"/>
  <c r="I164" i="2"/>
  <c r="E163" i="2"/>
  <c r="H163" i="2" s="1"/>
  <c r="C163" i="5" s="1"/>
  <c r="I162" i="2"/>
  <c r="E161" i="2"/>
  <c r="H161" i="2" s="1"/>
  <c r="C161" i="5" s="1"/>
  <c r="I160" i="2"/>
  <c r="E159" i="2"/>
  <c r="H159" i="2" s="1"/>
  <c r="C159" i="5" s="1"/>
  <c r="I158" i="2"/>
  <c r="E157" i="2"/>
  <c r="H157" i="2" s="1"/>
  <c r="C157" i="5" s="1"/>
  <c r="K143" i="2"/>
  <c r="E142" i="2"/>
  <c r="H142" i="2" s="1"/>
  <c r="C142" i="5" s="1"/>
  <c r="K128" i="2"/>
  <c r="K126" i="2"/>
  <c r="K125" i="2"/>
  <c r="K121" i="2"/>
  <c r="K120" i="2"/>
  <c r="K112" i="2"/>
  <c r="K110" i="2"/>
  <c r="K109" i="2"/>
  <c r="K107" i="2"/>
  <c r="K105" i="2"/>
  <c r="K103" i="2"/>
  <c r="K101" i="2"/>
  <c r="K99" i="2"/>
  <c r="K97" i="2"/>
  <c r="K95" i="2"/>
  <c r="K93" i="2"/>
  <c r="K91" i="2"/>
  <c r="K76" i="2"/>
  <c r="K72" i="2"/>
  <c r="K66" i="2"/>
  <c r="K62" i="2"/>
  <c r="K56" i="2"/>
  <c r="K145" i="2"/>
  <c r="E144" i="2"/>
  <c r="H144" i="2" s="1"/>
  <c r="C144" i="5" s="1"/>
  <c r="I143" i="2"/>
  <c r="K136" i="2"/>
  <c r="K132" i="2"/>
  <c r="K130" i="2"/>
  <c r="K129" i="2"/>
  <c r="K127" i="2"/>
  <c r="I125" i="2"/>
  <c r="E124" i="2"/>
  <c r="H124" i="2" s="1"/>
  <c r="C124" i="5" s="1"/>
  <c r="E122" i="2"/>
  <c r="H122" i="2" s="1"/>
  <c r="C122" i="5" s="1"/>
  <c r="I121" i="2"/>
  <c r="K119" i="2"/>
  <c r="K118" i="2"/>
  <c r="K117" i="2"/>
  <c r="K116" i="2"/>
  <c r="K114" i="2"/>
  <c r="K113" i="2"/>
  <c r="K111" i="2"/>
  <c r="I109" i="2"/>
  <c r="E108" i="2"/>
  <c r="H108" i="2" s="1"/>
  <c r="C108" i="5" s="1"/>
  <c r="I107" i="2"/>
  <c r="E106" i="2"/>
  <c r="H106" i="2" s="1"/>
  <c r="C106" i="5" s="1"/>
  <c r="I105" i="2"/>
  <c r="E104" i="2"/>
  <c r="H104" i="2" s="1"/>
  <c r="C104" i="5" s="1"/>
  <c r="I103" i="2"/>
  <c r="E102" i="2"/>
  <c r="H102" i="2" s="1"/>
  <c r="C102" i="5" s="1"/>
  <c r="I101" i="2"/>
  <c r="E100" i="2"/>
  <c r="H100" i="2" s="1"/>
  <c r="C100" i="5" s="1"/>
  <c r="I99" i="2"/>
  <c r="E98" i="2"/>
  <c r="H98" i="2" s="1"/>
  <c r="C98" i="5" s="1"/>
  <c r="I97" i="2"/>
  <c r="E96" i="2"/>
  <c r="H96" i="2" s="1"/>
  <c r="C96" i="5" s="1"/>
  <c r="I95" i="2"/>
  <c r="E94" i="2"/>
  <c r="H94" i="2" s="1"/>
  <c r="C94" i="5" s="1"/>
  <c r="I93" i="2"/>
  <c r="E92" i="2"/>
  <c r="H92" i="2" s="1"/>
  <c r="C92" i="5" s="1"/>
  <c r="I91" i="2"/>
  <c r="E90" i="2"/>
  <c r="H90" i="2" s="1"/>
  <c r="C90" i="5" s="1"/>
  <c r="I78" i="2"/>
  <c r="I152" i="2"/>
  <c r="K148" i="2"/>
  <c r="E147" i="2"/>
  <c r="H147" i="2" s="1"/>
  <c r="C147" i="5" s="1"/>
  <c r="I145" i="2"/>
  <c r="K135" i="2"/>
  <c r="E134" i="2"/>
  <c r="H134" i="2" s="1"/>
  <c r="C134" i="5" s="1"/>
  <c r="I133" i="2"/>
  <c r="K131" i="2"/>
  <c r="I129" i="2"/>
  <c r="E128" i="2"/>
  <c r="H128" i="2" s="1"/>
  <c r="C128" i="5" s="1"/>
  <c r="I127" i="2"/>
  <c r="E126" i="2"/>
  <c r="H126" i="2" s="1"/>
  <c r="C126" i="5" s="1"/>
  <c r="E120" i="2"/>
  <c r="H120" i="2" s="1"/>
  <c r="C120" i="5" s="1"/>
  <c r="I119" i="2"/>
  <c r="I117" i="2"/>
  <c r="K115" i="2"/>
  <c r="I113" i="2"/>
  <c r="E112" i="2"/>
  <c r="H112" i="2" s="1"/>
  <c r="C112" i="5" s="1"/>
  <c r="I111" i="2"/>
  <c r="E110" i="2"/>
  <c r="H110" i="2" s="1"/>
  <c r="C110" i="5" s="1"/>
  <c r="K153" i="2"/>
  <c r="K147" i="2"/>
  <c r="I135" i="2"/>
  <c r="I131" i="2"/>
  <c r="I115" i="2"/>
  <c r="I74" i="2"/>
  <c r="I68" i="2"/>
  <c r="I62" i="2"/>
  <c r="I60" i="2"/>
  <c r="I58" i="2"/>
  <c r="I52" i="2"/>
  <c r="I50" i="2"/>
  <c r="I48" i="2"/>
  <c r="I46" i="2"/>
  <c r="I44" i="2"/>
  <c r="I42" i="2"/>
  <c r="I40" i="2"/>
  <c r="I38" i="2"/>
  <c r="I36" i="2"/>
  <c r="I34" i="2"/>
  <c r="I32" i="2"/>
  <c r="I30" i="2"/>
  <c r="I28" i="2"/>
  <c r="I26" i="2"/>
  <c r="I24" i="2"/>
  <c r="I18" i="2"/>
  <c r="I211" i="2"/>
  <c r="I209" i="2"/>
  <c r="I207" i="2"/>
  <c r="I205" i="2"/>
  <c r="I203" i="2"/>
  <c r="I201" i="2"/>
  <c r="I199" i="2"/>
  <c r="I197" i="2"/>
  <c r="I195" i="2"/>
  <c r="I193" i="2"/>
  <c r="I191" i="2"/>
  <c r="I189" i="2"/>
  <c r="I187" i="2"/>
  <c r="I185" i="2"/>
  <c r="I183" i="2"/>
  <c r="I181" i="2"/>
  <c r="I179" i="2"/>
  <c r="I177" i="2"/>
  <c r="I175" i="2"/>
  <c r="I173" i="2"/>
  <c r="I171" i="2"/>
  <c r="I169" i="2"/>
  <c r="I167" i="2"/>
  <c r="I165" i="2"/>
  <c r="I163" i="2"/>
  <c r="I161" i="2"/>
  <c r="I159" i="2"/>
  <c r="I157" i="2"/>
  <c r="K155" i="2"/>
  <c r="K150" i="2"/>
  <c r="K140" i="2"/>
  <c r="E139" i="2"/>
  <c r="H139" i="2" s="1"/>
  <c r="C139" i="5" s="1"/>
  <c r="I122" i="2"/>
  <c r="K394" i="2"/>
  <c r="K392" i="2"/>
  <c r="K390" i="2"/>
  <c r="K388" i="2"/>
  <c r="K386" i="2"/>
  <c r="K384" i="2"/>
  <c r="K382" i="2"/>
  <c r="K380" i="2"/>
  <c r="K378" i="2"/>
  <c r="K376" i="2"/>
  <c r="K374" i="2"/>
  <c r="K372" i="2"/>
  <c r="K370" i="2"/>
  <c r="K368" i="2"/>
  <c r="K366" i="2"/>
  <c r="K364" i="2"/>
  <c r="K362" i="2"/>
  <c r="K360" i="2"/>
  <c r="K358" i="2"/>
  <c r="K356" i="2"/>
  <c r="K354" i="2"/>
  <c r="K352" i="2"/>
  <c r="K350" i="2"/>
  <c r="K348" i="2"/>
  <c r="K346" i="2"/>
  <c r="K344" i="2"/>
  <c r="K342" i="2"/>
  <c r="K340" i="2"/>
  <c r="K338" i="2"/>
  <c r="K336" i="2"/>
  <c r="K334" i="2"/>
  <c r="K332" i="2"/>
  <c r="K330" i="2"/>
  <c r="K328" i="2"/>
  <c r="K326" i="2"/>
  <c r="K324" i="2"/>
  <c r="K322" i="2"/>
  <c r="K320" i="2"/>
  <c r="K318" i="2"/>
  <c r="K316" i="2"/>
  <c r="K314" i="2"/>
  <c r="K312" i="2"/>
  <c r="K310" i="2"/>
  <c r="K308" i="2"/>
  <c r="K306" i="2"/>
  <c r="K304" i="2"/>
  <c r="K302" i="2"/>
  <c r="I298" i="2"/>
  <c r="K291" i="2"/>
  <c r="K123" i="2"/>
  <c r="E123" i="2"/>
  <c r="H123" i="2" s="1"/>
  <c r="C123" i="5" s="1"/>
  <c r="E299" i="2"/>
  <c r="H299" i="2" s="1"/>
  <c r="C299" i="5" s="1"/>
  <c r="K296" i="2"/>
  <c r="I278" i="2"/>
  <c r="K278" i="2"/>
  <c r="I270" i="2"/>
  <c r="K270" i="2"/>
  <c r="I262" i="2"/>
  <c r="K262" i="2"/>
  <c r="I290" i="2"/>
  <c r="K290" i="2"/>
  <c r="I289" i="2"/>
  <c r="I286" i="2"/>
  <c r="K286" i="2"/>
  <c r="I285" i="2"/>
  <c r="I282" i="2"/>
  <c r="K282" i="2"/>
  <c r="I281" i="2"/>
  <c r="K156" i="2"/>
  <c r="I272" i="2"/>
  <c r="K272" i="2"/>
  <c r="I276" i="2"/>
  <c r="K276" i="2"/>
  <c r="I268" i="2"/>
  <c r="K268" i="2"/>
  <c r="K300" i="2"/>
  <c r="I294" i="2"/>
  <c r="I151" i="2"/>
  <c r="E151" i="2"/>
  <c r="H151" i="2" s="1"/>
  <c r="C151" i="5" s="1"/>
  <c r="K292" i="2"/>
  <c r="I274" i="2"/>
  <c r="K274" i="2"/>
  <c r="I266" i="2"/>
  <c r="K266" i="2"/>
  <c r="I264" i="2"/>
  <c r="K264" i="2"/>
  <c r="K297" i="2"/>
  <c r="I296" i="2"/>
  <c r="I288" i="2"/>
  <c r="K288" i="2"/>
  <c r="I287" i="2"/>
  <c r="I284" i="2"/>
  <c r="K284" i="2"/>
  <c r="I283" i="2"/>
  <c r="I280" i="2"/>
  <c r="K280" i="2"/>
  <c r="E83" i="2"/>
  <c r="H83" i="2" s="1"/>
  <c r="C83" i="5" s="1"/>
  <c r="I83" i="2"/>
  <c r="E156" i="2"/>
  <c r="H156" i="2" s="1"/>
  <c r="C156" i="5" s="1"/>
  <c r="K146" i="2"/>
  <c r="K142" i="2"/>
  <c r="K138" i="2"/>
  <c r="K134" i="2"/>
  <c r="E79" i="2"/>
  <c r="H79" i="2" s="1"/>
  <c r="C79" i="5" s="1"/>
  <c r="I79" i="2"/>
  <c r="K260" i="2"/>
  <c r="K258" i="2"/>
  <c r="K256" i="2"/>
  <c r="K254" i="2"/>
  <c r="K252" i="2"/>
  <c r="K250" i="2"/>
  <c r="K248" i="2"/>
  <c r="K246" i="2"/>
  <c r="K244" i="2"/>
  <c r="K242" i="2"/>
  <c r="K240" i="2"/>
  <c r="K238" i="2"/>
  <c r="K236" i="2"/>
  <c r="K234" i="2"/>
  <c r="K232" i="2"/>
  <c r="K230" i="2"/>
  <c r="K228" i="2"/>
  <c r="K226" i="2"/>
  <c r="K224" i="2"/>
  <c r="K222" i="2"/>
  <c r="K220" i="2"/>
  <c r="K218" i="2"/>
  <c r="K216" i="2"/>
  <c r="K214" i="2"/>
  <c r="K212" i="2"/>
  <c r="I154" i="2"/>
  <c r="I153" i="2"/>
  <c r="I148" i="2"/>
  <c r="I144" i="2"/>
  <c r="I140" i="2"/>
  <c r="I136" i="2"/>
  <c r="E133" i="2"/>
  <c r="H133" i="2" s="1"/>
  <c r="C133" i="5" s="1"/>
  <c r="E117" i="2"/>
  <c r="H117" i="2" s="1"/>
  <c r="C117" i="5" s="1"/>
  <c r="E75" i="2"/>
  <c r="H75" i="2" s="1"/>
  <c r="C75" i="5" s="1"/>
  <c r="I75" i="2"/>
  <c r="I156" i="2"/>
  <c r="I155" i="2"/>
  <c r="E149" i="2"/>
  <c r="H149" i="2" s="1"/>
  <c r="C149" i="5" s="1"/>
  <c r="E145" i="2"/>
  <c r="H145" i="2" s="1"/>
  <c r="C145" i="5" s="1"/>
  <c r="E141" i="2"/>
  <c r="H141" i="2" s="1"/>
  <c r="C141" i="5" s="1"/>
  <c r="E137" i="2"/>
  <c r="H137" i="2" s="1"/>
  <c r="C137" i="5" s="1"/>
  <c r="E129" i="2"/>
  <c r="H129" i="2" s="1"/>
  <c r="C129" i="5" s="1"/>
  <c r="E113" i="2"/>
  <c r="H113" i="2" s="1"/>
  <c r="C113" i="5" s="1"/>
  <c r="E63" i="2"/>
  <c r="H63" i="2" s="1"/>
  <c r="C63" i="5" s="1"/>
  <c r="I63" i="2"/>
  <c r="I150" i="2"/>
  <c r="I146" i="2"/>
  <c r="I142" i="2"/>
  <c r="I138" i="2"/>
  <c r="I134" i="2"/>
  <c r="E125" i="2"/>
  <c r="H125" i="2" s="1"/>
  <c r="C125" i="5" s="1"/>
  <c r="E109" i="2"/>
  <c r="H109" i="2" s="1"/>
  <c r="C109" i="5" s="1"/>
  <c r="E89" i="2"/>
  <c r="H89" i="2" s="1"/>
  <c r="C89" i="5" s="1"/>
  <c r="E86" i="2"/>
  <c r="H86" i="2" s="1"/>
  <c r="C86" i="5" s="1"/>
  <c r="I85" i="2"/>
  <c r="K82" i="2"/>
  <c r="K78" i="2"/>
  <c r="I73" i="2"/>
  <c r="E65" i="2"/>
  <c r="H65" i="2" s="1"/>
  <c r="C65" i="5" s="1"/>
  <c r="I65" i="2"/>
  <c r="I64" i="2"/>
  <c r="H60" i="2"/>
  <c r="C60" i="5" s="1"/>
  <c r="K58" i="2"/>
  <c r="K70" i="2"/>
  <c r="E61" i="2"/>
  <c r="H61" i="2" s="1"/>
  <c r="C61" i="5" s="1"/>
  <c r="I61" i="2"/>
  <c r="K54" i="2"/>
  <c r="K68" i="2"/>
  <c r="E59" i="2"/>
  <c r="H59" i="2" s="1"/>
  <c r="C59" i="5" s="1"/>
  <c r="I59" i="2"/>
  <c r="K52" i="2"/>
  <c r="K50" i="2"/>
  <c r="K48" i="2"/>
  <c r="K46" i="2"/>
  <c r="K44" i="2"/>
  <c r="K42" i="2"/>
  <c r="K40" i="2"/>
  <c r="K38" i="2"/>
  <c r="K36" i="2"/>
  <c r="K34" i="2"/>
  <c r="K32" i="2"/>
  <c r="K30" i="2"/>
  <c r="K28" i="2"/>
  <c r="K26" i="2"/>
  <c r="K24" i="2"/>
  <c r="K18" i="2"/>
  <c r="H85" i="2"/>
  <c r="C85" i="5" s="1"/>
  <c r="I72" i="2"/>
  <c r="E57" i="2"/>
  <c r="H57" i="2" s="1"/>
  <c r="C57" i="5" s="1"/>
  <c r="I57" i="2"/>
  <c r="I56" i="2"/>
  <c r="H34" i="2"/>
  <c r="C34" i="5" s="1"/>
  <c r="H32" i="2"/>
  <c r="C32" i="5" s="1"/>
  <c r="H30" i="2"/>
  <c r="C30" i="5" s="1"/>
  <c r="I88" i="2"/>
  <c r="E81" i="2"/>
  <c r="H81" i="2" s="1"/>
  <c r="C81" i="5" s="1"/>
  <c r="E77" i="2"/>
  <c r="H77" i="2" s="1"/>
  <c r="C77" i="5" s="1"/>
  <c r="E71" i="2"/>
  <c r="H71" i="2" s="1"/>
  <c r="C71" i="5" s="1"/>
  <c r="I71" i="2"/>
  <c r="I70" i="2"/>
  <c r="K64" i="2"/>
  <c r="E55" i="2"/>
  <c r="H55" i="2" s="1"/>
  <c r="C55" i="5" s="1"/>
  <c r="I55" i="2"/>
  <c r="I54" i="2"/>
  <c r="E69" i="2"/>
  <c r="H69" i="2" s="1"/>
  <c r="C69" i="5" s="1"/>
  <c r="I69" i="2"/>
  <c r="E53" i="2"/>
  <c r="H53" i="2" s="1"/>
  <c r="C53" i="5" s="1"/>
  <c r="I53" i="2"/>
  <c r="E51" i="2"/>
  <c r="H51" i="2" s="1"/>
  <c r="C51" i="5" s="1"/>
  <c r="I51" i="2"/>
  <c r="E49" i="2"/>
  <c r="H49" i="2" s="1"/>
  <c r="C49" i="5" s="1"/>
  <c r="I49" i="2"/>
  <c r="E47" i="2"/>
  <c r="H47" i="2" s="1"/>
  <c r="C47" i="5" s="1"/>
  <c r="I47" i="2"/>
  <c r="E45" i="2"/>
  <c r="H45" i="2" s="1"/>
  <c r="C45" i="5" s="1"/>
  <c r="I45" i="2"/>
  <c r="E43" i="2"/>
  <c r="H43" i="2" s="1"/>
  <c r="C43" i="5" s="1"/>
  <c r="I43" i="2"/>
  <c r="E41" i="2"/>
  <c r="H41" i="2" s="1"/>
  <c r="C41" i="5" s="1"/>
  <c r="I41" i="2"/>
  <c r="E39" i="2"/>
  <c r="H39" i="2" s="1"/>
  <c r="C39" i="5" s="1"/>
  <c r="I39" i="2"/>
  <c r="E37" i="2"/>
  <c r="H37" i="2" s="1"/>
  <c r="C37" i="5" s="1"/>
  <c r="I37" i="2"/>
  <c r="E35" i="2"/>
  <c r="H35" i="2" s="1"/>
  <c r="C35" i="5" s="1"/>
  <c r="I35" i="2"/>
  <c r="E33" i="2"/>
  <c r="H33" i="2" s="1"/>
  <c r="C33" i="5" s="1"/>
  <c r="I33" i="2"/>
  <c r="E31" i="2"/>
  <c r="H31" i="2" s="1"/>
  <c r="C31" i="5" s="1"/>
  <c r="I31" i="2"/>
  <c r="E29" i="2"/>
  <c r="H29" i="2" s="1"/>
  <c r="C29" i="5" s="1"/>
  <c r="I29" i="2"/>
  <c r="E27" i="2"/>
  <c r="H27" i="2" s="1"/>
  <c r="C27" i="5" s="1"/>
  <c r="I27" i="2"/>
  <c r="E25" i="2"/>
  <c r="H25" i="2" s="1"/>
  <c r="C25" i="5" s="1"/>
  <c r="I25" i="2"/>
  <c r="E23" i="2"/>
  <c r="H23" i="2" s="1"/>
  <c r="C23" i="5" s="1"/>
  <c r="I23" i="2"/>
  <c r="E21" i="2"/>
  <c r="H21" i="2" s="1"/>
  <c r="C21" i="5" s="1"/>
  <c r="I21" i="2"/>
  <c r="E19" i="2"/>
  <c r="H19" i="2" s="1"/>
  <c r="C19" i="5" s="1"/>
  <c r="I19" i="2"/>
  <c r="E17" i="2"/>
  <c r="H17" i="2" s="1"/>
  <c r="C17" i="5" s="1"/>
  <c r="I17" i="2"/>
  <c r="E15" i="2"/>
  <c r="H15" i="2" s="1"/>
  <c r="C15" i="5" s="1"/>
  <c r="I15" i="2"/>
  <c r="E13" i="2"/>
  <c r="H13" i="2" s="1"/>
  <c r="C13" i="5" s="1"/>
  <c r="I13" i="2"/>
  <c r="E11" i="2"/>
  <c r="H11" i="2" s="1"/>
  <c r="C11" i="5" s="1"/>
  <c r="I11" i="2"/>
  <c r="E9" i="2"/>
  <c r="H9" i="2" s="1"/>
  <c r="C9" i="5" s="1"/>
  <c r="I9" i="2"/>
  <c r="E7" i="2"/>
  <c r="H7" i="2" s="1"/>
  <c r="C7" i="5" s="1"/>
  <c r="I7" i="2"/>
  <c r="E5" i="2"/>
  <c r="H5" i="2" s="1"/>
  <c r="C5" i="5" s="1"/>
  <c r="I5" i="2"/>
  <c r="E87" i="2"/>
  <c r="H87" i="2" s="1"/>
  <c r="C87" i="5" s="1"/>
  <c r="I84" i="2"/>
  <c r="I80" i="2"/>
  <c r="I76" i="2"/>
  <c r="K74" i="2"/>
  <c r="E67" i="2"/>
  <c r="H67" i="2" s="1"/>
  <c r="C67" i="5" s="1"/>
  <c r="I67" i="2"/>
  <c r="I66" i="2"/>
  <c r="K60" i="2"/>
  <c r="K22" i="2"/>
  <c r="K20" i="2"/>
  <c r="K16" i="2"/>
  <c r="K14" i="2"/>
  <c r="K12" i="2"/>
  <c r="K10" i="2"/>
  <c r="K8" i="2"/>
  <c r="K6" i="2"/>
  <c r="K4" i="2"/>
  <c r="E3" i="2"/>
  <c r="C17" i="8" l="1"/>
  <c r="F45" i="8"/>
  <c r="E51" i="8"/>
  <c r="J65" i="8"/>
  <c r="D15" i="8"/>
  <c r="D16" i="8"/>
  <c r="J63" i="8"/>
  <c r="E45" i="8"/>
  <c r="E17" i="8"/>
  <c r="F16" i="8"/>
  <c r="J68" i="8"/>
  <c r="G38" i="8"/>
  <c r="G42" i="8"/>
  <c r="G44" i="8"/>
  <c r="G41" i="8"/>
  <c r="G40" i="8"/>
  <c r="G39" i="8"/>
  <c r="H3" i="2"/>
  <c r="H25" i="8" s="1"/>
  <c r="I15" i="8"/>
  <c r="K15" i="8" s="1"/>
  <c r="G36" i="8"/>
  <c r="G37" i="8"/>
  <c r="F15" i="8"/>
  <c r="G43" i="8"/>
  <c r="E52" i="8"/>
  <c r="M6" i="5"/>
  <c r="H4" i="7" s="1"/>
  <c r="E53" i="8"/>
  <c r="Q7" i="5"/>
  <c r="J50" i="7" s="1"/>
  <c r="I51" i="8"/>
  <c r="B69" i="8" s="1"/>
  <c r="H51" i="8"/>
  <c r="G51" i="8"/>
  <c r="J51" i="7"/>
  <c r="R4" i="5"/>
  <c r="K189" i="7" s="1"/>
  <c r="H52" i="8"/>
  <c r="G52" i="8"/>
  <c r="J64" i="8"/>
  <c r="J62" i="8"/>
  <c r="R185" i="5"/>
  <c r="K287" i="7" s="1"/>
  <c r="R265" i="5"/>
  <c r="K34" i="7" s="1"/>
  <c r="R33" i="5"/>
  <c r="K58" i="7" s="1"/>
  <c r="R249" i="5"/>
  <c r="K133" i="7" s="1"/>
  <c r="R49" i="5"/>
  <c r="K64" i="7" s="1"/>
  <c r="R273" i="5"/>
  <c r="K143" i="7" s="1"/>
  <c r="R97" i="5"/>
  <c r="K233" i="7" s="1"/>
  <c r="R337" i="5"/>
  <c r="K365" i="7" s="1"/>
  <c r="R297" i="5"/>
  <c r="K39" i="7" s="1"/>
  <c r="R193" i="5"/>
  <c r="K113" i="7" s="1"/>
  <c r="R355" i="5"/>
  <c r="K172" i="7" s="1"/>
  <c r="R132" i="5"/>
  <c r="K93" i="7" s="1"/>
  <c r="R396" i="5"/>
  <c r="K186" i="7" s="1"/>
  <c r="R395" i="5"/>
  <c r="K398" i="7" s="1"/>
  <c r="R284" i="5"/>
  <c r="K338" i="7" s="1"/>
  <c r="R257" i="5"/>
  <c r="K324" i="7" s="1"/>
  <c r="R105" i="5"/>
  <c r="K238" i="7" s="1"/>
  <c r="R305" i="5"/>
  <c r="K40" i="7" s="1"/>
  <c r="R329" i="5"/>
  <c r="K360" i="7" s="1"/>
  <c r="R401" i="5"/>
  <c r="K402" i="7" s="1"/>
  <c r="R145" i="5"/>
  <c r="K265" i="7" s="1"/>
  <c r="R345" i="5"/>
  <c r="K369" i="7" s="1"/>
  <c r="R233" i="5"/>
  <c r="K313" i="7" s="1"/>
  <c r="R331" i="5"/>
  <c r="K164" i="7" s="1"/>
  <c r="R332" i="5"/>
  <c r="K362" i="7" s="1"/>
  <c r="R65" i="5"/>
  <c r="K218" i="7" s="1"/>
  <c r="R313" i="5"/>
  <c r="K157" i="7" s="1"/>
  <c r="R22" i="5"/>
  <c r="K198" i="7" s="1"/>
  <c r="R54" i="5"/>
  <c r="K211" i="7" s="1"/>
  <c r="R86" i="5"/>
  <c r="K19" i="7" s="1"/>
  <c r="R118" i="5"/>
  <c r="K89" i="7" s="1"/>
  <c r="R161" i="5"/>
  <c r="K103" i="7" s="1"/>
  <c r="R377" i="5"/>
  <c r="K48" i="7" s="1"/>
  <c r="R137" i="5"/>
  <c r="K259" i="7" s="1"/>
  <c r="R353" i="5"/>
  <c r="K46" i="7" s="1"/>
  <c r="R153" i="5"/>
  <c r="K267" i="7" s="1"/>
  <c r="R385" i="5"/>
  <c r="K391" i="7" s="1"/>
  <c r="R225" i="5"/>
  <c r="K310" i="7" s="1"/>
  <c r="R17" i="5"/>
  <c r="K195" i="7" s="1"/>
  <c r="R201" i="5"/>
  <c r="K298" i="7" s="1"/>
  <c r="R73" i="5"/>
  <c r="K74" i="7" s="1"/>
  <c r="R289" i="5"/>
  <c r="K341" i="7" s="1"/>
  <c r="R339" i="5"/>
  <c r="K366" i="7" s="1"/>
  <c r="R380" i="5"/>
  <c r="K389" i="7" s="1"/>
  <c r="R347" i="5"/>
  <c r="K170" i="7" s="1"/>
  <c r="R379" i="5"/>
  <c r="K388" i="7" s="1"/>
  <c r="R348" i="5"/>
  <c r="K370" i="7" s="1"/>
  <c r="R369" i="5"/>
  <c r="K384" i="7" s="1"/>
  <c r="R30" i="5"/>
  <c r="K10" i="7" s="1"/>
  <c r="R62" i="5"/>
  <c r="K216" i="7" s="1"/>
  <c r="R94" i="5"/>
  <c r="K231" i="7" s="1"/>
  <c r="R126" i="5"/>
  <c r="K253" i="7" s="1"/>
  <c r="R9" i="5"/>
  <c r="K5" i="7" s="1"/>
  <c r="R177" i="5"/>
  <c r="K109" i="7" s="1"/>
  <c r="R393" i="5"/>
  <c r="K49" i="7" s="1"/>
  <c r="R217" i="5"/>
  <c r="K122" i="7" s="1"/>
  <c r="R25" i="5"/>
  <c r="K7" i="7" s="1"/>
  <c r="R68" i="5"/>
  <c r="K71" i="7" s="1"/>
  <c r="R196" i="5"/>
  <c r="K115" i="7" s="1"/>
  <c r="R316" i="5"/>
  <c r="K42" i="7" s="1"/>
  <c r="R187" i="5"/>
  <c r="K111" i="7" s="1"/>
  <c r="R387" i="5"/>
  <c r="K393" i="7" s="1"/>
  <c r="R164" i="5"/>
  <c r="K273" i="7" s="1"/>
  <c r="R260" i="5"/>
  <c r="K139" i="7" s="1"/>
  <c r="R383" i="5"/>
  <c r="K390" i="7" s="1"/>
  <c r="R23" i="5"/>
  <c r="K199" i="7" s="1"/>
  <c r="R333" i="5"/>
  <c r="K165" i="7" s="1"/>
  <c r="R363" i="5"/>
  <c r="K175" i="7" s="1"/>
  <c r="R155" i="5"/>
  <c r="K23" i="7" s="1"/>
  <c r="R121" i="5"/>
  <c r="K249" i="7" s="1"/>
  <c r="R371" i="5"/>
  <c r="K386" i="7" s="1"/>
  <c r="R268" i="5"/>
  <c r="K141" i="7" s="1"/>
  <c r="R300" i="5"/>
  <c r="K347" i="7" s="1"/>
  <c r="R146" i="5"/>
  <c r="K98" i="7" s="1"/>
  <c r="R346" i="5"/>
  <c r="K169" i="7" s="1"/>
  <c r="R52" i="5"/>
  <c r="K209" i="7" s="1"/>
  <c r="R116" i="5"/>
  <c r="K88" i="7" s="1"/>
  <c r="R308" i="5"/>
  <c r="K351" i="7" s="1"/>
  <c r="R6" i="5"/>
  <c r="K4" i="7" s="1"/>
  <c r="R70" i="5"/>
  <c r="K72" i="7" s="1"/>
  <c r="R89" i="5"/>
  <c r="K80" i="7" s="1"/>
  <c r="R140" i="5"/>
  <c r="K261" i="7" s="1"/>
  <c r="R204" i="5"/>
  <c r="K116" i="7" s="1"/>
  <c r="R236" i="5"/>
  <c r="K315" i="7" s="1"/>
  <c r="R77" i="5"/>
  <c r="K76" i="7" s="1"/>
  <c r="R172" i="5"/>
  <c r="K278" i="7" s="1"/>
  <c r="R123" i="5"/>
  <c r="K250" i="7" s="1"/>
  <c r="R14" i="5"/>
  <c r="K54" i="7" s="1"/>
  <c r="R46" i="5"/>
  <c r="K206" i="7" s="1"/>
  <c r="R78" i="5"/>
  <c r="K17" i="7" s="1"/>
  <c r="R110" i="5"/>
  <c r="K241" i="7" s="1"/>
  <c r="R113" i="5"/>
  <c r="K243" i="7" s="1"/>
  <c r="R323" i="5"/>
  <c r="K356" i="7" s="1"/>
  <c r="R13" i="5"/>
  <c r="K53" i="7" s="1"/>
  <c r="R32" i="5"/>
  <c r="K201" i="7" s="1"/>
  <c r="R251" i="5"/>
  <c r="K134" i="7" s="1"/>
  <c r="R147" i="5"/>
  <c r="K99" i="7" s="1"/>
  <c r="R195" i="5"/>
  <c r="K293" i="7" s="1"/>
  <c r="R38" i="5"/>
  <c r="K61" i="7" s="1"/>
  <c r="R102" i="5"/>
  <c r="K236" i="7" s="1"/>
  <c r="R57" i="5"/>
  <c r="K213" i="7" s="1"/>
  <c r="R340" i="5"/>
  <c r="K44" i="7" s="1"/>
  <c r="R372" i="5"/>
  <c r="K387" i="7" s="1"/>
  <c r="R131" i="5"/>
  <c r="K92" i="7" s="1"/>
  <c r="R29" i="5"/>
  <c r="K9" i="7" s="1"/>
  <c r="R61" i="5"/>
  <c r="K215" i="7" s="1"/>
  <c r="R93" i="5"/>
  <c r="K230" i="7" s="1"/>
  <c r="R125" i="5"/>
  <c r="K252" i="7" s="1"/>
  <c r="R157" i="5"/>
  <c r="K24" i="7" s="1"/>
  <c r="R189" i="5"/>
  <c r="K290" i="7" s="1"/>
  <c r="R221" i="5"/>
  <c r="K307" i="7" s="1"/>
  <c r="R253" i="5"/>
  <c r="K135" i="7" s="1"/>
  <c r="R285" i="5"/>
  <c r="K339" i="7" s="1"/>
  <c r="R317" i="5"/>
  <c r="K158" i="7" s="1"/>
  <c r="R349" i="5"/>
  <c r="K371" i="7" s="1"/>
  <c r="R381" i="5"/>
  <c r="K181" i="7" s="1"/>
  <c r="R106" i="5"/>
  <c r="K239" i="7" s="1"/>
  <c r="R290" i="5"/>
  <c r="K149" i="7" s="1"/>
  <c r="R142" i="5"/>
  <c r="K262" i="7" s="1"/>
  <c r="R174" i="5"/>
  <c r="K107" i="7" s="1"/>
  <c r="R206" i="5"/>
  <c r="K118" i="7" s="1"/>
  <c r="R238" i="5"/>
  <c r="K30" i="7" s="1"/>
  <c r="R270" i="5"/>
  <c r="K331" i="7" s="1"/>
  <c r="R302" i="5"/>
  <c r="K152" i="7" s="1"/>
  <c r="R334" i="5"/>
  <c r="K363" i="7" s="1"/>
  <c r="R366" i="5"/>
  <c r="K381" i="7" s="1"/>
  <c r="R398" i="5"/>
  <c r="K400" i="7" s="1"/>
  <c r="R162" i="5"/>
  <c r="K272" i="7" s="1"/>
  <c r="R354" i="5"/>
  <c r="K374" i="7" s="1"/>
  <c r="R55" i="5"/>
  <c r="K212" i="7" s="1"/>
  <c r="R119" i="5"/>
  <c r="K247" i="7" s="1"/>
  <c r="R151" i="5"/>
  <c r="K22" i="7" s="1"/>
  <c r="R183" i="5"/>
  <c r="K110" i="7" s="1"/>
  <c r="R215" i="5"/>
  <c r="K27" i="7" s="1"/>
  <c r="R247" i="5"/>
  <c r="K132" i="7" s="1"/>
  <c r="R279" i="5"/>
  <c r="K147" i="7" s="1"/>
  <c r="R311" i="5"/>
  <c r="K353" i="7" s="1"/>
  <c r="R343" i="5"/>
  <c r="K367" i="7" s="1"/>
  <c r="R375" i="5"/>
  <c r="K179" i="7" s="1"/>
  <c r="R50" i="5"/>
  <c r="K208" i="7" s="1"/>
  <c r="R226" i="5"/>
  <c r="K125" i="7" s="1"/>
  <c r="R64" i="5"/>
  <c r="K217" i="7" s="1"/>
  <c r="R128" i="5"/>
  <c r="K254" i="7" s="1"/>
  <c r="R160" i="5"/>
  <c r="K271" i="7" s="1"/>
  <c r="R192" i="5"/>
  <c r="K292" i="7" s="1"/>
  <c r="R224" i="5"/>
  <c r="K124" i="7" s="1"/>
  <c r="R256" i="5"/>
  <c r="K137" i="7" s="1"/>
  <c r="R288" i="5"/>
  <c r="K148" i="7" s="1"/>
  <c r="R320" i="5"/>
  <c r="K160" i="7" s="1"/>
  <c r="R352" i="5"/>
  <c r="K373" i="7" s="1"/>
  <c r="R384" i="5"/>
  <c r="K183" i="7" s="1"/>
  <c r="R130" i="5"/>
  <c r="K256" i="7" s="1"/>
  <c r="R322" i="5"/>
  <c r="K162" i="7" s="1"/>
  <c r="R34" i="5"/>
  <c r="K202" i="7" s="1"/>
  <c r="R218" i="5"/>
  <c r="K28" i="7" s="1"/>
  <c r="R20" i="5"/>
  <c r="K197" i="7" s="1"/>
  <c r="R11" i="5"/>
  <c r="K192" i="7" s="1"/>
  <c r="R211" i="5"/>
  <c r="K303" i="7" s="1"/>
  <c r="R3" i="5"/>
  <c r="R43" i="5"/>
  <c r="K14" i="7" s="1"/>
  <c r="R235" i="5"/>
  <c r="K314" i="7" s="1"/>
  <c r="R59" i="5"/>
  <c r="K66" i="7" s="1"/>
  <c r="R243" i="5"/>
  <c r="K318" i="7" s="1"/>
  <c r="R19" i="5"/>
  <c r="K6" i="7" s="1"/>
  <c r="R315" i="5"/>
  <c r="K41" i="7" s="1"/>
  <c r="R219" i="5"/>
  <c r="K306" i="7" s="1"/>
  <c r="R171" i="5"/>
  <c r="K277" i="7" s="1"/>
  <c r="R194" i="5"/>
  <c r="K114" i="7" s="1"/>
  <c r="R386" i="5"/>
  <c r="K392" i="7" s="1"/>
  <c r="R28" i="5"/>
  <c r="K57" i="7" s="1"/>
  <c r="R60" i="5"/>
  <c r="K67" i="7" s="1"/>
  <c r="R92" i="5"/>
  <c r="K229" i="7" s="1"/>
  <c r="R124" i="5"/>
  <c r="K251" i="7" s="1"/>
  <c r="R321" i="5"/>
  <c r="K161" i="7" s="1"/>
  <c r="R81" i="5"/>
  <c r="K77" i="7" s="1"/>
  <c r="R169" i="5"/>
  <c r="K276" i="7" s="1"/>
  <c r="R148" i="5"/>
  <c r="K21" i="7" s="1"/>
  <c r="R276" i="5"/>
  <c r="K145" i="7" s="1"/>
  <c r="R203" i="5"/>
  <c r="K300" i="7" s="1"/>
  <c r="R5" i="5"/>
  <c r="K190" i="7" s="1"/>
  <c r="R37" i="5"/>
  <c r="K60" i="7" s="1"/>
  <c r="R69" i="5"/>
  <c r="K219" i="7" s="1"/>
  <c r="R101" i="5"/>
  <c r="K84" i="7" s="1"/>
  <c r="R133" i="5"/>
  <c r="K257" i="7" s="1"/>
  <c r="R165" i="5"/>
  <c r="K274" i="7" s="1"/>
  <c r="R197" i="5"/>
  <c r="K294" i="7" s="1"/>
  <c r="R229" i="5"/>
  <c r="K312" i="7" s="1"/>
  <c r="R261" i="5"/>
  <c r="K326" i="7" s="1"/>
  <c r="R293" i="5"/>
  <c r="K343" i="7" s="1"/>
  <c r="R325" i="5"/>
  <c r="K43" i="7" s="1"/>
  <c r="R357" i="5"/>
  <c r="K376" i="7" s="1"/>
  <c r="R389" i="5"/>
  <c r="K184" i="7" s="1"/>
  <c r="R154" i="5"/>
  <c r="K268" i="7" s="1"/>
  <c r="R338" i="5"/>
  <c r="K167" i="7" s="1"/>
  <c r="R150" i="5"/>
  <c r="K266" i="7" s="1"/>
  <c r="R182" i="5"/>
  <c r="K285" i="7" s="1"/>
  <c r="R214" i="5"/>
  <c r="K121" i="7" s="1"/>
  <c r="R246" i="5"/>
  <c r="K320" i="7" s="1"/>
  <c r="R278" i="5"/>
  <c r="K146" i="7" s="1"/>
  <c r="R310" i="5"/>
  <c r="K155" i="7" s="1"/>
  <c r="R342" i="5"/>
  <c r="K168" i="7" s="1"/>
  <c r="R374" i="5"/>
  <c r="K178" i="7" s="1"/>
  <c r="R42" i="5"/>
  <c r="K204" i="7" s="1"/>
  <c r="R210" i="5"/>
  <c r="K119" i="7" s="1"/>
  <c r="R402" i="5"/>
  <c r="K403" i="7" s="1"/>
  <c r="R31" i="5"/>
  <c r="K11" i="7" s="1"/>
  <c r="R63" i="5"/>
  <c r="K68" i="7" s="1"/>
  <c r="R95" i="5"/>
  <c r="K232" i="7" s="1"/>
  <c r="R127" i="5"/>
  <c r="K91" i="7" s="1"/>
  <c r="R159" i="5"/>
  <c r="K270" i="7" s="1"/>
  <c r="R191" i="5"/>
  <c r="K112" i="7" s="1"/>
  <c r="R223" i="5"/>
  <c r="K309" i="7" s="1"/>
  <c r="R255" i="5"/>
  <c r="K323" i="7" s="1"/>
  <c r="R287" i="5"/>
  <c r="K340" i="7" s="1"/>
  <c r="R319" i="5"/>
  <c r="K159" i="7" s="1"/>
  <c r="R351" i="5"/>
  <c r="K372" i="7" s="1"/>
  <c r="R90" i="5"/>
  <c r="K228" i="7" s="1"/>
  <c r="R274" i="5"/>
  <c r="K144" i="7" s="1"/>
  <c r="R8" i="5"/>
  <c r="K51" i="7" s="1"/>
  <c r="R40" i="5"/>
  <c r="K203" i="7" s="1"/>
  <c r="R72" i="5"/>
  <c r="K220" i="7" s="1"/>
  <c r="R104" i="5"/>
  <c r="K237" i="7" s="1"/>
  <c r="R136" i="5"/>
  <c r="K95" i="7" s="1"/>
  <c r="R168" i="5"/>
  <c r="K106" i="7" s="1"/>
  <c r="R200" i="5"/>
  <c r="K297" i="7" s="1"/>
  <c r="R232" i="5"/>
  <c r="K128" i="7" s="1"/>
  <c r="R264" i="5"/>
  <c r="K328" i="7" s="1"/>
  <c r="R296" i="5"/>
  <c r="K151" i="7" s="1"/>
  <c r="R328" i="5"/>
  <c r="K359" i="7" s="1"/>
  <c r="R360" i="5"/>
  <c r="K378" i="7" s="1"/>
  <c r="R392" i="5"/>
  <c r="K396" i="7" s="1"/>
  <c r="R186" i="5"/>
  <c r="K288" i="7" s="1"/>
  <c r="R370" i="5"/>
  <c r="K385" i="7" s="1"/>
  <c r="R82" i="5"/>
  <c r="K225" i="7" s="1"/>
  <c r="R266" i="5"/>
  <c r="K35" i="7" s="1"/>
  <c r="R84" i="5"/>
  <c r="K226" i="7" s="1"/>
  <c r="R180" i="5"/>
  <c r="K283" i="7" s="1"/>
  <c r="R212" i="5"/>
  <c r="K304" i="7" s="1"/>
  <c r="R244" i="5"/>
  <c r="K319" i="7" s="1"/>
  <c r="R67" i="5"/>
  <c r="K70" i="7" s="1"/>
  <c r="R267" i="5"/>
  <c r="K329" i="7" s="1"/>
  <c r="R83" i="5"/>
  <c r="K18" i="7" s="1"/>
  <c r="R307" i="5"/>
  <c r="K154" i="7" s="1"/>
  <c r="R99" i="5"/>
  <c r="K83" i="7" s="1"/>
  <c r="R299" i="5"/>
  <c r="K346" i="7" s="1"/>
  <c r="R47" i="5"/>
  <c r="K207" i="7" s="1"/>
  <c r="R111" i="5"/>
  <c r="K242" i="7" s="1"/>
  <c r="R175" i="5"/>
  <c r="K280" i="7" s="1"/>
  <c r="R239" i="5"/>
  <c r="K31" i="7" s="1"/>
  <c r="R303" i="5"/>
  <c r="K153" i="7" s="1"/>
  <c r="R367" i="5"/>
  <c r="K382" i="7" s="1"/>
  <c r="R96" i="5"/>
  <c r="K82" i="7" s="1"/>
  <c r="R115" i="5"/>
  <c r="K245" i="7" s="1"/>
  <c r="R27" i="5"/>
  <c r="K56" i="7" s="1"/>
  <c r="R275" i="5"/>
  <c r="K333" i="7" s="1"/>
  <c r="R227" i="5"/>
  <c r="K311" i="7" s="1"/>
  <c r="R10" i="5"/>
  <c r="K191" i="7" s="1"/>
  <c r="R242" i="5"/>
  <c r="K32" i="7" s="1"/>
  <c r="R36" i="5"/>
  <c r="K12" i="7" s="1"/>
  <c r="R100" i="5"/>
  <c r="K235" i="7" s="1"/>
  <c r="R156" i="5"/>
  <c r="K102" i="7" s="1"/>
  <c r="R188" i="5"/>
  <c r="K289" i="7" s="1"/>
  <c r="R220" i="5"/>
  <c r="K123" i="7" s="1"/>
  <c r="R324" i="5"/>
  <c r="K163" i="7" s="1"/>
  <c r="R356" i="5"/>
  <c r="K375" i="7" s="1"/>
  <c r="R388" i="5"/>
  <c r="K394" i="7" s="1"/>
  <c r="R35" i="5"/>
  <c r="K59" i="7" s="1"/>
  <c r="R259" i="5"/>
  <c r="K325" i="7" s="1"/>
  <c r="R45" i="5"/>
  <c r="K63" i="7" s="1"/>
  <c r="R109" i="5"/>
  <c r="K240" i="7" s="1"/>
  <c r="R141" i="5"/>
  <c r="K97" i="7" s="1"/>
  <c r="R173" i="5"/>
  <c r="K279" i="7" s="1"/>
  <c r="R205" i="5"/>
  <c r="K117" i="7" s="1"/>
  <c r="R237" i="5"/>
  <c r="K316" i="7" s="1"/>
  <c r="R269" i="5"/>
  <c r="K330" i="7" s="1"/>
  <c r="R301" i="5"/>
  <c r="K348" i="7" s="1"/>
  <c r="R365" i="5"/>
  <c r="K380" i="7" s="1"/>
  <c r="R397" i="5"/>
  <c r="K399" i="7" s="1"/>
  <c r="R26" i="5"/>
  <c r="K8" i="7" s="1"/>
  <c r="R202" i="5"/>
  <c r="K299" i="7" s="1"/>
  <c r="R394" i="5"/>
  <c r="K397" i="7" s="1"/>
  <c r="R158" i="5"/>
  <c r="K269" i="7" s="1"/>
  <c r="R190" i="5"/>
  <c r="K291" i="7" s="1"/>
  <c r="R222" i="5"/>
  <c r="K308" i="7" s="1"/>
  <c r="R254" i="5"/>
  <c r="K136" i="7" s="1"/>
  <c r="R286" i="5"/>
  <c r="K37" i="7" s="1"/>
  <c r="R318" i="5"/>
  <c r="K355" i="7" s="1"/>
  <c r="R350" i="5"/>
  <c r="K171" i="7" s="1"/>
  <c r="R382" i="5"/>
  <c r="K182" i="7" s="1"/>
  <c r="R74" i="5"/>
  <c r="K221" i="7" s="1"/>
  <c r="R258" i="5"/>
  <c r="K138" i="7" s="1"/>
  <c r="R7" i="5"/>
  <c r="K50" i="7" s="1"/>
  <c r="R39" i="5"/>
  <c r="K13" i="7" s="1"/>
  <c r="R71" i="5"/>
  <c r="K73" i="7" s="1"/>
  <c r="R103" i="5"/>
  <c r="K20" i="7" s="1"/>
  <c r="R135" i="5"/>
  <c r="K94" i="7" s="1"/>
  <c r="R167" i="5"/>
  <c r="K105" i="7" s="1"/>
  <c r="R199" i="5"/>
  <c r="K296" i="7" s="1"/>
  <c r="R231" i="5"/>
  <c r="K127" i="7" s="1"/>
  <c r="R263" i="5"/>
  <c r="K327" i="7" s="1"/>
  <c r="R295" i="5"/>
  <c r="K38" i="7" s="1"/>
  <c r="R327" i="5"/>
  <c r="K358" i="7" s="1"/>
  <c r="R359" i="5"/>
  <c r="K173" i="7" s="1"/>
  <c r="R391" i="5"/>
  <c r="R122" i="5"/>
  <c r="K90" i="7" s="1"/>
  <c r="R330" i="5"/>
  <c r="K361" i="7" s="1"/>
  <c r="R16" i="5"/>
  <c r="K194" i="7" s="1"/>
  <c r="R48" i="5"/>
  <c r="K15" i="7" s="1"/>
  <c r="R80" i="5"/>
  <c r="K224" i="7" s="1"/>
  <c r="R112" i="5"/>
  <c r="K87" i="7" s="1"/>
  <c r="R144" i="5"/>
  <c r="K264" i="7" s="1"/>
  <c r="R176" i="5"/>
  <c r="K108" i="7" s="1"/>
  <c r="R208" i="5"/>
  <c r="K26" i="7" s="1"/>
  <c r="R240" i="5"/>
  <c r="K130" i="7" s="1"/>
  <c r="R272" i="5"/>
  <c r="K142" i="7" s="1"/>
  <c r="R304" i="5"/>
  <c r="K349" i="7" s="1"/>
  <c r="R336" i="5"/>
  <c r="K166" i="7" s="1"/>
  <c r="R368" i="5"/>
  <c r="K383" i="7" s="1"/>
  <c r="R400" i="5"/>
  <c r="K187" i="7" s="1"/>
  <c r="R18" i="5"/>
  <c r="K196" i="7" s="1"/>
  <c r="R234" i="5"/>
  <c r="K129" i="7" s="1"/>
  <c r="R138" i="5"/>
  <c r="K96" i="7" s="1"/>
  <c r="R314" i="5"/>
  <c r="K354" i="7" s="1"/>
  <c r="R252" i="5"/>
  <c r="K33" i="7" s="1"/>
  <c r="R292" i="5"/>
  <c r="K342" i="7" s="1"/>
  <c r="R107" i="5"/>
  <c r="K85" i="7" s="1"/>
  <c r="R139" i="5"/>
  <c r="K260" i="7" s="1"/>
  <c r="R163" i="5"/>
  <c r="K104" i="7" s="1"/>
  <c r="R87" i="5"/>
  <c r="K78" i="7" s="1"/>
  <c r="R179" i="5"/>
  <c r="K282" i="7" s="1"/>
  <c r="R75" i="5"/>
  <c r="K222" i="7" s="1"/>
  <c r="R51" i="5"/>
  <c r="K65" i="7" s="1"/>
  <c r="R283" i="5"/>
  <c r="K36" i="7" s="1"/>
  <c r="R98" i="5"/>
  <c r="K234" i="7" s="1"/>
  <c r="R298" i="5"/>
  <c r="K345" i="7" s="1"/>
  <c r="R12" i="5"/>
  <c r="K52" i="7" s="1"/>
  <c r="R44" i="5"/>
  <c r="K205" i="7" s="1"/>
  <c r="R76" i="5"/>
  <c r="K75" i="7" s="1"/>
  <c r="R108" i="5"/>
  <c r="K86" i="7" s="1"/>
  <c r="R209" i="5"/>
  <c r="K302" i="7" s="1"/>
  <c r="R281" i="5"/>
  <c r="K336" i="7" s="1"/>
  <c r="R41" i="5"/>
  <c r="K62" i="7" s="1"/>
  <c r="R241" i="5"/>
  <c r="K317" i="7" s="1"/>
  <c r="R129" i="5"/>
  <c r="K255" i="7" s="1"/>
  <c r="R361" i="5"/>
  <c r="K379" i="7" s="1"/>
  <c r="R228" i="5"/>
  <c r="K126" i="7" s="1"/>
  <c r="R364" i="5"/>
  <c r="K176" i="7" s="1"/>
  <c r="R91" i="5"/>
  <c r="K81" i="7" s="1"/>
  <c r="R291" i="5"/>
  <c r="K150" i="7" s="1"/>
  <c r="R21" i="5"/>
  <c r="K55" i="7" s="1"/>
  <c r="R53" i="5"/>
  <c r="K210" i="7" s="1"/>
  <c r="R85" i="5"/>
  <c r="K227" i="7" s="1"/>
  <c r="R117" i="5"/>
  <c r="K246" i="7" s="1"/>
  <c r="R149" i="5"/>
  <c r="K100" i="7" s="1"/>
  <c r="R181" i="5"/>
  <c r="K284" i="7" s="1"/>
  <c r="R213" i="5"/>
  <c r="K120" i="7" s="1"/>
  <c r="R245" i="5"/>
  <c r="K131" i="7" s="1"/>
  <c r="R277" i="5"/>
  <c r="K334" i="7" s="1"/>
  <c r="R309" i="5"/>
  <c r="K352" i="7" s="1"/>
  <c r="R341" i="5"/>
  <c r="K45" i="7" s="1"/>
  <c r="R373" i="5"/>
  <c r="K177" i="7" s="1"/>
  <c r="R58" i="5"/>
  <c r="K214" i="7" s="1"/>
  <c r="R250" i="5"/>
  <c r="K322" i="7" s="1"/>
  <c r="R134" i="5"/>
  <c r="K258" i="7" s="1"/>
  <c r="R166" i="5"/>
  <c r="K275" i="7" s="1"/>
  <c r="R198" i="5"/>
  <c r="K295" i="7" s="1"/>
  <c r="R230" i="5"/>
  <c r="K29" i="7" s="1"/>
  <c r="R262" i="5"/>
  <c r="K140" i="7" s="1"/>
  <c r="R294" i="5"/>
  <c r="K344" i="7" s="1"/>
  <c r="R326" i="5"/>
  <c r="K357" i="7" s="1"/>
  <c r="R358" i="5"/>
  <c r="K377" i="7" s="1"/>
  <c r="R390" i="5"/>
  <c r="K395" i="7" s="1"/>
  <c r="R114" i="5"/>
  <c r="K244" i="7" s="1"/>
  <c r="R306" i="5"/>
  <c r="K350" i="7" s="1"/>
  <c r="R15" i="5"/>
  <c r="K193" i="7" s="1"/>
  <c r="R79" i="5"/>
  <c r="K223" i="7" s="1"/>
  <c r="R143" i="5"/>
  <c r="K263" i="7" s="1"/>
  <c r="R207" i="5"/>
  <c r="K301" i="7" s="1"/>
  <c r="R271" i="5"/>
  <c r="K332" i="7" s="1"/>
  <c r="R335" i="5"/>
  <c r="K364" i="7" s="1"/>
  <c r="R399" i="5"/>
  <c r="K401" i="7" s="1"/>
  <c r="R170" i="5"/>
  <c r="K25" i="7" s="1"/>
  <c r="R378" i="5"/>
  <c r="K180" i="7" s="1"/>
  <c r="R24" i="5"/>
  <c r="K200" i="7" s="1"/>
  <c r="R56" i="5"/>
  <c r="K16" i="7" s="1"/>
  <c r="R88" i="5"/>
  <c r="K79" i="7" s="1"/>
  <c r="R120" i="5"/>
  <c r="K248" i="7" s="1"/>
  <c r="R152" i="5"/>
  <c r="K101" i="7" s="1"/>
  <c r="R184" i="5"/>
  <c r="K286" i="7" s="1"/>
  <c r="R216" i="5"/>
  <c r="K305" i="7" s="1"/>
  <c r="R248" i="5"/>
  <c r="K321" i="7" s="1"/>
  <c r="R280" i="5"/>
  <c r="K335" i="7" s="1"/>
  <c r="R312" i="5"/>
  <c r="K156" i="7" s="1"/>
  <c r="R344" i="5"/>
  <c r="K368" i="7" s="1"/>
  <c r="R376" i="5"/>
  <c r="K47" i="7" s="1"/>
  <c r="R66" i="5"/>
  <c r="K69" i="7" s="1"/>
  <c r="R282" i="5"/>
  <c r="K337" i="7" s="1"/>
  <c r="R178" i="5"/>
  <c r="K281" i="7" s="1"/>
  <c r="R362" i="5"/>
  <c r="K174" i="7" s="1"/>
  <c r="J227" i="2"/>
  <c r="D227" i="5" s="1"/>
  <c r="C311" i="7" s="1"/>
  <c r="J141" i="2"/>
  <c r="D141" i="5" s="1"/>
  <c r="C97" i="7" s="1"/>
  <c r="J60" i="2"/>
  <c r="D60" i="5" s="1"/>
  <c r="C67" i="7" s="1"/>
  <c r="J55" i="2"/>
  <c r="D55" i="5" s="1"/>
  <c r="C212" i="7" s="1"/>
  <c r="J222" i="2"/>
  <c r="D222" i="5" s="1"/>
  <c r="C308" i="7" s="1"/>
  <c r="J280" i="2"/>
  <c r="D280" i="5" s="1"/>
  <c r="C335" i="7" s="1"/>
  <c r="J286" i="2"/>
  <c r="D286" i="5" s="1"/>
  <c r="C37" i="7" s="1"/>
  <c r="J38" i="2"/>
  <c r="D38" i="5" s="1"/>
  <c r="C61" i="7" s="1"/>
  <c r="J78" i="2"/>
  <c r="D78" i="5" s="1"/>
  <c r="C17" i="7" s="1"/>
  <c r="J34" i="2"/>
  <c r="D34" i="5" s="1"/>
  <c r="C202" i="7" s="1"/>
  <c r="J28" i="2"/>
  <c r="D28" i="5" s="1"/>
  <c r="C57" i="7" s="1"/>
  <c r="J88" i="2"/>
  <c r="D88" i="5" s="1"/>
  <c r="C79" i="7" s="1"/>
  <c r="J160" i="2"/>
  <c r="D160" i="5" s="1"/>
  <c r="C271" i="7" s="1"/>
  <c r="J304" i="2"/>
  <c r="D304" i="5" s="1"/>
  <c r="C349" i="7" s="1"/>
  <c r="J345" i="2"/>
  <c r="D345" i="5" s="1"/>
  <c r="C369" i="7" s="1"/>
  <c r="J368" i="2"/>
  <c r="D368" i="5" s="1"/>
  <c r="C383" i="7" s="1"/>
  <c r="J97" i="2"/>
  <c r="D97" i="5" s="1"/>
  <c r="C233" i="7" s="1"/>
  <c r="J154" i="2"/>
  <c r="D154" i="5" s="1"/>
  <c r="C268" i="7" s="1"/>
  <c r="J133" i="2"/>
  <c r="D133" i="5" s="1"/>
  <c r="C257" i="7" s="1"/>
  <c r="J83" i="2"/>
  <c r="D83" i="5" s="1"/>
  <c r="C18" i="7" s="1"/>
  <c r="J123" i="2"/>
  <c r="D123" i="5" s="1"/>
  <c r="C250" i="7" s="1"/>
  <c r="J73" i="2"/>
  <c r="D73" i="5" s="1"/>
  <c r="C74" i="7" s="1"/>
  <c r="J120" i="2"/>
  <c r="D120" i="5" s="1"/>
  <c r="C248" i="7" s="1"/>
  <c r="J92" i="2"/>
  <c r="D92" i="5" s="1"/>
  <c r="C229" i="7" s="1"/>
  <c r="J100" i="2"/>
  <c r="D100" i="5" s="1"/>
  <c r="C235" i="7" s="1"/>
  <c r="J108" i="2"/>
  <c r="D108" i="5" s="1"/>
  <c r="C86" i="7" s="1"/>
  <c r="J119" i="2"/>
  <c r="D119" i="5" s="1"/>
  <c r="C247" i="7" s="1"/>
  <c r="J205" i="2"/>
  <c r="D205" i="5" s="1"/>
  <c r="C117" i="7" s="1"/>
  <c r="J310" i="2"/>
  <c r="D310" i="5" s="1"/>
  <c r="C155" i="7" s="1"/>
  <c r="J349" i="2"/>
  <c r="D349" i="5" s="1"/>
  <c r="C371" i="7" s="1"/>
  <c r="J162" i="2"/>
  <c r="D162" i="5" s="1"/>
  <c r="C272" i="7" s="1"/>
  <c r="J118" i="2"/>
  <c r="D118" i="5" s="1"/>
  <c r="C89" i="7" s="1"/>
  <c r="J37" i="2"/>
  <c r="D37" i="5" s="1"/>
  <c r="C60" i="7" s="1"/>
  <c r="J15" i="2"/>
  <c r="D15" i="5" s="1"/>
  <c r="C193" i="7" s="1"/>
  <c r="J39" i="2"/>
  <c r="D39" i="5" s="1"/>
  <c r="C13" i="7" s="1"/>
  <c r="J71" i="2"/>
  <c r="D71" i="5" s="1"/>
  <c r="C73" i="7" s="1"/>
  <c r="J54" i="2"/>
  <c r="D54" i="5" s="1"/>
  <c r="C211" i="7" s="1"/>
  <c r="J125" i="2"/>
  <c r="D125" i="5" s="1"/>
  <c r="C252" i="7" s="1"/>
  <c r="J9" i="2"/>
  <c r="D9" i="5" s="1"/>
  <c r="C5" i="7" s="1"/>
  <c r="J17" i="2"/>
  <c r="D17" i="5" s="1"/>
  <c r="C195" i="7" s="1"/>
  <c r="J25" i="2"/>
  <c r="D25" i="5" s="1"/>
  <c r="C7" i="7" s="1"/>
  <c r="J33" i="2"/>
  <c r="D33" i="5" s="1"/>
  <c r="C58" i="7" s="1"/>
  <c r="J41" i="2"/>
  <c r="D41" i="5" s="1"/>
  <c r="C62" i="7" s="1"/>
  <c r="J49" i="2"/>
  <c r="D49" i="5" s="1"/>
  <c r="C64" i="7" s="1"/>
  <c r="J81" i="2"/>
  <c r="D81" i="5" s="1"/>
  <c r="C77" i="7" s="1"/>
  <c r="J32" i="2"/>
  <c r="D32" i="5" s="1"/>
  <c r="C201" i="7" s="1"/>
  <c r="J59" i="2"/>
  <c r="D59" i="5" s="1"/>
  <c r="C66" i="7" s="1"/>
  <c r="J137" i="2"/>
  <c r="D137" i="5" s="1"/>
  <c r="C259" i="7" s="1"/>
  <c r="J117" i="2"/>
  <c r="D117" i="5" s="1"/>
  <c r="C246" i="7" s="1"/>
  <c r="J299" i="2"/>
  <c r="D299" i="5" s="1"/>
  <c r="C346" i="7" s="1"/>
  <c r="J134" i="2"/>
  <c r="D134" i="5" s="1"/>
  <c r="C258" i="7" s="1"/>
  <c r="J142" i="2"/>
  <c r="D142" i="5" s="1"/>
  <c r="C262" i="7" s="1"/>
  <c r="J163" i="2"/>
  <c r="D163" i="5" s="1"/>
  <c r="C104" i="7" s="1"/>
  <c r="J171" i="2"/>
  <c r="D171" i="5" s="1"/>
  <c r="C277" i="7" s="1"/>
  <c r="J179" i="2"/>
  <c r="D179" i="5" s="1"/>
  <c r="C282" i="7" s="1"/>
  <c r="J187" i="2"/>
  <c r="D187" i="5" s="1"/>
  <c r="C111" i="7" s="1"/>
  <c r="J195" i="2"/>
  <c r="D195" i="5" s="1"/>
  <c r="C293" i="7" s="1"/>
  <c r="J225" i="2"/>
  <c r="D225" i="5" s="1"/>
  <c r="C310" i="7" s="1"/>
  <c r="J321" i="2"/>
  <c r="D321" i="5" s="1"/>
  <c r="C161" i="7" s="1"/>
  <c r="J344" i="2"/>
  <c r="D344" i="5" s="1"/>
  <c r="C368" i="7" s="1"/>
  <c r="J385" i="2"/>
  <c r="D385" i="5" s="1"/>
  <c r="C391" i="7" s="1"/>
  <c r="J402" i="2"/>
  <c r="D402" i="5" s="1"/>
  <c r="C403" i="7" s="1"/>
  <c r="J214" i="2"/>
  <c r="D214" i="5" s="1"/>
  <c r="C121" i="7" s="1"/>
  <c r="J266" i="2"/>
  <c r="D266" i="5" s="1"/>
  <c r="C35" i="7" s="1"/>
  <c r="J303" i="2"/>
  <c r="D303" i="5" s="1"/>
  <c r="C153" i="7" s="1"/>
  <c r="J335" i="2"/>
  <c r="D335" i="5" s="1"/>
  <c r="C364" i="7" s="1"/>
  <c r="J367" i="2"/>
  <c r="D367" i="5" s="1"/>
  <c r="C382" i="7" s="1"/>
  <c r="J316" i="2"/>
  <c r="D316" i="5" s="1"/>
  <c r="C42" i="7" s="1"/>
  <c r="J348" i="2"/>
  <c r="D348" i="5" s="1"/>
  <c r="C370" i="7" s="1"/>
  <c r="J380" i="2"/>
  <c r="D380" i="5" s="1"/>
  <c r="C389" i="7" s="1"/>
  <c r="J72" i="2"/>
  <c r="D72" i="5" s="1"/>
  <c r="C220" i="7" s="1"/>
  <c r="J155" i="2"/>
  <c r="D155" i="5" s="1"/>
  <c r="C23" i="7" s="1"/>
  <c r="J236" i="2"/>
  <c r="D236" i="5" s="1"/>
  <c r="C315" i="7" s="1"/>
  <c r="J290" i="2"/>
  <c r="D290" i="5" s="1"/>
  <c r="C149" i="7" s="1"/>
  <c r="J323" i="2"/>
  <c r="D323" i="5" s="1"/>
  <c r="C356" i="7" s="1"/>
  <c r="J355" i="2"/>
  <c r="D355" i="5" s="1"/>
  <c r="C172" i="7" s="1"/>
  <c r="J153" i="2"/>
  <c r="D153" i="5" s="1"/>
  <c r="C267" i="7" s="1"/>
  <c r="J224" i="2"/>
  <c r="D224" i="5" s="1"/>
  <c r="C124" i="7" s="1"/>
  <c r="J239" i="2"/>
  <c r="D239" i="5" s="1"/>
  <c r="C31" i="7" s="1"/>
  <c r="J164" i="2"/>
  <c r="D164" i="5" s="1"/>
  <c r="C273" i="7" s="1"/>
  <c r="J196" i="2"/>
  <c r="D196" i="5" s="1"/>
  <c r="C115" i="7" s="1"/>
  <c r="J278" i="2"/>
  <c r="D278" i="5" s="1"/>
  <c r="C146" i="7" s="1"/>
  <c r="J354" i="2"/>
  <c r="D354" i="5" s="1"/>
  <c r="C374" i="7" s="1"/>
  <c r="J58" i="2"/>
  <c r="D58" i="5" s="1"/>
  <c r="C214" i="7" s="1"/>
  <c r="J292" i="2"/>
  <c r="D292" i="5" s="1"/>
  <c r="C342" i="7" s="1"/>
  <c r="J192" i="2"/>
  <c r="D192" i="5" s="1"/>
  <c r="C292" i="7" s="1"/>
  <c r="J87" i="2"/>
  <c r="D87" i="5" s="1"/>
  <c r="C78" i="7" s="1"/>
  <c r="J11" i="2"/>
  <c r="D11" i="5" s="1"/>
  <c r="C192" i="7" s="1"/>
  <c r="J19" i="2"/>
  <c r="D19" i="5" s="1"/>
  <c r="C6" i="7" s="1"/>
  <c r="J27" i="2"/>
  <c r="D27" i="5" s="1"/>
  <c r="C56" i="7" s="1"/>
  <c r="J35" i="2"/>
  <c r="D35" i="5" s="1"/>
  <c r="C59" i="7" s="1"/>
  <c r="J43" i="2"/>
  <c r="D43" i="5" s="1"/>
  <c r="C14" i="7" s="1"/>
  <c r="J51" i="2"/>
  <c r="D51" i="5" s="1"/>
  <c r="C65" i="7" s="1"/>
  <c r="J8" i="2"/>
  <c r="D8" i="5" s="1"/>
  <c r="C51" i="7" s="1"/>
  <c r="J57" i="2"/>
  <c r="D57" i="5" s="1"/>
  <c r="C213" i="7" s="1"/>
  <c r="J70" i="2"/>
  <c r="D70" i="5" s="1"/>
  <c r="C72" i="7" s="1"/>
  <c r="J86" i="2"/>
  <c r="D86" i="5" s="1"/>
  <c r="C19" i="7" s="1"/>
  <c r="J145" i="2"/>
  <c r="D145" i="5" s="1"/>
  <c r="C265" i="7" s="1"/>
  <c r="J79" i="2"/>
  <c r="D79" i="5" s="1"/>
  <c r="C223" i="7" s="1"/>
  <c r="J150" i="2"/>
  <c r="D150" i="5" s="1"/>
  <c r="C266" i="7" s="1"/>
  <c r="J110" i="2"/>
  <c r="D110" i="5" s="1"/>
  <c r="C241" i="7" s="1"/>
  <c r="J126" i="2"/>
  <c r="D126" i="5" s="1"/>
  <c r="C253" i="7" s="1"/>
  <c r="J157" i="2"/>
  <c r="D157" i="5" s="1"/>
  <c r="C24" i="7" s="1"/>
  <c r="J165" i="2"/>
  <c r="D165" i="5" s="1"/>
  <c r="C274" i="7" s="1"/>
  <c r="J173" i="2"/>
  <c r="D173" i="5" s="1"/>
  <c r="C279" i="7" s="1"/>
  <c r="J181" i="2"/>
  <c r="D181" i="5" s="1"/>
  <c r="C284" i="7" s="1"/>
  <c r="J189" i="2"/>
  <c r="D189" i="5" s="1"/>
  <c r="C290" i="7" s="1"/>
  <c r="J197" i="2"/>
  <c r="D197" i="5" s="1"/>
  <c r="C294" i="7" s="1"/>
  <c r="J99" i="2"/>
  <c r="D99" i="5" s="1"/>
  <c r="C83" i="7" s="1"/>
  <c r="J229" i="2"/>
  <c r="D229" i="5" s="1"/>
  <c r="C312" i="7" s="1"/>
  <c r="J237" i="2"/>
  <c r="D237" i="5" s="1"/>
  <c r="C316" i="7" s="1"/>
  <c r="J305" i="2"/>
  <c r="D305" i="5" s="1"/>
  <c r="C40" i="7" s="1"/>
  <c r="J328" i="2"/>
  <c r="D328" i="5" s="1"/>
  <c r="C359" i="7" s="1"/>
  <c r="J369" i="2"/>
  <c r="D369" i="5" s="1"/>
  <c r="C384" i="7" s="1"/>
  <c r="J392" i="2"/>
  <c r="D392" i="5" s="1"/>
  <c r="C396" i="7" s="1"/>
  <c r="J217" i="2"/>
  <c r="D217" i="5" s="1"/>
  <c r="C122" i="7" s="1"/>
  <c r="J232" i="2"/>
  <c r="D232" i="5" s="1"/>
  <c r="C128" i="7" s="1"/>
  <c r="J263" i="2"/>
  <c r="D263" i="5" s="1"/>
  <c r="C327" i="7" s="1"/>
  <c r="J311" i="2"/>
  <c r="D311" i="5" s="1"/>
  <c r="C353" i="7" s="1"/>
  <c r="J343" i="2"/>
  <c r="D343" i="5" s="1"/>
  <c r="C367" i="7" s="1"/>
  <c r="J375" i="2"/>
  <c r="D375" i="5" s="1"/>
  <c r="C179" i="7" s="1"/>
  <c r="J276" i="2"/>
  <c r="D276" i="5" s="1"/>
  <c r="C145" i="7" s="1"/>
  <c r="J294" i="2"/>
  <c r="D294" i="5" s="1"/>
  <c r="C344" i="7" s="1"/>
  <c r="J324" i="2"/>
  <c r="D324" i="5" s="1"/>
  <c r="C163" i="7" s="1"/>
  <c r="J356" i="2"/>
  <c r="D356" i="5" s="1"/>
  <c r="C375" i="7" s="1"/>
  <c r="J388" i="2"/>
  <c r="D388" i="5" s="1"/>
  <c r="C394" i="7" s="1"/>
  <c r="J255" i="2"/>
  <c r="D255" i="5" s="1"/>
  <c r="C323" i="7" s="1"/>
  <c r="J331" i="2"/>
  <c r="D331" i="5" s="1"/>
  <c r="C164" i="7" s="1"/>
  <c r="J363" i="2"/>
  <c r="D363" i="5" s="1"/>
  <c r="C175" i="7" s="1"/>
  <c r="J244" i="2"/>
  <c r="D244" i="5" s="1"/>
  <c r="C319" i="7" s="1"/>
  <c r="J250" i="2"/>
  <c r="D250" i="5" s="1"/>
  <c r="C322" i="7" s="1"/>
  <c r="J172" i="2"/>
  <c r="D172" i="5" s="1"/>
  <c r="C278" i="7" s="1"/>
  <c r="J204" i="2"/>
  <c r="D204" i="5" s="1"/>
  <c r="C116" i="7" s="1"/>
  <c r="J283" i="2"/>
  <c r="D283" i="5" s="1"/>
  <c r="C36" i="7" s="1"/>
  <c r="J370" i="2"/>
  <c r="D370" i="5" s="1"/>
  <c r="C385" i="7" s="1"/>
  <c r="J4" i="2"/>
  <c r="D4" i="5" s="1"/>
  <c r="C189" i="7" s="1"/>
  <c r="J342" i="2"/>
  <c r="D342" i="5" s="1"/>
  <c r="C168" i="7" s="1"/>
  <c r="J381" i="2"/>
  <c r="D381" i="5" s="1"/>
  <c r="C181" i="7" s="1"/>
  <c r="J293" i="2"/>
  <c r="D293" i="5" s="1"/>
  <c r="C343" i="7" s="1"/>
  <c r="J194" i="2"/>
  <c r="D194" i="5" s="1"/>
  <c r="C114" i="7" s="1"/>
  <c r="J64" i="2"/>
  <c r="D64" i="5" s="1"/>
  <c r="C217" i="7" s="1"/>
  <c r="J240" i="2"/>
  <c r="D240" i="5" s="1"/>
  <c r="C130" i="7" s="1"/>
  <c r="J116" i="2"/>
  <c r="D116" i="5" s="1"/>
  <c r="C88" i="7" s="1"/>
  <c r="J362" i="2"/>
  <c r="D362" i="5" s="1"/>
  <c r="C174" i="7" s="1"/>
  <c r="J261" i="2"/>
  <c r="D261" i="5" s="1"/>
  <c r="C326" i="7" s="1"/>
  <c r="J66" i="2"/>
  <c r="D66" i="5" s="1"/>
  <c r="C69" i="7" s="1"/>
  <c r="J12" i="2"/>
  <c r="D12" i="5" s="1"/>
  <c r="C52" i="7" s="1"/>
  <c r="J42" i="2"/>
  <c r="D42" i="5" s="1"/>
  <c r="C204" i="7" s="1"/>
  <c r="J68" i="2"/>
  <c r="D68" i="5" s="1"/>
  <c r="C71" i="7" s="1"/>
  <c r="J89" i="2"/>
  <c r="D89" i="5" s="1"/>
  <c r="C80" i="7" s="1"/>
  <c r="J149" i="2"/>
  <c r="D149" i="5" s="1"/>
  <c r="C100" i="7" s="1"/>
  <c r="J147" i="2"/>
  <c r="D147" i="5" s="1"/>
  <c r="C99" i="7" s="1"/>
  <c r="J94" i="2"/>
  <c r="D94" i="5" s="1"/>
  <c r="C231" i="7" s="1"/>
  <c r="J102" i="2"/>
  <c r="D102" i="5" s="1"/>
  <c r="C236" i="7" s="1"/>
  <c r="J122" i="2"/>
  <c r="D122" i="5" s="1"/>
  <c r="C90" i="7" s="1"/>
  <c r="J207" i="2"/>
  <c r="D207" i="5" s="1"/>
  <c r="C301" i="7" s="1"/>
  <c r="J101" i="2"/>
  <c r="D101" i="5" s="1"/>
  <c r="C84" i="7" s="1"/>
  <c r="J231" i="2"/>
  <c r="D231" i="5" s="1"/>
  <c r="C127" i="7" s="1"/>
  <c r="J215" i="2"/>
  <c r="D215" i="5" s="1"/>
  <c r="C27" i="7" s="1"/>
  <c r="J251" i="2"/>
  <c r="D251" i="5" s="1"/>
  <c r="C134" i="7" s="1"/>
  <c r="J329" i="2"/>
  <c r="D329" i="5" s="1"/>
  <c r="C360" i="7" s="1"/>
  <c r="J352" i="2"/>
  <c r="D352" i="5" s="1"/>
  <c r="C373" i="7" s="1"/>
  <c r="J393" i="2"/>
  <c r="D393" i="5" s="1"/>
  <c r="C49" i="7" s="1"/>
  <c r="J264" i="2"/>
  <c r="D264" i="5" s="1"/>
  <c r="C328" i="7" s="1"/>
  <c r="J318" i="2"/>
  <c r="D318" i="5" s="1"/>
  <c r="C355" i="7" s="1"/>
  <c r="J350" i="2"/>
  <c r="D350" i="5" s="1"/>
  <c r="C171" i="7" s="1"/>
  <c r="J382" i="2"/>
  <c r="D382" i="5" s="1"/>
  <c r="C182" i="7" s="1"/>
  <c r="J243" i="2"/>
  <c r="D243" i="5" s="1"/>
  <c r="C318" i="7" s="1"/>
  <c r="J296" i="2"/>
  <c r="D296" i="5" s="1"/>
  <c r="C151" i="7" s="1"/>
  <c r="J325" i="2"/>
  <c r="D325" i="5" s="1"/>
  <c r="C43" i="7" s="1"/>
  <c r="J357" i="2"/>
  <c r="D357" i="5" s="1"/>
  <c r="C376" i="7" s="1"/>
  <c r="J389" i="2"/>
  <c r="D389" i="5" s="1"/>
  <c r="C184" i="7" s="1"/>
  <c r="J170" i="2"/>
  <c r="D170" i="5" s="1"/>
  <c r="C25" i="7" s="1"/>
  <c r="J202" i="2"/>
  <c r="D202" i="5" s="1"/>
  <c r="C299" i="7" s="1"/>
  <c r="J306" i="2"/>
  <c r="D306" i="5" s="1"/>
  <c r="C350" i="7" s="1"/>
  <c r="J274" i="2"/>
  <c r="D274" i="5" s="1"/>
  <c r="C144" i="7" s="1"/>
  <c r="J114" i="2"/>
  <c r="D114" i="5" s="1"/>
  <c r="C244" i="7" s="1"/>
  <c r="J168" i="2"/>
  <c r="D168" i="5" s="1"/>
  <c r="C106" i="7" s="1"/>
  <c r="J200" i="2"/>
  <c r="D200" i="5" s="1"/>
  <c r="C297" i="7" s="1"/>
  <c r="J252" i="2"/>
  <c r="D252" i="5" s="1"/>
  <c r="C33" i="7" s="1"/>
  <c r="J242" i="2"/>
  <c r="D242" i="5" s="1"/>
  <c r="C32" i="7" s="1"/>
  <c r="J76" i="2"/>
  <c r="D76" i="5" s="1"/>
  <c r="C75" i="7" s="1"/>
  <c r="J248" i="2"/>
  <c r="D248" i="5" s="1"/>
  <c r="C321" i="7" s="1"/>
  <c r="J10" i="2"/>
  <c r="D10" i="5" s="1"/>
  <c r="C191" i="7" s="1"/>
  <c r="J284" i="2"/>
  <c r="D284" i="5" s="1"/>
  <c r="C338" i="7" s="1"/>
  <c r="J314" i="2"/>
  <c r="D314" i="5" s="1"/>
  <c r="C354" i="7" s="1"/>
  <c r="J378" i="2"/>
  <c r="D378" i="5" s="1"/>
  <c r="C180" i="7" s="1"/>
  <c r="J203" i="2"/>
  <c r="D203" i="5" s="1"/>
  <c r="C300" i="7" s="1"/>
  <c r="J275" i="2"/>
  <c r="D275" i="5" s="1"/>
  <c r="C333" i="7" s="1"/>
  <c r="J82" i="2"/>
  <c r="D82" i="5" s="1"/>
  <c r="C225" i="7" s="1"/>
  <c r="J13" i="2"/>
  <c r="D13" i="5" s="1"/>
  <c r="C53" i="7" s="1"/>
  <c r="J45" i="2"/>
  <c r="D45" i="5" s="1"/>
  <c r="C63" i="7" s="1"/>
  <c r="J44" i="2"/>
  <c r="D44" i="5" s="1"/>
  <c r="C205" i="7" s="1"/>
  <c r="J56" i="2"/>
  <c r="D56" i="5" s="1"/>
  <c r="C16" i="7" s="1"/>
  <c r="J65" i="2"/>
  <c r="D65" i="5" s="1"/>
  <c r="C218" i="7" s="1"/>
  <c r="J151" i="2"/>
  <c r="D151" i="5" s="1"/>
  <c r="C22" i="7" s="1"/>
  <c r="J112" i="2"/>
  <c r="D112" i="5" s="1"/>
  <c r="C87" i="7" s="1"/>
  <c r="J128" i="2"/>
  <c r="D128" i="5" s="1"/>
  <c r="C254" i="7" s="1"/>
  <c r="J124" i="2"/>
  <c r="D124" i="5" s="1"/>
  <c r="C251" i="7" s="1"/>
  <c r="J144" i="2"/>
  <c r="D144" i="5" s="1"/>
  <c r="C264" i="7" s="1"/>
  <c r="J159" i="2"/>
  <c r="D159" i="5" s="1"/>
  <c r="C270" i="7" s="1"/>
  <c r="J167" i="2"/>
  <c r="D167" i="5" s="1"/>
  <c r="C105" i="7" s="1"/>
  <c r="J175" i="2"/>
  <c r="D175" i="5" s="1"/>
  <c r="C280" i="7" s="1"/>
  <c r="J183" i="2"/>
  <c r="D183" i="5" s="1"/>
  <c r="C110" i="7" s="1"/>
  <c r="J191" i="2"/>
  <c r="D191" i="5" s="1"/>
  <c r="C112" i="7" s="1"/>
  <c r="J199" i="2"/>
  <c r="D199" i="5" s="1"/>
  <c r="C296" i="7" s="1"/>
  <c r="J105" i="2"/>
  <c r="D105" i="5" s="1"/>
  <c r="C238" i="7" s="1"/>
  <c r="J233" i="2"/>
  <c r="D233" i="5" s="1"/>
  <c r="C313" i="7" s="1"/>
  <c r="J253" i="2"/>
  <c r="D253" i="5" s="1"/>
  <c r="C135" i="7" s="1"/>
  <c r="J312" i="2"/>
  <c r="D312" i="5" s="1"/>
  <c r="C156" i="7" s="1"/>
  <c r="J353" i="2"/>
  <c r="D353" i="5" s="1"/>
  <c r="C46" i="7" s="1"/>
  <c r="J376" i="2"/>
  <c r="D376" i="5" s="1"/>
  <c r="C47" i="7" s="1"/>
  <c r="J158" i="2"/>
  <c r="D158" i="5" s="1"/>
  <c r="C269" i="7" s="1"/>
  <c r="J401" i="2"/>
  <c r="D401" i="5" s="1"/>
  <c r="C402" i="7" s="1"/>
  <c r="J319" i="2"/>
  <c r="D319" i="5" s="1"/>
  <c r="C159" i="7" s="1"/>
  <c r="J351" i="2"/>
  <c r="D351" i="5" s="1"/>
  <c r="C372" i="7" s="1"/>
  <c r="J383" i="2"/>
  <c r="D383" i="5" s="1"/>
  <c r="C390" i="7" s="1"/>
  <c r="J80" i="2"/>
  <c r="D80" i="5" s="1"/>
  <c r="C224" i="7" s="1"/>
  <c r="J298" i="2"/>
  <c r="D298" i="5" s="1"/>
  <c r="C345" i="7" s="1"/>
  <c r="J332" i="2"/>
  <c r="D332" i="5" s="1"/>
  <c r="C362" i="7" s="1"/>
  <c r="J364" i="2"/>
  <c r="D364" i="5" s="1"/>
  <c r="C176" i="7" s="1"/>
  <c r="J396" i="2"/>
  <c r="D396" i="5" s="1"/>
  <c r="C186" i="7" s="1"/>
  <c r="J62" i="2"/>
  <c r="D62" i="5" s="1"/>
  <c r="C216" i="7" s="1"/>
  <c r="J265" i="2"/>
  <c r="D265" i="5" s="1"/>
  <c r="C34" i="7" s="1"/>
  <c r="J307" i="2"/>
  <c r="D307" i="5" s="1"/>
  <c r="C154" i="7" s="1"/>
  <c r="J339" i="2"/>
  <c r="D339" i="5" s="1"/>
  <c r="C366" i="7" s="1"/>
  <c r="J371" i="2"/>
  <c r="D371" i="5" s="1"/>
  <c r="C386" i="7" s="1"/>
  <c r="J287" i="2"/>
  <c r="D287" i="5" s="1"/>
  <c r="C340" i="7" s="1"/>
  <c r="J20" i="2"/>
  <c r="D20" i="5" s="1"/>
  <c r="C197" i="7" s="1"/>
  <c r="J115" i="2"/>
  <c r="D115" i="5" s="1"/>
  <c r="C245" i="7" s="1"/>
  <c r="J273" i="2"/>
  <c r="D273" i="5" s="1"/>
  <c r="C143" i="7" s="1"/>
  <c r="J198" i="2"/>
  <c r="D198" i="5" s="1"/>
  <c r="C295" i="7" s="1"/>
  <c r="J260" i="2"/>
  <c r="D260" i="5" s="1"/>
  <c r="C139" i="7" s="1"/>
  <c r="J91" i="2"/>
  <c r="D91" i="5" s="1"/>
  <c r="C81" i="7" s="1"/>
  <c r="J291" i="2"/>
  <c r="D291" i="5" s="1"/>
  <c r="C150" i="7" s="1"/>
  <c r="J180" i="2"/>
  <c r="D180" i="5" s="1"/>
  <c r="C283" i="7" s="1"/>
  <c r="J212" i="2"/>
  <c r="D212" i="5" s="1"/>
  <c r="C304" i="7" s="1"/>
  <c r="J300" i="2"/>
  <c r="D300" i="5" s="1"/>
  <c r="C347" i="7" s="1"/>
  <c r="J322" i="2"/>
  <c r="D322" i="5" s="1"/>
  <c r="C162" i="7" s="1"/>
  <c r="J386" i="2"/>
  <c r="D386" i="5" s="1"/>
  <c r="C392" i="7" s="1"/>
  <c r="J246" i="2"/>
  <c r="D246" i="5" s="1"/>
  <c r="C320" i="7" s="1"/>
  <c r="J26" i="2"/>
  <c r="D26" i="5" s="1"/>
  <c r="C8" i="7" s="1"/>
  <c r="J398" i="2"/>
  <c r="D398" i="5" s="1"/>
  <c r="C400" i="7" s="1"/>
  <c r="J21" i="2"/>
  <c r="D21" i="5" s="1"/>
  <c r="C55" i="7" s="1"/>
  <c r="J67" i="2"/>
  <c r="D67" i="5" s="1"/>
  <c r="C70" i="7" s="1"/>
  <c r="J16" i="2"/>
  <c r="D16" i="5" s="1"/>
  <c r="C194" i="7" s="1"/>
  <c r="J46" i="2"/>
  <c r="D46" i="5" s="1"/>
  <c r="C206" i="7" s="1"/>
  <c r="J85" i="2"/>
  <c r="D85" i="5" s="1"/>
  <c r="C227" i="7" s="1"/>
  <c r="J109" i="2"/>
  <c r="D109" i="5" s="1"/>
  <c r="C240" i="7" s="1"/>
  <c r="J63" i="2"/>
  <c r="D63" i="5" s="1"/>
  <c r="C68" i="7" s="1"/>
  <c r="J139" i="2"/>
  <c r="D139" i="5" s="1"/>
  <c r="C260" i="7" s="1"/>
  <c r="J96" i="2"/>
  <c r="D96" i="5" s="1"/>
  <c r="C82" i="7" s="1"/>
  <c r="J104" i="2"/>
  <c r="D104" i="5" s="1"/>
  <c r="C237" i="7" s="1"/>
  <c r="J209" i="2"/>
  <c r="D209" i="5" s="1"/>
  <c r="C302" i="7" s="1"/>
  <c r="J121" i="2"/>
  <c r="D121" i="5" s="1"/>
  <c r="C249" i="7" s="1"/>
  <c r="J223" i="2"/>
  <c r="D223" i="5" s="1"/>
  <c r="C309" i="7" s="1"/>
  <c r="J313" i="2"/>
  <c r="D313" i="5" s="1"/>
  <c r="C157" i="7" s="1"/>
  <c r="J336" i="2"/>
  <c r="D336" i="5" s="1"/>
  <c r="C166" i="7" s="1"/>
  <c r="J377" i="2"/>
  <c r="D377" i="5" s="1"/>
  <c r="C48" i="7" s="1"/>
  <c r="J166" i="2"/>
  <c r="D166" i="5" s="1"/>
  <c r="C275" i="7" s="1"/>
  <c r="J397" i="2"/>
  <c r="D397" i="5" s="1"/>
  <c r="C399" i="7" s="1"/>
  <c r="J279" i="2"/>
  <c r="D279" i="5" s="1"/>
  <c r="C147" i="7" s="1"/>
  <c r="J326" i="2"/>
  <c r="D326" i="5" s="1"/>
  <c r="C357" i="7" s="1"/>
  <c r="J358" i="2"/>
  <c r="D358" i="5" s="1"/>
  <c r="C377" i="7" s="1"/>
  <c r="J390" i="2"/>
  <c r="D390" i="5" s="1"/>
  <c r="C395" i="7" s="1"/>
  <c r="J301" i="2"/>
  <c r="D301" i="5" s="1"/>
  <c r="C348" i="7" s="1"/>
  <c r="J333" i="2"/>
  <c r="D333" i="5" s="1"/>
  <c r="C165" i="7" s="1"/>
  <c r="J365" i="2"/>
  <c r="D365" i="5" s="1"/>
  <c r="C380" i="7" s="1"/>
  <c r="J258" i="2"/>
  <c r="D258" i="5" s="1"/>
  <c r="C138" i="7" s="1"/>
  <c r="J24" i="2"/>
  <c r="D24" i="5" s="1"/>
  <c r="C200" i="7" s="1"/>
  <c r="J178" i="2"/>
  <c r="D178" i="5" s="1"/>
  <c r="C281" i="7" s="1"/>
  <c r="J210" i="2"/>
  <c r="D210" i="5" s="1"/>
  <c r="C119" i="7" s="1"/>
  <c r="J288" i="2"/>
  <c r="D288" i="5" s="1"/>
  <c r="C148" i="7" s="1"/>
  <c r="J36" i="2"/>
  <c r="D36" i="5" s="1"/>
  <c r="C12" i="7" s="1"/>
  <c r="J176" i="2"/>
  <c r="D176" i="5" s="1"/>
  <c r="C108" i="7" s="1"/>
  <c r="J208" i="2"/>
  <c r="D208" i="5" s="1"/>
  <c r="C26" i="7" s="1"/>
  <c r="J285" i="2"/>
  <c r="D285" i="5" s="1"/>
  <c r="C339" i="7" s="1"/>
  <c r="J6" i="2"/>
  <c r="D6" i="5" s="1"/>
  <c r="C4" i="7" s="1"/>
  <c r="J271" i="2"/>
  <c r="D271" i="5" s="1"/>
  <c r="C332" i="7" s="1"/>
  <c r="J95" i="2"/>
  <c r="D95" i="5" s="1"/>
  <c r="C232" i="7" s="1"/>
  <c r="J387" i="2"/>
  <c r="D387" i="5" s="1"/>
  <c r="C393" i="7" s="1"/>
  <c r="J148" i="2"/>
  <c r="D148" i="5" s="1"/>
  <c r="C21" i="7" s="1"/>
  <c r="J220" i="2"/>
  <c r="D220" i="5" s="1"/>
  <c r="C123" i="7" s="1"/>
  <c r="J241" i="2"/>
  <c r="D241" i="5" s="1"/>
  <c r="C317" i="7" s="1"/>
  <c r="J330" i="2"/>
  <c r="D330" i="5" s="1"/>
  <c r="C361" i="7" s="1"/>
  <c r="J394" i="2"/>
  <c r="D394" i="5" s="1"/>
  <c r="C397" i="7" s="1"/>
  <c r="J18" i="2"/>
  <c r="D18" i="5" s="1"/>
  <c r="C196" i="7" s="1"/>
  <c r="J254" i="2"/>
  <c r="D254" i="5" s="1"/>
  <c r="C136" i="7" s="1"/>
  <c r="J93" i="2"/>
  <c r="D93" i="5" s="1"/>
  <c r="C230" i="7" s="1"/>
  <c r="J221" i="2"/>
  <c r="D221" i="5" s="1"/>
  <c r="C307" i="7" s="1"/>
  <c r="J29" i="2"/>
  <c r="D29" i="5" s="1"/>
  <c r="C9" i="7" s="1"/>
  <c r="J14" i="2"/>
  <c r="D14" i="5" s="1"/>
  <c r="C54" i="7" s="1"/>
  <c r="J23" i="2"/>
  <c r="D23" i="5" s="1"/>
  <c r="C199" i="7" s="1"/>
  <c r="J47" i="2"/>
  <c r="D47" i="5" s="1"/>
  <c r="C207" i="7" s="1"/>
  <c r="J48" i="2"/>
  <c r="D48" i="5" s="1"/>
  <c r="C15" i="7" s="1"/>
  <c r="J61" i="2"/>
  <c r="D61" i="5" s="1"/>
  <c r="C215" i="7" s="1"/>
  <c r="J113" i="2"/>
  <c r="D113" i="5" s="1"/>
  <c r="C243" i="7" s="1"/>
  <c r="J136" i="2"/>
  <c r="D136" i="5" s="1"/>
  <c r="C95" i="7" s="1"/>
  <c r="J146" i="2"/>
  <c r="D146" i="5" s="1"/>
  <c r="C98" i="7" s="1"/>
  <c r="J127" i="2"/>
  <c r="D127" i="5" s="1"/>
  <c r="C91" i="7" s="1"/>
  <c r="J161" i="2"/>
  <c r="D161" i="5" s="1"/>
  <c r="C103" i="7" s="1"/>
  <c r="J169" i="2"/>
  <c r="D169" i="5" s="1"/>
  <c r="C276" i="7" s="1"/>
  <c r="J177" i="2"/>
  <c r="D177" i="5" s="1"/>
  <c r="C109" i="7" s="1"/>
  <c r="J185" i="2"/>
  <c r="D185" i="5" s="1"/>
  <c r="C287" i="7" s="1"/>
  <c r="J193" i="2"/>
  <c r="D193" i="5" s="1"/>
  <c r="C113" i="7" s="1"/>
  <c r="J201" i="2"/>
  <c r="D201" i="5" s="1"/>
  <c r="C298" i="7" s="1"/>
  <c r="J140" i="2"/>
  <c r="D140" i="5" s="1"/>
  <c r="C261" i="7" s="1"/>
  <c r="J269" i="2"/>
  <c r="D269" i="5" s="1"/>
  <c r="C330" i="7" s="1"/>
  <c r="J267" i="2"/>
  <c r="D267" i="5" s="1"/>
  <c r="C329" i="7" s="1"/>
  <c r="J337" i="2"/>
  <c r="D337" i="5" s="1"/>
  <c r="C365" i="7" s="1"/>
  <c r="J360" i="2"/>
  <c r="D360" i="5" s="1"/>
  <c r="C378" i="7" s="1"/>
  <c r="J182" i="2"/>
  <c r="D182" i="5" s="1"/>
  <c r="C285" i="7" s="1"/>
  <c r="J247" i="2"/>
  <c r="D247" i="5" s="1"/>
  <c r="C132" i="7" s="1"/>
  <c r="J327" i="2"/>
  <c r="D327" i="5" s="1"/>
  <c r="C358" i="7" s="1"/>
  <c r="J359" i="2"/>
  <c r="D359" i="5" s="1"/>
  <c r="C173" i="7" s="1"/>
  <c r="J391" i="2"/>
  <c r="D391" i="5" s="1"/>
  <c r="C185" i="7" s="1"/>
  <c r="J308" i="2"/>
  <c r="D308" i="5" s="1"/>
  <c r="C351" i="7" s="1"/>
  <c r="J340" i="2"/>
  <c r="D340" i="5" s="1"/>
  <c r="C44" i="7" s="1"/>
  <c r="J372" i="2"/>
  <c r="D372" i="5" s="1"/>
  <c r="C387" i="7" s="1"/>
  <c r="J399" i="2"/>
  <c r="D399" i="5" s="1"/>
  <c r="C401" i="7" s="1"/>
  <c r="J257" i="2"/>
  <c r="D257" i="5" s="1"/>
  <c r="C324" i="7" s="1"/>
  <c r="J40" i="2"/>
  <c r="D40" i="5" s="1"/>
  <c r="C203" i="7" s="1"/>
  <c r="J218" i="2"/>
  <c r="D218" i="5" s="1"/>
  <c r="C28" i="7" s="1"/>
  <c r="J315" i="2"/>
  <c r="D315" i="5" s="1"/>
  <c r="C41" i="7" s="1"/>
  <c r="J347" i="2"/>
  <c r="D347" i="5" s="1"/>
  <c r="C170" i="7" s="1"/>
  <c r="J379" i="2"/>
  <c r="D379" i="5" s="1"/>
  <c r="C388" i="7" s="1"/>
  <c r="J245" i="2"/>
  <c r="D245" i="5" s="1"/>
  <c r="C131" i="7" s="1"/>
  <c r="J297" i="2"/>
  <c r="D297" i="5" s="1"/>
  <c r="C39" i="7" s="1"/>
  <c r="J52" i="2"/>
  <c r="D52" i="5" s="1"/>
  <c r="C209" i="7" s="1"/>
  <c r="J135" i="2"/>
  <c r="D135" i="5" s="1"/>
  <c r="C94" i="7" s="1"/>
  <c r="J130" i="2"/>
  <c r="D130" i="5" s="1"/>
  <c r="C256" i="7" s="1"/>
  <c r="J174" i="2"/>
  <c r="D174" i="5" s="1"/>
  <c r="C107" i="7" s="1"/>
  <c r="J206" i="2"/>
  <c r="D206" i="5" s="1"/>
  <c r="C118" i="7" s="1"/>
  <c r="J281" i="2"/>
  <c r="D281" i="5" s="1"/>
  <c r="C336" i="7" s="1"/>
  <c r="J107" i="2"/>
  <c r="D107" i="5" s="1"/>
  <c r="C85" i="7" s="1"/>
  <c r="J103" i="2"/>
  <c r="D103" i="5" s="1"/>
  <c r="C20" i="7" s="1"/>
  <c r="J188" i="2"/>
  <c r="D188" i="5" s="1"/>
  <c r="C289" i="7" s="1"/>
  <c r="J228" i="2"/>
  <c r="D228" i="5" s="1"/>
  <c r="C126" i="7" s="1"/>
  <c r="J22" i="2"/>
  <c r="D22" i="5" s="1"/>
  <c r="C198" i="7" s="1"/>
  <c r="J211" i="2"/>
  <c r="D211" i="5" s="1"/>
  <c r="C303" i="7" s="1"/>
  <c r="J249" i="2"/>
  <c r="D249" i="5" s="1"/>
  <c r="C133" i="7" s="1"/>
  <c r="J338" i="2"/>
  <c r="D338" i="5" s="1"/>
  <c r="C167" i="7" s="1"/>
  <c r="J84" i="2"/>
  <c r="D84" i="5" s="1"/>
  <c r="C226" i="7" s="1"/>
  <c r="J132" i="2"/>
  <c r="D132" i="5" s="1"/>
  <c r="C93" i="7" s="1"/>
  <c r="J374" i="2"/>
  <c r="D374" i="5" s="1"/>
  <c r="C178" i="7" s="1"/>
  <c r="J317" i="2"/>
  <c r="D317" i="5" s="1"/>
  <c r="C158" i="7" s="1"/>
  <c r="J234" i="2"/>
  <c r="D234" i="5" s="1"/>
  <c r="C129" i="7" s="1"/>
  <c r="J230" i="2"/>
  <c r="D230" i="5" s="1"/>
  <c r="C29" i="7" s="1"/>
  <c r="J5" i="2"/>
  <c r="D5" i="5" s="1"/>
  <c r="C190" i="7" s="1"/>
  <c r="J53" i="2"/>
  <c r="D53" i="5" s="1"/>
  <c r="C210" i="7" s="1"/>
  <c r="J7" i="2"/>
  <c r="D7" i="5" s="1"/>
  <c r="C50" i="7" s="1"/>
  <c r="J31" i="2"/>
  <c r="D31" i="5" s="1"/>
  <c r="C11" i="7" s="1"/>
  <c r="J69" i="2"/>
  <c r="D69" i="5" s="1"/>
  <c r="C219" i="7" s="1"/>
  <c r="J74" i="2"/>
  <c r="D74" i="5" s="1"/>
  <c r="C221" i="7" s="1"/>
  <c r="J77" i="2"/>
  <c r="D77" i="5" s="1"/>
  <c r="C76" i="7" s="1"/>
  <c r="J30" i="2"/>
  <c r="D30" i="5" s="1"/>
  <c r="C10" i="7" s="1"/>
  <c r="J50" i="2"/>
  <c r="D50" i="5" s="1"/>
  <c r="C208" i="7" s="1"/>
  <c r="J129" i="2"/>
  <c r="D129" i="5" s="1"/>
  <c r="C255" i="7" s="1"/>
  <c r="J75" i="2"/>
  <c r="D75" i="5" s="1"/>
  <c r="C222" i="7" s="1"/>
  <c r="J156" i="2"/>
  <c r="D156" i="5" s="1"/>
  <c r="C102" i="7" s="1"/>
  <c r="J262" i="2"/>
  <c r="D262" i="5" s="1"/>
  <c r="C140" i="7" s="1"/>
  <c r="J138" i="2"/>
  <c r="D138" i="5" s="1"/>
  <c r="C96" i="7" s="1"/>
  <c r="J90" i="2"/>
  <c r="D90" i="5" s="1"/>
  <c r="C228" i="7" s="1"/>
  <c r="J98" i="2"/>
  <c r="D98" i="5" s="1"/>
  <c r="C234" i="7" s="1"/>
  <c r="J106" i="2"/>
  <c r="D106" i="5" s="1"/>
  <c r="C239" i="7" s="1"/>
  <c r="J111" i="2"/>
  <c r="D111" i="5" s="1"/>
  <c r="C242" i="7" s="1"/>
  <c r="J143" i="2"/>
  <c r="D143" i="5" s="1"/>
  <c r="C263" i="7" s="1"/>
  <c r="J270" i="2"/>
  <c r="D270" i="5" s="1"/>
  <c r="C331" i="7" s="1"/>
  <c r="J235" i="2"/>
  <c r="D235" i="5" s="1"/>
  <c r="C314" i="7" s="1"/>
  <c r="J268" i="2"/>
  <c r="D268" i="5" s="1"/>
  <c r="C141" i="7" s="1"/>
  <c r="J320" i="2"/>
  <c r="D320" i="5" s="1"/>
  <c r="C160" i="7" s="1"/>
  <c r="J361" i="2"/>
  <c r="D361" i="5" s="1"/>
  <c r="C379" i="7" s="1"/>
  <c r="J384" i="2"/>
  <c r="D384" i="5" s="1"/>
  <c r="C183" i="7" s="1"/>
  <c r="J190" i="2"/>
  <c r="D190" i="5" s="1"/>
  <c r="C291" i="7" s="1"/>
  <c r="J213" i="2"/>
  <c r="D213" i="5" s="1"/>
  <c r="C120" i="7" s="1"/>
  <c r="J302" i="2"/>
  <c r="D302" i="5" s="1"/>
  <c r="C152" i="7" s="1"/>
  <c r="J334" i="2"/>
  <c r="D334" i="5" s="1"/>
  <c r="C363" i="7" s="1"/>
  <c r="J366" i="2"/>
  <c r="D366" i="5" s="1"/>
  <c r="C381" i="7" s="1"/>
  <c r="J400" i="2"/>
  <c r="D400" i="5" s="1"/>
  <c r="C187" i="7" s="1"/>
  <c r="J219" i="2"/>
  <c r="D219" i="5" s="1"/>
  <c r="C306" i="7" s="1"/>
  <c r="J259" i="2"/>
  <c r="D259" i="5" s="1"/>
  <c r="C325" i="7" s="1"/>
  <c r="J309" i="2"/>
  <c r="D309" i="5" s="1"/>
  <c r="C352" i="7" s="1"/>
  <c r="J341" i="2"/>
  <c r="D341" i="5" s="1"/>
  <c r="C45" i="7" s="1"/>
  <c r="J373" i="2"/>
  <c r="D373" i="5" s="1"/>
  <c r="C177" i="7" s="1"/>
  <c r="J186" i="2"/>
  <c r="D186" i="5" s="1"/>
  <c r="C288" i="7" s="1"/>
  <c r="J226" i="2"/>
  <c r="D226" i="5" s="1"/>
  <c r="C125" i="7" s="1"/>
  <c r="J289" i="2"/>
  <c r="D289" i="5" s="1"/>
  <c r="C341" i="7" s="1"/>
  <c r="J152" i="2"/>
  <c r="D152" i="5" s="1"/>
  <c r="C101" i="7" s="1"/>
  <c r="J184" i="2"/>
  <c r="D184" i="5" s="1"/>
  <c r="C286" i="7" s="1"/>
  <c r="J216" i="2"/>
  <c r="D216" i="5" s="1"/>
  <c r="C305" i="7" s="1"/>
  <c r="J131" i="2"/>
  <c r="D131" i="5" s="1"/>
  <c r="C92" i="7" s="1"/>
  <c r="J282" i="2"/>
  <c r="D282" i="5" s="1"/>
  <c r="C337" i="7" s="1"/>
  <c r="J277" i="2"/>
  <c r="D277" i="5" s="1"/>
  <c r="C334" i="7" s="1"/>
  <c r="J238" i="2"/>
  <c r="D238" i="5" s="1"/>
  <c r="C30" i="7" s="1"/>
  <c r="J395" i="2"/>
  <c r="D395" i="5" s="1"/>
  <c r="C398" i="7" s="1"/>
  <c r="J256" i="2"/>
  <c r="D256" i="5" s="1"/>
  <c r="C137" i="7" s="1"/>
  <c r="J346" i="2"/>
  <c r="D346" i="5" s="1"/>
  <c r="C169" i="7" s="1"/>
  <c r="J272" i="2"/>
  <c r="D272" i="5" s="1"/>
  <c r="C142" i="7" s="1"/>
  <c r="J295" i="2"/>
  <c r="D295" i="5" s="1"/>
  <c r="C38" i="7" s="1"/>
  <c r="J3" i="2"/>
  <c r="C408" i="2" a="1"/>
  <c r="C408" i="2" s="1"/>
  <c r="D17" i="8" l="1"/>
  <c r="I40" i="8"/>
  <c r="I39" i="8"/>
  <c r="I43" i="8"/>
  <c r="I37" i="8"/>
  <c r="I41" i="8"/>
  <c r="I44" i="8"/>
  <c r="I42" i="8"/>
  <c r="I52" i="8"/>
  <c r="I36" i="8"/>
  <c r="I38" i="8"/>
  <c r="D408" i="2"/>
  <c r="D3" i="5"/>
  <c r="K8" i="8"/>
  <c r="K9" i="8"/>
  <c r="C3" i="5"/>
  <c r="P44" i="8"/>
  <c r="Q43" i="8"/>
  <c r="M41" i="8"/>
  <c r="N40" i="8"/>
  <c r="O39" i="8"/>
  <c r="Q38" i="8"/>
  <c r="K36" i="8"/>
  <c r="M35" i="8"/>
  <c r="I18" i="8"/>
  <c r="K18" i="8" s="1"/>
  <c r="O44" i="8"/>
  <c r="P43" i="8"/>
  <c r="K41" i="8"/>
  <c r="M40" i="8"/>
  <c r="N39" i="8"/>
  <c r="P38" i="8"/>
  <c r="K35" i="8"/>
  <c r="N44" i="8"/>
  <c r="O43" i="8"/>
  <c r="Q42" i="8"/>
  <c r="K40" i="8"/>
  <c r="M39" i="8"/>
  <c r="O38" i="8"/>
  <c r="Q37" i="8"/>
  <c r="M44" i="8"/>
  <c r="N43" i="8"/>
  <c r="P42" i="8"/>
  <c r="K39" i="8"/>
  <c r="N38" i="8"/>
  <c r="P37" i="8"/>
  <c r="Q36" i="8"/>
  <c r="G8" i="8"/>
  <c r="K44" i="8"/>
  <c r="M43" i="8"/>
  <c r="O42" i="8"/>
  <c r="Q41" i="8"/>
  <c r="M38" i="8"/>
  <c r="O37" i="8"/>
  <c r="P36" i="8"/>
  <c r="Q35" i="8"/>
  <c r="K43" i="8"/>
  <c r="N42" i="8"/>
  <c r="P41" i="8"/>
  <c r="Q40" i="8"/>
  <c r="K38" i="8"/>
  <c r="N37" i="8"/>
  <c r="O36" i="8"/>
  <c r="P35" i="8"/>
  <c r="M42" i="8"/>
  <c r="O41" i="8"/>
  <c r="P40" i="8"/>
  <c r="Q39" i="8"/>
  <c r="M37" i="8"/>
  <c r="N36" i="8"/>
  <c r="O35" i="8"/>
  <c r="G9" i="8"/>
  <c r="Q44" i="8"/>
  <c r="K42" i="8"/>
  <c r="N41" i="8"/>
  <c r="O40" i="8"/>
  <c r="P39" i="8"/>
  <c r="K37" i="8"/>
  <c r="M36" i="8"/>
  <c r="N35" i="8"/>
  <c r="G35" i="8"/>
  <c r="I35" i="8" s="1"/>
  <c r="H24" i="8"/>
  <c r="F14" i="8"/>
  <c r="F17" i="8" s="1"/>
  <c r="G53" i="8"/>
  <c r="I53" i="8"/>
  <c r="H53" i="8"/>
  <c r="B25" i="10"/>
  <c r="J70" i="8"/>
  <c r="F38" i="9"/>
  <c r="F36" i="9"/>
  <c r="B26" i="10"/>
  <c r="E15" i="11"/>
  <c r="N24" i="8"/>
  <c r="N19" i="8"/>
  <c r="K185" i="7"/>
  <c r="F37" i="9"/>
  <c r="K188" i="7"/>
  <c r="N15" i="8"/>
  <c r="B70" i="8"/>
  <c r="H37" i="8"/>
  <c r="H44" i="8"/>
  <c r="H36" i="8"/>
  <c r="H41" i="8"/>
  <c r="H39" i="8"/>
  <c r="H43" i="8"/>
  <c r="H42" i="8"/>
  <c r="H38" i="8"/>
  <c r="H40" i="8"/>
  <c r="H268" i="5"/>
  <c r="L268" i="5"/>
  <c r="P268" i="5"/>
  <c r="P201" i="5"/>
  <c r="H201" i="5"/>
  <c r="L201" i="5"/>
  <c r="P36" i="5"/>
  <c r="H36" i="5"/>
  <c r="L36" i="5"/>
  <c r="L26" i="5"/>
  <c r="P26" i="5"/>
  <c r="H26" i="5"/>
  <c r="L312" i="5"/>
  <c r="H312" i="5"/>
  <c r="P312" i="5"/>
  <c r="H102" i="5"/>
  <c r="L102" i="5"/>
  <c r="P102" i="5"/>
  <c r="P27" i="5"/>
  <c r="L27" i="5"/>
  <c r="H27" i="5"/>
  <c r="L15" i="5"/>
  <c r="H15" i="5"/>
  <c r="P15" i="5"/>
  <c r="L282" i="5"/>
  <c r="P282" i="5"/>
  <c r="H282" i="5"/>
  <c r="H302" i="5"/>
  <c r="L302" i="5"/>
  <c r="P302" i="5"/>
  <c r="L156" i="5"/>
  <c r="P156" i="5"/>
  <c r="H156" i="5"/>
  <c r="H399" i="5"/>
  <c r="L399" i="5"/>
  <c r="P399" i="5"/>
  <c r="L210" i="5"/>
  <c r="P210" i="5"/>
  <c r="H210" i="5"/>
  <c r="L152" i="5"/>
  <c r="H152" i="5"/>
  <c r="P152" i="5"/>
  <c r="P361" i="5"/>
  <c r="H361" i="5"/>
  <c r="L361" i="5"/>
  <c r="H98" i="5"/>
  <c r="L98" i="5"/>
  <c r="P98" i="5"/>
  <c r="P230" i="5"/>
  <c r="H230" i="5"/>
  <c r="L230" i="5"/>
  <c r="P211" i="5"/>
  <c r="L211" i="5"/>
  <c r="H211" i="5"/>
  <c r="H391" i="5"/>
  <c r="L391" i="5"/>
  <c r="P391" i="5"/>
  <c r="P127" i="5"/>
  <c r="H127" i="5"/>
  <c r="L127" i="5"/>
  <c r="L208" i="5"/>
  <c r="H208" i="5"/>
  <c r="P208" i="5"/>
  <c r="H365" i="5"/>
  <c r="P365" i="5"/>
  <c r="L365" i="5"/>
  <c r="P21" i="5"/>
  <c r="H21" i="5"/>
  <c r="L21" i="5"/>
  <c r="P287" i="5"/>
  <c r="H287" i="5"/>
  <c r="L287" i="5"/>
  <c r="L376" i="5"/>
  <c r="H376" i="5"/>
  <c r="P376" i="5"/>
  <c r="P203" i="5"/>
  <c r="H203" i="5"/>
  <c r="L203" i="5"/>
  <c r="H389" i="5"/>
  <c r="L389" i="5"/>
  <c r="P389" i="5"/>
  <c r="L395" i="5"/>
  <c r="P395" i="5"/>
  <c r="H395" i="5"/>
  <c r="H289" i="5"/>
  <c r="L289" i="5"/>
  <c r="P289" i="5"/>
  <c r="H400" i="5"/>
  <c r="P400" i="5"/>
  <c r="L400" i="5"/>
  <c r="H320" i="5"/>
  <c r="L320" i="5"/>
  <c r="P320" i="5"/>
  <c r="H90" i="5"/>
  <c r="P90" i="5"/>
  <c r="L90" i="5"/>
  <c r="H77" i="5"/>
  <c r="L77" i="5"/>
  <c r="P77" i="5"/>
  <c r="P234" i="5"/>
  <c r="H234" i="5"/>
  <c r="L234" i="5"/>
  <c r="H22" i="5"/>
  <c r="P22" i="5"/>
  <c r="L22" i="5"/>
  <c r="P130" i="5"/>
  <c r="H130" i="5"/>
  <c r="L130" i="5"/>
  <c r="L218" i="5"/>
  <c r="H218" i="5"/>
  <c r="P218" i="5"/>
  <c r="H359" i="5"/>
  <c r="P359" i="5"/>
  <c r="L359" i="5"/>
  <c r="H140" i="5"/>
  <c r="L140" i="5"/>
  <c r="P140" i="5"/>
  <c r="H146" i="5"/>
  <c r="L146" i="5"/>
  <c r="P146" i="5"/>
  <c r="H29" i="5"/>
  <c r="P29" i="5"/>
  <c r="L29" i="5"/>
  <c r="L220" i="5"/>
  <c r="P220" i="5"/>
  <c r="H220" i="5"/>
  <c r="H176" i="5"/>
  <c r="P176" i="5"/>
  <c r="L176" i="5"/>
  <c r="L333" i="5"/>
  <c r="H333" i="5"/>
  <c r="P333" i="5"/>
  <c r="H377" i="5"/>
  <c r="P377" i="5"/>
  <c r="L377" i="5"/>
  <c r="P139" i="5"/>
  <c r="L139" i="5"/>
  <c r="H139" i="5"/>
  <c r="H398" i="5"/>
  <c r="P398" i="5"/>
  <c r="L398" i="5"/>
  <c r="P291" i="5"/>
  <c r="H291" i="5"/>
  <c r="L291" i="5"/>
  <c r="P371" i="5"/>
  <c r="H371" i="5"/>
  <c r="L371" i="5"/>
  <c r="P298" i="5"/>
  <c r="H298" i="5"/>
  <c r="L298" i="5"/>
  <c r="H353" i="5"/>
  <c r="P353" i="5"/>
  <c r="L353" i="5"/>
  <c r="H175" i="5"/>
  <c r="P175" i="5"/>
  <c r="L175" i="5"/>
  <c r="P65" i="5"/>
  <c r="H65" i="5"/>
  <c r="L65" i="5"/>
  <c r="P378" i="5"/>
  <c r="H378" i="5"/>
  <c r="L378" i="5"/>
  <c r="H200" i="5"/>
  <c r="P200" i="5"/>
  <c r="L200" i="5"/>
  <c r="H357" i="5"/>
  <c r="L357" i="5"/>
  <c r="P357" i="5"/>
  <c r="H393" i="5"/>
  <c r="P393" i="5"/>
  <c r="L393" i="5"/>
  <c r="P122" i="5"/>
  <c r="H122" i="5"/>
  <c r="L122" i="5"/>
  <c r="H12" i="5"/>
  <c r="L12" i="5"/>
  <c r="P12" i="5"/>
  <c r="P293" i="5"/>
  <c r="H293" i="5"/>
  <c r="L293" i="5"/>
  <c r="H250" i="5"/>
  <c r="L250" i="5"/>
  <c r="P250" i="5"/>
  <c r="H294" i="5"/>
  <c r="L294" i="5"/>
  <c r="P294" i="5"/>
  <c r="H392" i="5"/>
  <c r="P392" i="5"/>
  <c r="L392" i="5"/>
  <c r="H189" i="5"/>
  <c r="L189" i="5"/>
  <c r="P189" i="5"/>
  <c r="L79" i="5"/>
  <c r="H79" i="5"/>
  <c r="P79" i="5"/>
  <c r="P35" i="5"/>
  <c r="L35" i="5"/>
  <c r="H35" i="5"/>
  <c r="H354" i="5"/>
  <c r="P354" i="5"/>
  <c r="L354" i="5"/>
  <c r="P323" i="5"/>
  <c r="H323" i="5"/>
  <c r="L323" i="5"/>
  <c r="H367" i="5"/>
  <c r="P367" i="5"/>
  <c r="L367" i="5"/>
  <c r="H321" i="5"/>
  <c r="P321" i="5"/>
  <c r="L321" i="5"/>
  <c r="H134" i="5"/>
  <c r="P134" i="5"/>
  <c r="L134" i="5"/>
  <c r="P41" i="5"/>
  <c r="H41" i="5"/>
  <c r="L41" i="5"/>
  <c r="P39" i="5"/>
  <c r="H39" i="5"/>
  <c r="L39" i="5"/>
  <c r="H119" i="5"/>
  <c r="P119" i="5"/>
  <c r="L119" i="5"/>
  <c r="H133" i="5"/>
  <c r="L133" i="5"/>
  <c r="P133" i="5"/>
  <c r="H28" i="5"/>
  <c r="L28" i="5"/>
  <c r="P28" i="5"/>
  <c r="H60" i="5"/>
  <c r="L60" i="5"/>
  <c r="P60" i="5"/>
  <c r="H317" i="5"/>
  <c r="L317" i="5"/>
  <c r="P317" i="5"/>
  <c r="P34" i="5"/>
  <c r="H34" i="5"/>
  <c r="L34" i="5"/>
  <c r="L277" i="5"/>
  <c r="H277" i="5"/>
  <c r="P277" i="5"/>
  <c r="H186" i="5"/>
  <c r="P186" i="5"/>
  <c r="L186" i="5"/>
  <c r="H334" i="5"/>
  <c r="P334" i="5"/>
  <c r="L334" i="5"/>
  <c r="H235" i="5"/>
  <c r="L235" i="5"/>
  <c r="P235" i="5"/>
  <c r="H262" i="5"/>
  <c r="L262" i="5"/>
  <c r="P262" i="5"/>
  <c r="H69" i="5"/>
  <c r="P69" i="5"/>
  <c r="L69" i="5"/>
  <c r="H374" i="5"/>
  <c r="L374" i="5"/>
  <c r="P374" i="5"/>
  <c r="P188" i="5"/>
  <c r="H188" i="5"/>
  <c r="L188" i="5"/>
  <c r="H52" i="5"/>
  <c r="L52" i="5"/>
  <c r="P52" i="5"/>
  <c r="H257" i="5"/>
  <c r="P257" i="5"/>
  <c r="L257" i="5"/>
  <c r="H247" i="5"/>
  <c r="P247" i="5"/>
  <c r="L247" i="5"/>
  <c r="P193" i="5"/>
  <c r="H193" i="5"/>
  <c r="L193" i="5"/>
  <c r="H113" i="5"/>
  <c r="P113" i="5"/>
  <c r="L113" i="5"/>
  <c r="H93" i="5"/>
  <c r="P93" i="5"/>
  <c r="L93" i="5"/>
  <c r="P387" i="5"/>
  <c r="H387" i="5"/>
  <c r="L387" i="5"/>
  <c r="H288" i="5"/>
  <c r="L288" i="5"/>
  <c r="P288" i="5"/>
  <c r="H390" i="5"/>
  <c r="P390" i="5"/>
  <c r="L390" i="5"/>
  <c r="H313" i="5"/>
  <c r="P313" i="5"/>
  <c r="L313" i="5"/>
  <c r="P109" i="5"/>
  <c r="H109" i="5"/>
  <c r="L109" i="5"/>
  <c r="H246" i="5"/>
  <c r="P246" i="5"/>
  <c r="L246" i="5"/>
  <c r="L260" i="5"/>
  <c r="H260" i="5"/>
  <c r="P260" i="5"/>
  <c r="P307" i="5"/>
  <c r="H307" i="5"/>
  <c r="L307" i="5"/>
  <c r="P383" i="5"/>
  <c r="H383" i="5"/>
  <c r="L383" i="5"/>
  <c r="H253" i="5"/>
  <c r="L253" i="5"/>
  <c r="P253" i="5"/>
  <c r="H159" i="5"/>
  <c r="L159" i="5"/>
  <c r="P159" i="5"/>
  <c r="H44" i="5"/>
  <c r="L44" i="5"/>
  <c r="P44" i="5"/>
  <c r="H284" i="5"/>
  <c r="L284" i="5"/>
  <c r="P284" i="5"/>
  <c r="H114" i="5"/>
  <c r="P114" i="5"/>
  <c r="L114" i="5"/>
  <c r="H296" i="5"/>
  <c r="L296" i="5"/>
  <c r="P296" i="5"/>
  <c r="H329" i="5"/>
  <c r="L329" i="5"/>
  <c r="P329" i="5"/>
  <c r="H94" i="5"/>
  <c r="L94" i="5"/>
  <c r="P94" i="5"/>
  <c r="H261" i="5"/>
  <c r="P261" i="5"/>
  <c r="L261" i="5"/>
  <c r="P342" i="5"/>
  <c r="H342" i="5"/>
  <c r="L342" i="5"/>
  <c r="P363" i="5"/>
  <c r="H363" i="5"/>
  <c r="L363" i="5"/>
  <c r="H375" i="5"/>
  <c r="P375" i="5"/>
  <c r="L375" i="5"/>
  <c r="H328" i="5"/>
  <c r="L328" i="5"/>
  <c r="P328" i="5"/>
  <c r="P173" i="5"/>
  <c r="H173" i="5"/>
  <c r="L173" i="5"/>
  <c r="H86" i="5"/>
  <c r="L86" i="5"/>
  <c r="P86" i="5"/>
  <c r="H19" i="5"/>
  <c r="P19" i="5"/>
  <c r="L19" i="5"/>
  <c r="H196" i="5"/>
  <c r="L196" i="5"/>
  <c r="P196" i="5"/>
  <c r="H236" i="5"/>
  <c r="L236" i="5"/>
  <c r="P236" i="5"/>
  <c r="H303" i="5"/>
  <c r="P303" i="5"/>
  <c r="L303" i="5"/>
  <c r="P195" i="5"/>
  <c r="H195" i="5"/>
  <c r="L195" i="5"/>
  <c r="H117" i="5"/>
  <c r="L117" i="5"/>
  <c r="P117" i="5"/>
  <c r="H25" i="5"/>
  <c r="P25" i="5"/>
  <c r="L25" i="5"/>
  <c r="P37" i="5"/>
  <c r="H37" i="5"/>
  <c r="L37" i="5"/>
  <c r="H100" i="5"/>
  <c r="L100" i="5"/>
  <c r="P100" i="5"/>
  <c r="P97" i="5"/>
  <c r="H97" i="5"/>
  <c r="L97" i="5"/>
  <c r="H78" i="5"/>
  <c r="L78" i="5"/>
  <c r="P78" i="5"/>
  <c r="H227" i="5"/>
  <c r="P227" i="5"/>
  <c r="L227" i="5"/>
  <c r="P138" i="5"/>
  <c r="H138" i="5"/>
  <c r="L138" i="5"/>
  <c r="H40" i="5"/>
  <c r="L40" i="5"/>
  <c r="P40" i="5"/>
  <c r="H136" i="5"/>
  <c r="L136" i="5"/>
  <c r="P136" i="5"/>
  <c r="L63" i="5"/>
  <c r="H63" i="5"/>
  <c r="P63" i="5"/>
  <c r="L80" i="5"/>
  <c r="H80" i="5"/>
  <c r="P80" i="5"/>
  <c r="P314" i="5"/>
  <c r="H314" i="5"/>
  <c r="L314" i="5"/>
  <c r="P66" i="5"/>
  <c r="L66" i="5"/>
  <c r="H66" i="5"/>
  <c r="H369" i="5"/>
  <c r="P369" i="5"/>
  <c r="L369" i="5"/>
  <c r="P225" i="5"/>
  <c r="H225" i="5"/>
  <c r="L225" i="5"/>
  <c r="H108" i="5"/>
  <c r="P108" i="5"/>
  <c r="L108" i="5"/>
  <c r="P373" i="5"/>
  <c r="H373" i="5"/>
  <c r="L373" i="5"/>
  <c r="P185" i="5"/>
  <c r="H185" i="5"/>
  <c r="L185" i="5"/>
  <c r="H254" i="5"/>
  <c r="L254" i="5"/>
  <c r="P254" i="5"/>
  <c r="H223" i="5"/>
  <c r="P223" i="5"/>
  <c r="L223" i="5"/>
  <c r="H198" i="5"/>
  <c r="L198" i="5"/>
  <c r="P198" i="5"/>
  <c r="P351" i="5"/>
  <c r="H351" i="5"/>
  <c r="L351" i="5"/>
  <c r="P144" i="5"/>
  <c r="H144" i="5"/>
  <c r="L144" i="5"/>
  <c r="H45" i="5"/>
  <c r="L45" i="5"/>
  <c r="P45" i="5"/>
  <c r="P147" i="5"/>
  <c r="H147" i="5"/>
  <c r="L147" i="5"/>
  <c r="H4" i="5"/>
  <c r="P4" i="5"/>
  <c r="L4" i="5"/>
  <c r="H343" i="5"/>
  <c r="P343" i="5"/>
  <c r="L343" i="5"/>
  <c r="H165" i="5"/>
  <c r="P165" i="5"/>
  <c r="L165" i="5"/>
  <c r="H70" i="5"/>
  <c r="L70" i="5"/>
  <c r="P70" i="5"/>
  <c r="P155" i="5"/>
  <c r="H155" i="5"/>
  <c r="L155" i="5"/>
  <c r="H118" i="5"/>
  <c r="P118" i="5"/>
  <c r="L118" i="5"/>
  <c r="H38" i="5"/>
  <c r="L38" i="5"/>
  <c r="P38" i="5"/>
  <c r="H226" i="5"/>
  <c r="P226" i="5"/>
  <c r="L226" i="5"/>
  <c r="L74" i="5"/>
  <c r="H74" i="5"/>
  <c r="P74" i="5"/>
  <c r="H327" i="5"/>
  <c r="P327" i="5"/>
  <c r="L327" i="5"/>
  <c r="H148" i="5"/>
  <c r="L148" i="5"/>
  <c r="P148" i="5"/>
  <c r="P91" i="5"/>
  <c r="H91" i="5"/>
  <c r="L91" i="5"/>
  <c r="P325" i="5"/>
  <c r="H325" i="5"/>
  <c r="L325" i="5"/>
  <c r="H381" i="5"/>
  <c r="L381" i="5"/>
  <c r="P381" i="5"/>
  <c r="L154" i="5"/>
  <c r="P154" i="5"/>
  <c r="H154" i="5"/>
  <c r="L31" i="5"/>
  <c r="H31" i="5"/>
  <c r="P31" i="5"/>
  <c r="P103" i="5"/>
  <c r="H103" i="5"/>
  <c r="L103" i="5"/>
  <c r="P265" i="5"/>
  <c r="H265" i="5"/>
  <c r="L265" i="5"/>
  <c r="P233" i="5"/>
  <c r="H233" i="5"/>
  <c r="L233" i="5"/>
  <c r="P274" i="5"/>
  <c r="L274" i="5"/>
  <c r="H274" i="5"/>
  <c r="P243" i="5"/>
  <c r="L243" i="5"/>
  <c r="H243" i="5"/>
  <c r="L331" i="5"/>
  <c r="P331" i="5"/>
  <c r="H331" i="5"/>
  <c r="H164" i="5"/>
  <c r="L164" i="5"/>
  <c r="P164" i="5"/>
  <c r="H137" i="5"/>
  <c r="P137" i="5"/>
  <c r="L137" i="5"/>
  <c r="P17" i="5"/>
  <c r="H17" i="5"/>
  <c r="L17" i="5"/>
  <c r="P92" i="5"/>
  <c r="H92" i="5"/>
  <c r="L92" i="5"/>
  <c r="P131" i="5"/>
  <c r="L131" i="5"/>
  <c r="H131" i="5"/>
  <c r="L143" i="5"/>
  <c r="P143" i="5"/>
  <c r="H143" i="5"/>
  <c r="P75" i="5"/>
  <c r="H75" i="5"/>
  <c r="L75" i="5"/>
  <c r="L7" i="5"/>
  <c r="H7" i="5"/>
  <c r="P7" i="5"/>
  <c r="P84" i="5"/>
  <c r="H84" i="5"/>
  <c r="L84" i="5"/>
  <c r="P107" i="5"/>
  <c r="L107" i="5"/>
  <c r="H107" i="5"/>
  <c r="H245" i="5"/>
  <c r="P245" i="5"/>
  <c r="L245" i="5"/>
  <c r="H372" i="5"/>
  <c r="L372" i="5"/>
  <c r="P372" i="5"/>
  <c r="H360" i="5"/>
  <c r="L360" i="5"/>
  <c r="P360" i="5"/>
  <c r="H177" i="5"/>
  <c r="L177" i="5"/>
  <c r="P177" i="5"/>
  <c r="P48" i="5"/>
  <c r="H48" i="5"/>
  <c r="L48" i="5"/>
  <c r="H18" i="5"/>
  <c r="P18" i="5"/>
  <c r="L18" i="5"/>
  <c r="H271" i="5"/>
  <c r="P271" i="5"/>
  <c r="L271" i="5"/>
  <c r="H178" i="5"/>
  <c r="P178" i="5"/>
  <c r="L178" i="5"/>
  <c r="H326" i="5"/>
  <c r="P326" i="5"/>
  <c r="L326" i="5"/>
  <c r="H121" i="5"/>
  <c r="P121" i="5"/>
  <c r="L121" i="5"/>
  <c r="H46" i="5"/>
  <c r="L46" i="5"/>
  <c r="P46" i="5"/>
  <c r="H322" i="5"/>
  <c r="L322" i="5"/>
  <c r="P322" i="5"/>
  <c r="H273" i="5"/>
  <c r="P273" i="5"/>
  <c r="L273" i="5"/>
  <c r="H62" i="5"/>
  <c r="L62" i="5"/>
  <c r="P62" i="5"/>
  <c r="L319" i="5"/>
  <c r="H319" i="5"/>
  <c r="P319" i="5"/>
  <c r="P105" i="5"/>
  <c r="H105" i="5"/>
  <c r="L105" i="5"/>
  <c r="P124" i="5"/>
  <c r="H124" i="5"/>
  <c r="L124" i="5"/>
  <c r="H13" i="5"/>
  <c r="P13" i="5"/>
  <c r="L13" i="5"/>
  <c r="L248" i="5"/>
  <c r="H248" i="5"/>
  <c r="P248" i="5"/>
  <c r="P306" i="5"/>
  <c r="L306" i="5"/>
  <c r="H306" i="5"/>
  <c r="P382" i="5"/>
  <c r="H382" i="5"/>
  <c r="L382" i="5"/>
  <c r="H215" i="5"/>
  <c r="P215" i="5"/>
  <c r="L215" i="5"/>
  <c r="L149" i="5"/>
  <c r="H149" i="5"/>
  <c r="P149" i="5"/>
  <c r="H116" i="5"/>
  <c r="P116" i="5"/>
  <c r="L116" i="5"/>
  <c r="H370" i="5"/>
  <c r="L370" i="5"/>
  <c r="P370" i="5"/>
  <c r="H255" i="5"/>
  <c r="L255" i="5"/>
  <c r="P255" i="5"/>
  <c r="H311" i="5"/>
  <c r="P311" i="5"/>
  <c r="L311" i="5"/>
  <c r="H237" i="5"/>
  <c r="P237" i="5"/>
  <c r="L237" i="5"/>
  <c r="H157" i="5"/>
  <c r="L157" i="5"/>
  <c r="P157" i="5"/>
  <c r="H57" i="5"/>
  <c r="P57" i="5"/>
  <c r="L57" i="5"/>
  <c r="H87" i="5"/>
  <c r="P87" i="5"/>
  <c r="L87" i="5"/>
  <c r="H239" i="5"/>
  <c r="P239" i="5"/>
  <c r="L239" i="5"/>
  <c r="H72" i="5"/>
  <c r="P72" i="5"/>
  <c r="L72" i="5"/>
  <c r="P214" i="5"/>
  <c r="H214" i="5"/>
  <c r="L214" i="5"/>
  <c r="P179" i="5"/>
  <c r="H179" i="5"/>
  <c r="L179" i="5"/>
  <c r="P59" i="5"/>
  <c r="H59" i="5"/>
  <c r="L59" i="5"/>
  <c r="P9" i="5"/>
  <c r="H9" i="5"/>
  <c r="L9" i="5"/>
  <c r="H162" i="5"/>
  <c r="P162" i="5"/>
  <c r="L162" i="5"/>
  <c r="H120" i="5"/>
  <c r="P120" i="5"/>
  <c r="L120" i="5"/>
  <c r="H345" i="5"/>
  <c r="P345" i="5"/>
  <c r="L345" i="5"/>
  <c r="H286" i="5"/>
  <c r="L286" i="5"/>
  <c r="P286" i="5"/>
  <c r="H238" i="5"/>
  <c r="L238" i="5"/>
  <c r="P238" i="5"/>
  <c r="H228" i="5"/>
  <c r="L228" i="5"/>
  <c r="P228" i="5"/>
  <c r="H221" i="5"/>
  <c r="P221" i="5"/>
  <c r="L221" i="5"/>
  <c r="L336" i="5"/>
  <c r="H336" i="5"/>
  <c r="P336" i="5"/>
  <c r="P339" i="5"/>
  <c r="H339" i="5"/>
  <c r="L339" i="5"/>
  <c r="L181" i="5"/>
  <c r="H181" i="5"/>
  <c r="P181" i="5"/>
  <c r="H290" i="5"/>
  <c r="P290" i="5"/>
  <c r="L290" i="5"/>
  <c r="H270" i="5"/>
  <c r="L270" i="5"/>
  <c r="P270" i="5"/>
  <c r="H132" i="5"/>
  <c r="L132" i="5"/>
  <c r="P132" i="5"/>
  <c r="H182" i="5"/>
  <c r="L182" i="5"/>
  <c r="P182" i="5"/>
  <c r="L95" i="5"/>
  <c r="H95" i="5"/>
  <c r="P95" i="5"/>
  <c r="P358" i="5"/>
  <c r="H358" i="5"/>
  <c r="L358" i="5"/>
  <c r="P85" i="5"/>
  <c r="H85" i="5"/>
  <c r="L85" i="5"/>
  <c r="P386" i="5"/>
  <c r="H386" i="5"/>
  <c r="L386" i="5"/>
  <c r="P10" i="5"/>
  <c r="H10" i="5"/>
  <c r="L10" i="5"/>
  <c r="P251" i="5"/>
  <c r="H251" i="5"/>
  <c r="L251" i="5"/>
  <c r="P362" i="5"/>
  <c r="H362" i="5"/>
  <c r="L362" i="5"/>
  <c r="P305" i="5"/>
  <c r="H305" i="5"/>
  <c r="L305" i="5"/>
  <c r="H266" i="5"/>
  <c r="L266" i="5"/>
  <c r="P266" i="5"/>
  <c r="H368" i="5"/>
  <c r="P368" i="5"/>
  <c r="L368" i="5"/>
  <c r="H341" i="5"/>
  <c r="L341" i="5"/>
  <c r="P341" i="5"/>
  <c r="P272" i="5"/>
  <c r="H272" i="5"/>
  <c r="L272" i="5"/>
  <c r="H309" i="5"/>
  <c r="P309" i="5"/>
  <c r="L309" i="5"/>
  <c r="P111" i="5"/>
  <c r="H111" i="5"/>
  <c r="L111" i="5"/>
  <c r="P338" i="5"/>
  <c r="L338" i="5"/>
  <c r="H338" i="5"/>
  <c r="P379" i="5"/>
  <c r="L379" i="5"/>
  <c r="H379" i="5"/>
  <c r="H340" i="5"/>
  <c r="L340" i="5"/>
  <c r="P340" i="5"/>
  <c r="P337" i="5"/>
  <c r="H337" i="5"/>
  <c r="L337" i="5"/>
  <c r="H47" i="5"/>
  <c r="P47" i="5"/>
  <c r="L47" i="5"/>
  <c r="H6" i="5"/>
  <c r="L6" i="5"/>
  <c r="P6" i="5"/>
  <c r="L24" i="5"/>
  <c r="H24" i="5"/>
  <c r="P24" i="5"/>
  <c r="P209" i="5"/>
  <c r="H209" i="5"/>
  <c r="L209" i="5"/>
  <c r="L16" i="5"/>
  <c r="P16" i="5"/>
  <c r="H16" i="5"/>
  <c r="H300" i="5"/>
  <c r="L300" i="5"/>
  <c r="P300" i="5"/>
  <c r="P115" i="5"/>
  <c r="H115" i="5"/>
  <c r="L115" i="5"/>
  <c r="P396" i="5"/>
  <c r="H396" i="5"/>
  <c r="L396" i="5"/>
  <c r="H401" i="5"/>
  <c r="P401" i="5"/>
  <c r="L401" i="5"/>
  <c r="H199" i="5"/>
  <c r="P199" i="5"/>
  <c r="L199" i="5"/>
  <c r="H128" i="5"/>
  <c r="P128" i="5"/>
  <c r="L128" i="5"/>
  <c r="P82" i="5"/>
  <c r="H82" i="5"/>
  <c r="L82" i="5"/>
  <c r="P76" i="5"/>
  <c r="H76" i="5"/>
  <c r="L76" i="5"/>
  <c r="P202" i="5"/>
  <c r="H202" i="5"/>
  <c r="L202" i="5"/>
  <c r="H350" i="5"/>
  <c r="L350" i="5"/>
  <c r="P350" i="5"/>
  <c r="H231" i="5"/>
  <c r="P231" i="5"/>
  <c r="L231" i="5"/>
  <c r="H89" i="5"/>
  <c r="P89" i="5"/>
  <c r="L89" i="5"/>
  <c r="H240" i="5"/>
  <c r="P240" i="5"/>
  <c r="L240" i="5"/>
  <c r="P283" i="5"/>
  <c r="H283" i="5"/>
  <c r="L283" i="5"/>
  <c r="L388" i="5"/>
  <c r="H388" i="5"/>
  <c r="P388" i="5"/>
  <c r="L263" i="5"/>
  <c r="H263" i="5"/>
  <c r="P263" i="5"/>
  <c r="H229" i="5"/>
  <c r="L229" i="5"/>
  <c r="P229" i="5"/>
  <c r="H126" i="5"/>
  <c r="L126" i="5"/>
  <c r="P126" i="5"/>
  <c r="H8" i="5"/>
  <c r="P8" i="5"/>
  <c r="L8" i="5"/>
  <c r="H192" i="5"/>
  <c r="L192" i="5"/>
  <c r="P192" i="5"/>
  <c r="H224" i="5"/>
  <c r="L224" i="5"/>
  <c r="P224" i="5"/>
  <c r="H380" i="5"/>
  <c r="L380" i="5"/>
  <c r="P380" i="5"/>
  <c r="L402" i="5"/>
  <c r="P402" i="5"/>
  <c r="H402" i="5"/>
  <c r="P171" i="5"/>
  <c r="H171" i="5"/>
  <c r="L171" i="5"/>
  <c r="H32" i="5"/>
  <c r="L32" i="5"/>
  <c r="P32" i="5"/>
  <c r="H125" i="5"/>
  <c r="P125" i="5"/>
  <c r="L125" i="5"/>
  <c r="H349" i="5"/>
  <c r="L349" i="5"/>
  <c r="P349" i="5"/>
  <c r="P73" i="5"/>
  <c r="H73" i="5"/>
  <c r="L73" i="5"/>
  <c r="H304" i="5"/>
  <c r="L304" i="5"/>
  <c r="P304" i="5"/>
  <c r="L280" i="5"/>
  <c r="H280" i="5"/>
  <c r="P280" i="5"/>
  <c r="H366" i="5"/>
  <c r="P366" i="5"/>
  <c r="L366" i="5"/>
  <c r="H56" i="5"/>
  <c r="L56" i="5"/>
  <c r="P56" i="5"/>
  <c r="H168" i="5"/>
  <c r="P168" i="5"/>
  <c r="L168" i="5"/>
  <c r="H244" i="5"/>
  <c r="L244" i="5"/>
  <c r="P244" i="5"/>
  <c r="H145" i="5"/>
  <c r="P145" i="5"/>
  <c r="L145" i="5"/>
  <c r="P335" i="5"/>
  <c r="L335" i="5"/>
  <c r="H335" i="5"/>
  <c r="H33" i="5"/>
  <c r="P33" i="5"/>
  <c r="L33" i="5"/>
  <c r="P11" i="5"/>
  <c r="L11" i="5"/>
  <c r="H11" i="5"/>
  <c r="L187" i="5"/>
  <c r="P187" i="5"/>
  <c r="H187" i="5"/>
  <c r="H295" i="5"/>
  <c r="P295" i="5"/>
  <c r="L295" i="5"/>
  <c r="L213" i="5"/>
  <c r="H213" i="5"/>
  <c r="P213" i="5"/>
  <c r="H216" i="5"/>
  <c r="L216" i="5"/>
  <c r="P216" i="5"/>
  <c r="P190" i="5"/>
  <c r="H190" i="5"/>
  <c r="L190" i="5"/>
  <c r="H129" i="5"/>
  <c r="P129" i="5"/>
  <c r="L129" i="5"/>
  <c r="H53" i="5"/>
  <c r="L53" i="5"/>
  <c r="P53" i="5"/>
  <c r="H281" i="5"/>
  <c r="P281" i="5"/>
  <c r="L281" i="5"/>
  <c r="P169" i="5"/>
  <c r="H169" i="5"/>
  <c r="L169" i="5"/>
  <c r="H394" i="5"/>
  <c r="P394" i="5"/>
  <c r="L394" i="5"/>
  <c r="H279" i="5"/>
  <c r="P279" i="5"/>
  <c r="L279" i="5"/>
  <c r="P346" i="5"/>
  <c r="H346" i="5"/>
  <c r="L346" i="5"/>
  <c r="H184" i="5"/>
  <c r="L184" i="5"/>
  <c r="P184" i="5"/>
  <c r="P259" i="5"/>
  <c r="L259" i="5"/>
  <c r="H259" i="5"/>
  <c r="H384" i="5"/>
  <c r="L384" i="5"/>
  <c r="P384" i="5"/>
  <c r="H106" i="5"/>
  <c r="P106" i="5"/>
  <c r="L106" i="5"/>
  <c r="L50" i="5"/>
  <c r="H50" i="5"/>
  <c r="P50" i="5"/>
  <c r="H5" i="5"/>
  <c r="L5" i="5"/>
  <c r="P5" i="5"/>
  <c r="H249" i="5"/>
  <c r="P249" i="5"/>
  <c r="L249" i="5"/>
  <c r="H206" i="5"/>
  <c r="P206" i="5"/>
  <c r="L206" i="5"/>
  <c r="P347" i="5"/>
  <c r="H347" i="5"/>
  <c r="L347" i="5"/>
  <c r="H308" i="5"/>
  <c r="P308" i="5"/>
  <c r="L308" i="5"/>
  <c r="L267" i="5"/>
  <c r="P267" i="5"/>
  <c r="H267" i="5"/>
  <c r="H161" i="5"/>
  <c r="P161" i="5"/>
  <c r="L161" i="5"/>
  <c r="H23" i="5"/>
  <c r="L23" i="5"/>
  <c r="P23" i="5"/>
  <c r="P330" i="5"/>
  <c r="L330" i="5"/>
  <c r="H330" i="5"/>
  <c r="H285" i="5"/>
  <c r="P285" i="5"/>
  <c r="L285" i="5"/>
  <c r="P258" i="5"/>
  <c r="H258" i="5"/>
  <c r="L258" i="5"/>
  <c r="H397" i="5"/>
  <c r="L397" i="5"/>
  <c r="P397" i="5"/>
  <c r="P104" i="5"/>
  <c r="H104" i="5"/>
  <c r="L104" i="5"/>
  <c r="P67" i="5"/>
  <c r="L67" i="5"/>
  <c r="H67" i="5"/>
  <c r="H212" i="5"/>
  <c r="L212" i="5"/>
  <c r="P212" i="5"/>
  <c r="H20" i="5"/>
  <c r="L20" i="5"/>
  <c r="P20" i="5"/>
  <c r="P364" i="5"/>
  <c r="H364" i="5"/>
  <c r="L364" i="5"/>
  <c r="P158" i="5"/>
  <c r="H158" i="5"/>
  <c r="L158" i="5"/>
  <c r="L191" i="5"/>
  <c r="H191" i="5"/>
  <c r="P191" i="5"/>
  <c r="P112" i="5"/>
  <c r="H112" i="5"/>
  <c r="L112" i="5"/>
  <c r="P275" i="5"/>
  <c r="H275" i="5"/>
  <c r="L275" i="5"/>
  <c r="H242" i="5"/>
  <c r="P242" i="5"/>
  <c r="L242" i="5"/>
  <c r="P170" i="5"/>
  <c r="H170" i="5"/>
  <c r="L170" i="5"/>
  <c r="H318" i="5"/>
  <c r="P318" i="5"/>
  <c r="L318" i="5"/>
  <c r="L101" i="5"/>
  <c r="H101" i="5"/>
  <c r="P101" i="5"/>
  <c r="H68" i="5"/>
  <c r="L68" i="5"/>
  <c r="P68" i="5"/>
  <c r="H64" i="5"/>
  <c r="L64" i="5"/>
  <c r="P64" i="5"/>
  <c r="H204" i="5"/>
  <c r="L204" i="5"/>
  <c r="P204" i="5"/>
  <c r="L356" i="5"/>
  <c r="H356" i="5"/>
  <c r="P356" i="5"/>
  <c r="H232" i="5"/>
  <c r="L232" i="5"/>
  <c r="P232" i="5"/>
  <c r="H99" i="5"/>
  <c r="L99" i="5"/>
  <c r="P99" i="5"/>
  <c r="H110" i="5"/>
  <c r="L110" i="5"/>
  <c r="P110" i="5"/>
  <c r="H51" i="5"/>
  <c r="P51" i="5"/>
  <c r="L51" i="5"/>
  <c r="P292" i="5"/>
  <c r="H292" i="5"/>
  <c r="L292" i="5"/>
  <c r="P153" i="5"/>
  <c r="H153" i="5"/>
  <c r="L153" i="5"/>
  <c r="H348" i="5"/>
  <c r="L348" i="5"/>
  <c r="P348" i="5"/>
  <c r="P385" i="5"/>
  <c r="H385" i="5"/>
  <c r="L385" i="5"/>
  <c r="P163" i="5"/>
  <c r="L163" i="5"/>
  <c r="H163" i="5"/>
  <c r="P81" i="5"/>
  <c r="H81" i="5"/>
  <c r="L81" i="5"/>
  <c r="H54" i="5"/>
  <c r="L54" i="5"/>
  <c r="P54" i="5"/>
  <c r="P310" i="5"/>
  <c r="H310" i="5"/>
  <c r="L310" i="5"/>
  <c r="P123" i="5"/>
  <c r="H123" i="5"/>
  <c r="L123" i="5"/>
  <c r="H160" i="5"/>
  <c r="L160" i="5"/>
  <c r="P160" i="5"/>
  <c r="H222" i="5"/>
  <c r="L222" i="5"/>
  <c r="P222" i="5"/>
  <c r="L135" i="5"/>
  <c r="P135" i="5"/>
  <c r="H135" i="5"/>
  <c r="H301" i="5"/>
  <c r="P301" i="5"/>
  <c r="L301" i="5"/>
  <c r="H167" i="5"/>
  <c r="P167" i="5"/>
  <c r="L167" i="5"/>
  <c r="H352" i="5"/>
  <c r="L352" i="5"/>
  <c r="P352" i="5"/>
  <c r="H276" i="5"/>
  <c r="P276" i="5"/>
  <c r="L276" i="5"/>
  <c r="H278" i="5"/>
  <c r="L278" i="5"/>
  <c r="P278" i="5"/>
  <c r="L299" i="5"/>
  <c r="P299" i="5"/>
  <c r="H299" i="5"/>
  <c r="P141" i="5"/>
  <c r="H141" i="5"/>
  <c r="L141" i="5"/>
  <c r="H3" i="5"/>
  <c r="P3" i="5"/>
  <c r="L3" i="5"/>
  <c r="H297" i="5"/>
  <c r="P297" i="5"/>
  <c r="L297" i="5"/>
  <c r="H61" i="5"/>
  <c r="L61" i="5"/>
  <c r="P61" i="5"/>
  <c r="H256" i="5"/>
  <c r="L256" i="5"/>
  <c r="P256" i="5"/>
  <c r="P219" i="5"/>
  <c r="H219" i="5"/>
  <c r="L219" i="5"/>
  <c r="H30" i="5"/>
  <c r="L30" i="5"/>
  <c r="P30" i="5"/>
  <c r="H174" i="5"/>
  <c r="L174" i="5"/>
  <c r="P174" i="5"/>
  <c r="P315" i="5"/>
  <c r="H315" i="5"/>
  <c r="L315" i="5"/>
  <c r="H269" i="5"/>
  <c r="L269" i="5"/>
  <c r="P269" i="5"/>
  <c r="H14" i="5"/>
  <c r="L14" i="5"/>
  <c r="P14" i="5"/>
  <c r="P241" i="5"/>
  <c r="H241" i="5"/>
  <c r="L241" i="5"/>
  <c r="H166" i="5"/>
  <c r="P166" i="5"/>
  <c r="L166" i="5"/>
  <c r="H96" i="5"/>
  <c r="L96" i="5"/>
  <c r="P96" i="5"/>
  <c r="H180" i="5"/>
  <c r="L180" i="5"/>
  <c r="P180" i="5"/>
  <c r="P332" i="5"/>
  <c r="H332" i="5"/>
  <c r="L332" i="5"/>
  <c r="H183" i="5"/>
  <c r="P183" i="5"/>
  <c r="L183" i="5"/>
  <c r="H151" i="5"/>
  <c r="L151" i="5"/>
  <c r="P151" i="5"/>
  <c r="H252" i="5"/>
  <c r="L252" i="5"/>
  <c r="P252" i="5"/>
  <c r="H264" i="5"/>
  <c r="L264" i="5"/>
  <c r="P264" i="5"/>
  <c r="L207" i="5"/>
  <c r="H207" i="5"/>
  <c r="P207" i="5"/>
  <c r="H42" i="5"/>
  <c r="L42" i="5"/>
  <c r="P42" i="5"/>
  <c r="P194" i="5"/>
  <c r="L194" i="5"/>
  <c r="H194" i="5"/>
  <c r="H172" i="5"/>
  <c r="L172" i="5"/>
  <c r="P172" i="5"/>
  <c r="L324" i="5"/>
  <c r="H324" i="5"/>
  <c r="P324" i="5"/>
  <c r="H217" i="5"/>
  <c r="L217" i="5"/>
  <c r="P217" i="5"/>
  <c r="H197" i="5"/>
  <c r="L197" i="5"/>
  <c r="P197" i="5"/>
  <c r="H150" i="5"/>
  <c r="L150" i="5"/>
  <c r="P150" i="5"/>
  <c r="P43" i="5"/>
  <c r="H43" i="5"/>
  <c r="L43" i="5"/>
  <c r="P58" i="5"/>
  <c r="H58" i="5"/>
  <c r="L58" i="5"/>
  <c r="P355" i="5"/>
  <c r="L355" i="5"/>
  <c r="H355" i="5"/>
  <c r="H316" i="5"/>
  <c r="P316" i="5"/>
  <c r="L316" i="5"/>
  <c r="L344" i="5"/>
  <c r="H344" i="5"/>
  <c r="P344" i="5"/>
  <c r="H142" i="5"/>
  <c r="P142" i="5"/>
  <c r="L142" i="5"/>
  <c r="H49" i="5"/>
  <c r="P49" i="5"/>
  <c r="L49" i="5"/>
  <c r="H71" i="5"/>
  <c r="L71" i="5"/>
  <c r="P71" i="5"/>
  <c r="P205" i="5"/>
  <c r="H205" i="5"/>
  <c r="L205" i="5"/>
  <c r="P83" i="5"/>
  <c r="H83" i="5"/>
  <c r="L83" i="5"/>
  <c r="L88" i="5"/>
  <c r="H88" i="5"/>
  <c r="P88" i="5"/>
  <c r="H55" i="5"/>
  <c r="P55" i="5"/>
  <c r="L55" i="5"/>
  <c r="C409" i="2" a="1"/>
  <c r="C409" i="2" s="1"/>
  <c r="D409" i="2" s="1"/>
  <c r="A412" i="2" s="1"/>
  <c r="C8" i="8" l="1"/>
  <c r="B37" i="8"/>
  <c r="B36" i="8"/>
  <c r="G45" i="8"/>
  <c r="I45" i="8" s="1"/>
  <c r="J71" i="8" s="1"/>
  <c r="H35" i="8"/>
  <c r="B40" i="8"/>
  <c r="B35" i="8"/>
  <c r="B41" i="8"/>
  <c r="B42" i="8"/>
  <c r="B44" i="8"/>
  <c r="B38" i="8"/>
  <c r="B43" i="8"/>
  <c r="B39" i="8"/>
  <c r="C188" i="7"/>
  <c r="E50" i="8"/>
  <c r="H45" i="8"/>
  <c r="B68" i="8" l="1"/>
  <c r="B71" i="8"/>
  <c r="B67" i="8"/>
  <c r="F51" i="8"/>
  <c r="F53" i="8"/>
  <c r="F5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<sst xmlns="http://schemas.openxmlformats.org/spreadsheetml/2006/main" count="1575" uniqueCount="755">
  <si>
    <t>sku_rank</t>
  </si>
  <si>
    <t>product_id</t>
  </si>
  <si>
    <t>category</t>
  </si>
  <si>
    <t>units_sold</t>
  </si>
  <si>
    <t>order_count</t>
  </si>
  <si>
    <t>gross_revenue</t>
  </si>
  <si>
    <t>cogs</t>
  </si>
  <si>
    <t>storage_cost</t>
  </si>
  <si>
    <t>fulfillment_cost</t>
  </si>
  <si>
    <t>freight_cost</t>
  </si>
  <si>
    <t>return_loss</t>
  </si>
  <si>
    <t>total_cost_sql_check</t>
  </si>
  <si>
    <t>net_profit_sql_check</t>
  </si>
  <si>
    <t>net_margin_pct_sql_check</t>
  </si>
  <si>
    <t>avg_review_score</t>
  </si>
  <si>
    <t>decision</t>
  </si>
  <si>
    <t>bb50f2e236e5eea0100680137654686c</t>
  </si>
  <si>
    <t>health_beauty</t>
  </si>
  <si>
    <t>SCALE</t>
  </si>
  <si>
    <t>6cdd53843498f92890544667809f1595</t>
  </si>
  <si>
    <t>d6160fb7873f184099d9bc95e30376af</t>
  </si>
  <si>
    <t>computers</t>
  </si>
  <si>
    <t>d1c427060a0f73f6b889a5c7c61f2ac4</t>
  </si>
  <si>
    <t>computers_accessories</t>
  </si>
  <si>
    <t>EXIT</t>
  </si>
  <si>
    <t>99a4788cb24856965c36a24e339b6058</t>
  </si>
  <si>
    <t>bed_bath_table</t>
  </si>
  <si>
    <t>OPTIMIZE</t>
  </si>
  <si>
    <t>3dd2a17168ec895c781a9191c1e95ad7</t>
  </si>
  <si>
    <t>25c38557cf793876c5abdd5931f922db</t>
  </si>
  <si>
    <t>baby</t>
  </si>
  <si>
    <t>5f504b3a1c75b73d6151be81eb05bdc9</t>
  </si>
  <si>
    <t>cool_stuff</t>
  </si>
  <si>
    <t>53b36df67ebb7c41585e8d54d6772e08</t>
  </si>
  <si>
    <t>watches_gifts</t>
  </si>
  <si>
    <t>aca2eb7d00ea1a7b8ebd4e68314663af</t>
  </si>
  <si>
    <t>furniture_decor</t>
  </si>
  <si>
    <t>e0d64dcfaa3b6db5c54ca298ae101d05</t>
  </si>
  <si>
    <t>d285360f29ac7fd97640bf0baef03de0</t>
  </si>
  <si>
    <t>7a10781637204d8d10485c71a6108a2e</t>
  </si>
  <si>
    <t>f1c7f353075ce59d8a6f3cf58f419c9c</t>
  </si>
  <si>
    <t>f819f0c84a64f02d3a5606ca95edd272</t>
  </si>
  <si>
    <t>588531f8ec37e7d5ff5b7b22ea0488f8</t>
  </si>
  <si>
    <t>422879e10f46682990de24d770e7f83d</t>
  </si>
  <si>
    <t>garden_tools</t>
  </si>
  <si>
    <t>16c4e87b98a9370a9cbc3a4658a3f45b</t>
  </si>
  <si>
    <t>musical_instruments</t>
  </si>
  <si>
    <t>a62e25e09e05e6faf31d90c6ec1aa3d1</t>
  </si>
  <si>
    <t>2b4609f8948be18874494203496bc318</t>
  </si>
  <si>
    <t>a5215a7a9f46c4185b12f38e9ddf2abc</t>
  </si>
  <si>
    <t>bc4cd4da98dd128c39bf0b8c2674032f</t>
  </si>
  <si>
    <t>389d119b48cf3043d311335e499d9c6b</t>
  </si>
  <si>
    <t>368c6c730842d78016ad823897a372db</t>
  </si>
  <si>
    <t>461f43be3bdf8844e65b62d9ac2c7a5a</t>
  </si>
  <si>
    <t>52c80cedd4e90108bf4fa6a206ef6b03</t>
  </si>
  <si>
    <t>53759a2ecddad2bb87a079a1f1519f73</t>
  </si>
  <si>
    <t>fd0065af7f09af4b82a0ca8f3eed1852</t>
  </si>
  <si>
    <t>auto</t>
  </si>
  <si>
    <t>1dec4c88c685d5a07bf01dcb0f8bf9f8</t>
  </si>
  <si>
    <t>6f3b5b605d91b7439c5e3f5a8dffeea7</t>
  </si>
  <si>
    <t>19c91ef95d509ea33eda93495c4d3481</t>
  </si>
  <si>
    <t>1a080577618e7fe4d9ddd8fb2b47a964</t>
  </si>
  <si>
    <t>165f86fe8b799a708a20ee4ba125c289</t>
  </si>
  <si>
    <t>fb01a5fc09b9b9563c2ee41a22f07d54</t>
  </si>
  <si>
    <t>consoles_games</t>
  </si>
  <si>
    <t>e7cc48a9daff5436f63d3aad9426f28b</t>
  </si>
  <si>
    <t>telephony</t>
  </si>
  <si>
    <t>a04087ab6a96ffa041f8a2701a72b616</t>
  </si>
  <si>
    <t>e53e557d5a159f5aa2c5e995dfdf244b</t>
  </si>
  <si>
    <t>601a360bd2a916ecef0e88de72a6531a</t>
  </si>
  <si>
    <t>d5991653e037ccb7af6ed7d94246b249</t>
  </si>
  <si>
    <t>470433f95ba906e17efac3fce39e9ffd</t>
  </si>
  <si>
    <t>c4baedd846ed09b85f78a781b522f126</t>
  </si>
  <si>
    <t>431d674f9a4fbd0957ecf6ba3fcb6899</t>
  </si>
  <si>
    <t>7814c273ab16783d73a9863ebfa8b141</t>
  </si>
  <si>
    <t>87feb07adc221a4c6cdf051ea1afd0ff</t>
  </si>
  <si>
    <t>home_appliances_2</t>
  </si>
  <si>
    <t>f49e985b4cb2d0543890d6dd00077663</t>
  </si>
  <si>
    <t>small_appliances_home_oven_and_coffee</t>
  </si>
  <si>
    <t>8c591ab0ca519558779df02023177f44</t>
  </si>
  <si>
    <t>35afc973633aaeb6b877ff57b2793310</t>
  </si>
  <si>
    <t>home_confort</t>
  </si>
  <si>
    <t>af51d485dc5255ba2e18b21b550156e6</t>
  </si>
  <si>
    <t>luggage_accessories</t>
  </si>
  <si>
    <t>7c1bd920dbdf22470b68bde975dd3ccf</t>
  </si>
  <si>
    <t>8c292ca193d326152e335d77176746f0</t>
  </si>
  <si>
    <t>4aa6014eceb682077f9dc4bffebc05b0</t>
  </si>
  <si>
    <t>housewares</t>
  </si>
  <si>
    <t>bee2e070c39f3dd2f6883a17a5f0da45</t>
  </si>
  <si>
    <t>a02d0123079f4ae96001ba2010d1a2df</t>
  </si>
  <si>
    <t>construction_tools_lights</t>
  </si>
  <si>
    <t>5769ef0a239114ac3a854af00df129e4</t>
  </si>
  <si>
    <t>fixed_telephony</t>
  </si>
  <si>
    <t>0433830caca22b01a0f477d31307b043</t>
  </si>
  <si>
    <t>f4f67ccaece962d013a4e1d7dc3a61f7</t>
  </si>
  <si>
    <t>13db47eae724e2848e12b71a617a3a41</t>
  </si>
  <si>
    <t>audio</t>
  </si>
  <si>
    <t>8ed094bfe076c568f6bb10feada3f75d</t>
  </si>
  <si>
    <t>office_furniture</t>
  </si>
  <si>
    <t>ee406bf28024d97771c4b1e8b7e8e219</t>
  </si>
  <si>
    <t>4fcb3d9a5f4871e8362dfedbdb02b064</t>
  </si>
  <si>
    <t>44fc450365728c413fefc547592626be</t>
  </si>
  <si>
    <t>small_appliances</t>
  </si>
  <si>
    <t>595fac2a385ac33a80bd5114aec74eb8</t>
  </si>
  <si>
    <t>perfumery</t>
  </si>
  <si>
    <t>25292482a61cb3298df8dbe15ea69daf</t>
  </si>
  <si>
    <t>a92930c327948861c015c919a0bcb4a8</t>
  </si>
  <si>
    <t>4298b7e67dc399c200662b569563a2b2</t>
  </si>
  <si>
    <t>656e0eca68dcecf6a31b8ececfabe3e8</t>
  </si>
  <si>
    <t>e4d325bd1eea550509bdbbc5c3301fc1</t>
  </si>
  <si>
    <t>0a57f7d2c983bcf8188589a5fea4a8da</t>
  </si>
  <si>
    <t>5237739bb5fee495dbd337755a138660</t>
  </si>
  <si>
    <t>c6dd917a0be2a704582055949915ab32</t>
  </si>
  <si>
    <t>af0a99476d96dcc1a1baa7c0d9ff6b9d</t>
  </si>
  <si>
    <t>24c66f106f642621e524291a895c9032</t>
  </si>
  <si>
    <t>dc404a1496a08f9f5540c8b5d4b92925</t>
  </si>
  <si>
    <t>toys</t>
  </si>
  <si>
    <t>36f60d45225e60c7da4558b070ce4b60</t>
  </si>
  <si>
    <t>2ffdf10e724b958c0f7ea69e97d32f64</t>
  </si>
  <si>
    <t>42a2c92a0979a949ca4ea89ec5c7b934</t>
  </si>
  <si>
    <t>afeeea6271148ee1bb15173b8187c431</t>
  </si>
  <si>
    <t>ddceb6eef6af67e9fbbd4c148dbe5fd9</t>
  </si>
  <si>
    <t>4fe644d766c7566dbc46fb851363cb3b</t>
  </si>
  <si>
    <t>art</t>
  </si>
  <si>
    <t>f22c9d6ce2431ff939aad39e026cc7ef</t>
  </si>
  <si>
    <t>08574b074924071f4e201e151b152b4e</t>
  </si>
  <si>
    <t>cc971e0365873137b8bef2ebad633e6f</t>
  </si>
  <si>
    <t>9c5cec867c62c0ec4674b002eb1c3e0c</t>
  </si>
  <si>
    <t>home_appliances</t>
  </si>
  <si>
    <t>19936fa4f614ee0590d3b77ac83fd648</t>
  </si>
  <si>
    <t>4c2394abfbac7ff59ec7a420918562fa</t>
  </si>
  <si>
    <t>3225c54bb2785c33f49f50398fcdb88c</t>
  </si>
  <si>
    <t>84f456958365164420cfc80fbe4c7fab</t>
  </si>
  <si>
    <t>f27aff266ad97e75d4a24c893b2c311e</t>
  </si>
  <si>
    <t>53ea9da485f6aed8a6f03a85831fe021</t>
  </si>
  <si>
    <t>fe6a9515d655fa7936b8a7c841039f34</t>
  </si>
  <si>
    <t>cac9e5692471a0700418aa3400b9b2b1</t>
  </si>
  <si>
    <t>8a12c0e223d9dbd49ccfcd2ad25d1b30</t>
  </si>
  <si>
    <t>construction_tools_construction</t>
  </si>
  <si>
    <t>2a2d22ae30e026f1893083c8405ca522</t>
  </si>
  <si>
    <t>3fbc0ef745950c7932d5f2a446189725</t>
  </si>
  <si>
    <t>d696750e550fd0f733979dd7e5dff921</t>
  </si>
  <si>
    <t>a50acd33ba7a8da8e9db65094fa990a4</t>
  </si>
  <si>
    <t>933f4f76eae38d2a97ecfb7c6355f0bc</t>
  </si>
  <si>
    <t>e9a69340883a438c3f91739d14d3a56d</t>
  </si>
  <si>
    <t>78efe838c04bbc568be034082200ac20</t>
  </si>
  <si>
    <t>29427de7f8a9ee983d9dbc51cec569b4</t>
  </si>
  <si>
    <t>b4436da747c3a53ab07ac0e71de17dcd</t>
  </si>
  <si>
    <t>sports_leisure</t>
  </si>
  <si>
    <t>25f86162fee18735fffdb762dcb10d7c</t>
  </si>
  <si>
    <t>4df83a41105e00e0845b9d12b5fe601c</t>
  </si>
  <si>
    <t>9bfc55df037ce3ac01bfd84781adf7e5</t>
  </si>
  <si>
    <t>db5efde3ad0cc579b130d71c4b2db522</t>
  </si>
  <si>
    <t>2a5806f10d0f00e5ad032dd2e3c8806e</t>
  </si>
  <si>
    <t>34f99d82cfc355d08d8db780d14aa002</t>
  </si>
  <si>
    <t>cce3ce6484896041ae3dafdd4308a39c</t>
  </si>
  <si>
    <t>5411e9269501a870cabf632f05655131</t>
  </si>
  <si>
    <t>stationery</t>
  </si>
  <si>
    <t>fe59a1e006df3ac42bf0ceb876d70969</t>
  </si>
  <si>
    <t>11250b0d4b709fee92441c5f34122aed</t>
  </si>
  <si>
    <t>agro_industry_and_commerce</t>
  </si>
  <si>
    <t>f7740e5b4337a3cc4a8a204553101a85</t>
  </si>
  <si>
    <t>0bbdc963004d9b2fd3427ee3c5ae3608</t>
  </si>
  <si>
    <t>e59dd207c69d86e890febadc796d1078</t>
  </si>
  <si>
    <t>e44f675b60b3a3a2453ec36421e06f0f</t>
  </si>
  <si>
    <t>c1ad8ac66c91ad301cefc322ba2adf31</t>
  </si>
  <si>
    <t>c6ea63369936552872ae890c82175b4b</t>
  </si>
  <si>
    <t>9453bde60c4ee52155c963641736cfc5</t>
  </si>
  <si>
    <t>69d3ff4f45d52d69e4b06760e0e154e2</t>
  </si>
  <si>
    <t>fbce4c4cb307679d89a3bf3d3bb353b9</t>
  </si>
  <si>
    <t>fc1d8637c0268af3db482c14b7ef8e75</t>
  </si>
  <si>
    <t>fe9dfbe7f974621789683b7b78be2a16</t>
  </si>
  <si>
    <t>8aa6223e400af9c97b07c75993142721</t>
  </si>
  <si>
    <t>27535386be7362e36d9e78c2afb8c0e5</t>
  </si>
  <si>
    <t>b114bf337c0626166abe574eee9e3f32</t>
  </si>
  <si>
    <t>8317b177579dd27ff068b83205e2169b</t>
  </si>
  <si>
    <t>aed75ad669fbebd5a385ac7cc2ae7573</t>
  </si>
  <si>
    <t>629e019a6f298a83aeecc7877964f935</t>
  </si>
  <si>
    <t>657247f6f60543b93e3cc708a8e6329c</t>
  </si>
  <si>
    <t>928e52a9ad53a294fdcc91bcf59d1751</t>
  </si>
  <si>
    <t>7c55ea4aea1acf1ce11440010f5aa298</t>
  </si>
  <si>
    <t>78819ab10b4a44927c832a21c06849e0</t>
  </si>
  <si>
    <t>2948658cb6abc82847412be7201bfc4c</t>
  </si>
  <si>
    <t>4413a608a42bd21bbf9d5abbd58c249a</t>
  </si>
  <si>
    <t>952670bc019a73f0933157ec82ff6e4f</t>
  </si>
  <si>
    <t>8b5227e28272123eefd613a10ffd7704</t>
  </si>
  <si>
    <t>423a6644f0aa529e8828ff1f91003690</t>
  </si>
  <si>
    <t>38c56c5c5b16958d95bf8254498ad555</t>
  </si>
  <si>
    <t>5183344b5357029cfd88c7f511ed876d</t>
  </si>
  <si>
    <t>f39a8b27ce90ac582103bf36f09690dd</t>
  </si>
  <si>
    <t>df0c26d7ddb998e2517658a55e46e48a</t>
  </si>
  <si>
    <t>617186c3d97ea56c9c683a8a3974e8c1</t>
  </si>
  <si>
    <t>1f411e9a31196b71ed8438c8254b858e</t>
  </si>
  <si>
    <t>3ecf69ee1fe21cfd40b30cbea549e563</t>
  </si>
  <si>
    <t>679d1a26cc192f14e7e30ae397f8b089</t>
  </si>
  <si>
    <t>b5e13c9a353102f79c6206ff5cb61a50</t>
  </si>
  <si>
    <t>437c05a395e9e47f9762e677a7068ce7</t>
  </si>
  <si>
    <t>dd113cb02b2af9c8e5787e8f1f0722f6</t>
  </si>
  <si>
    <t>09481a6dfe9eb590dc8b265b54dc4c97</t>
  </si>
  <si>
    <t>2028bf1b01cafb2d2b1901fca4083222</t>
  </si>
  <si>
    <t>7614c62b86a81021243e438cfde78ccc</t>
  </si>
  <si>
    <t>f8b624d4e475bb8d1bddf1b65c6a64f6</t>
  </si>
  <si>
    <t>3f14d740544f37ece8a9e7bc8349797e</t>
  </si>
  <si>
    <t>0abc19e41fdc9d6894b8cae651619253</t>
  </si>
  <si>
    <t>electronics</t>
  </si>
  <si>
    <t>b0961721fd839e9982420e807758a2a6</t>
  </si>
  <si>
    <t>d04e48982547095af81c231c3d581cb6</t>
  </si>
  <si>
    <t>2d4500a3d35334916c955b3c365dbefe</t>
  </si>
  <si>
    <t>7fb04722aba7a2b632bac8f9819796f3</t>
  </si>
  <si>
    <t>93c902b021a9e594f658ab1b0351602a</t>
  </si>
  <si>
    <t>61937887eb6ee0b405a5759756426486</t>
  </si>
  <si>
    <t>a9516a079e37a9c9c36b9b78b10169e8</t>
  </si>
  <si>
    <t>a3cd9517ebf5a50dca25acce54f3b171</t>
  </si>
  <si>
    <t>5328338cfaa16ba10561cd970c73ca11</t>
  </si>
  <si>
    <t>43944a8f8f0b7ae86b6c3d3c2f257375</t>
  </si>
  <si>
    <t>41cd333a4af5e36df81fc0b83ccf8e2d</t>
  </si>
  <si>
    <t>dbb67791e405873b259e4656bf971246</t>
  </si>
  <si>
    <t>363218ba55c610b750224f90bdd34be1</t>
  </si>
  <si>
    <t>8b52d90d2e8716dad633486c6cc94ecf</t>
  </si>
  <si>
    <t>4178e16324fd0c9a8e18463caf390cc6</t>
  </si>
  <si>
    <t>672e757f331900b9deea127a2a7b79fd</t>
  </si>
  <si>
    <t>fbc1488c1a1e72ba175f53ab29a248e8</t>
  </si>
  <si>
    <t>d017a2151d543a9885604dc62a3d9dcc</t>
  </si>
  <si>
    <t>fashion_bags_accessories</t>
  </si>
  <si>
    <t>41c24b8ce92d1a2cac62db5edfd088b2</t>
  </si>
  <si>
    <t>64fb265487de2238627ce43fe8a67efc</t>
  </si>
  <si>
    <t>aba86c093ccdbac75b09111d57e50004</t>
  </si>
  <si>
    <t>223d34a3d9334039f5ff9511dc044bbb</t>
  </si>
  <si>
    <t>8f211599d0cde9d8551a6984d758e1f4</t>
  </si>
  <si>
    <t>fb55982be901439613a95940feefd9ee</t>
  </si>
  <si>
    <t>7b35be468d9795a7529f65c50ec87668</t>
  </si>
  <si>
    <t>489ae2aa008f021502940f251d4cce7f</t>
  </si>
  <si>
    <t>69c590f7ffc7bf8db97190b6cb6ed62e</t>
  </si>
  <si>
    <t>4d0322b5ddf89ce6a3564aca2e261a3a</t>
  </si>
  <si>
    <t>11fd9d7ba552e1d28872e008acf1e050</t>
  </si>
  <si>
    <t>9545d45c37449ccbc376de3a04c66e71</t>
  </si>
  <si>
    <t>f71973c922ccaab05514a36a8bc741b8</t>
  </si>
  <si>
    <t>69455f41626a745aea9ee9164cb9eafd</t>
  </si>
  <si>
    <t>e9c1abcc7126360336d8f56d49041a8c</t>
  </si>
  <si>
    <t>5d6bea33648f018dbb563f3a2fab09f3</t>
  </si>
  <si>
    <t>777d2e438a1b645f3aec9bd57e92672c</t>
  </si>
  <si>
    <t>cb26d15d1b6eabaac7c0803774245884</t>
  </si>
  <si>
    <t>d2e131d6f19ae0d665fc1a6c420b4f4c</t>
  </si>
  <si>
    <t>b192be433004cc1f10b467c0e9ea309b</t>
  </si>
  <si>
    <t>f35927953ed82e19d06ad3aac2f06353</t>
  </si>
  <si>
    <t>books_general_interest</t>
  </si>
  <si>
    <t>628f5ed6c14790dcb9233c8dbf596175</t>
  </si>
  <si>
    <t>79c0ace2ccf0da036e787875a49151a4</t>
  </si>
  <si>
    <t>kitchen_dining_laundry_garden_furniture</t>
  </si>
  <si>
    <t>3354a4e684f5e7199f9407db70ccd92b</t>
  </si>
  <si>
    <t>1bdf5e6731585cf01aa8169c7028d6ad</t>
  </si>
  <si>
    <t>89f59eee27a6a49b9f0d887136c71cd4</t>
  </si>
  <si>
    <t>fe01b643060a6446e59f58e3021e66b3</t>
  </si>
  <si>
    <t>781afe929e3016a667f5f439afd55fce</t>
  </si>
  <si>
    <t>b3bcd6f54c943fecf8f51e0b988e5cc9</t>
  </si>
  <si>
    <t>7612afaa8218e79b3011243ed9edea9c</t>
  </si>
  <si>
    <t>15859e3a8aaa3c192c10a91d8722abd5</t>
  </si>
  <si>
    <t>6a162a899a815ed15db1689e8efc976c</t>
  </si>
  <si>
    <t>23ed7a10a36c6f88a757a9c83df9ea20</t>
  </si>
  <si>
    <t>154e7e31ebfa092203795c972e5804a6</t>
  </si>
  <si>
    <t>349ce46a0e2e20054aa9d80c48af8816</t>
  </si>
  <si>
    <t>bd9fca6bf4bdcbf4094d7bc11415dfe5</t>
  </si>
  <si>
    <t>bc2d6310e5cbd60facb2f9c8d9471597</t>
  </si>
  <si>
    <t>11bbef4e2a44601d9dd471aa1fb433e6</t>
  </si>
  <si>
    <t>30ac6df06dc59ad72cf2f158fc2d904c</t>
  </si>
  <si>
    <t>dc9471db933efad7bf0ce685380578bd</t>
  </si>
  <si>
    <t>0bcc3eeca39e1064258aa1e932269894</t>
  </si>
  <si>
    <t>98d61056e0568ba048e5d78038790e77</t>
  </si>
  <si>
    <t>b9ac7314894a193a11fd3150f8c69307</t>
  </si>
  <si>
    <t>b532349fe46b38fbc7bb3914c1bdae07</t>
  </si>
  <si>
    <t>f96ff9b997681965689f78bef092fdd9</t>
  </si>
  <si>
    <t>d6fe3b4ddecd4a8393c6a1385de3bfb6</t>
  </si>
  <si>
    <t>e3dd336775af78a83fc27ed85f0f15da</t>
  </si>
  <si>
    <t>31a2f42a87890f87d77daebdfabc182e</t>
  </si>
  <si>
    <t>ff92ca9bb0b3f4ec00a9b76c9f68cb3a</t>
  </si>
  <si>
    <t>386486367c1f9d4f587a8864ccb6902b</t>
  </si>
  <si>
    <t>4b96786612ebe7463132fce2c4dca136</t>
  </si>
  <si>
    <t>23e44bcf966914b366c7e28f13327dfe</t>
  </si>
  <si>
    <t>e7f85e7f0203b7b95cc1b4c21b4b070c</t>
  </si>
  <si>
    <t>83b00325c13c44245b2c3a2befa62a0e</t>
  </si>
  <si>
    <t>4e5e41fb7d296a6f776c63fee5cb9fac</t>
  </si>
  <si>
    <t>ec2d43cc59763ec91694573b31f1c29a</t>
  </si>
  <si>
    <t>cf78006a2a6b0429b9663edd99bb38f9</t>
  </si>
  <si>
    <t>59f09deeea7c839a9212a19f3416b892</t>
  </si>
  <si>
    <t>06abf4be826ed1d548e8a22a3d75d912</t>
  </si>
  <si>
    <t>b914a18d4547eff292fedeccc82faec6</t>
  </si>
  <si>
    <t>f40876e0ef3cd5f9132b1f16b04b1346</t>
  </si>
  <si>
    <t>caaa713799b547352795c831a14f1c3c</t>
  </si>
  <si>
    <t>e272c7b6c21c38e8ee510666a28460d4</t>
  </si>
  <si>
    <t>c183fd5d2abf05873fa6e1014ed9e06c</t>
  </si>
  <si>
    <t>d04857e7b4b708ee8b8b9921163edba3</t>
  </si>
  <si>
    <t>404a57563d487aecbc2b1a01d9b89aab</t>
  </si>
  <si>
    <t>61a4100ccd6d9c4c808a1fd954ddb8ad</t>
  </si>
  <si>
    <t>06edb72f1e0c64b14c5b79353f7abea3</t>
  </si>
  <si>
    <t>57c9362442482cd2451f2eabf468e532</t>
  </si>
  <si>
    <t>aef8207c2e91f4fcdbc0824737abf358</t>
  </si>
  <si>
    <t>43423cdffde7fda63d0414ed38c11a73</t>
  </si>
  <si>
    <t>1cc61b32763a4d816212b3507b6b6c59</t>
  </si>
  <si>
    <t>c5b72065154ec27c2d1ed8a654c3348f</t>
  </si>
  <si>
    <t>ffc9caf33e2d1e9f44e3e06da19085f7</t>
  </si>
  <si>
    <t>9aedf557945e816d48539ee56293f860</t>
  </si>
  <si>
    <t>d2239567438e335a463191a43f2f02ff</t>
  </si>
  <si>
    <t>e251ebd2858be1aa7d9b2087a6992580</t>
  </si>
  <si>
    <t>145028037adecb27b1a58cf9597676cc</t>
  </si>
  <si>
    <t>332842d24e84234cd91299a225de76ab</t>
  </si>
  <si>
    <t>ba55945d930e34e802e5dd2e5cffdcc8</t>
  </si>
  <si>
    <t>3429d7e4892a2df967fae671f4c98deb</t>
  </si>
  <si>
    <t>9fc063fd34fed29ccc57b7f8e8d03388</t>
  </si>
  <si>
    <t>ca38c039b717207dec906f4fa9a21db7</t>
  </si>
  <si>
    <t>b3e40ff639c185b9d726b4b19c17e6cd</t>
  </si>
  <si>
    <t>2bb3e85f2a403543fdb64e266e70c792</t>
  </si>
  <si>
    <t>c3ba4e8d3cb30049213b682e751e9d00</t>
  </si>
  <si>
    <t>73bcea88583002fe12b7399af4ae60da</t>
  </si>
  <si>
    <t>27dd6092aaf2627e39331ad9823b5ebf</t>
  </si>
  <si>
    <t>bdb0b11a36aed4d0d862a7037c838560</t>
  </si>
  <si>
    <t>eba7488e1c67729f045ab43fac426f2e</t>
  </si>
  <si>
    <t>89b121bee266dcd25688a1ba72eefb61</t>
  </si>
  <si>
    <t>5cd07c84a1c25575ac2fc3fa73f1d952</t>
  </si>
  <si>
    <t>638bbb2a5e4f360b71f332ddfebfd672</t>
  </si>
  <si>
    <t>3e5201fe0d1ba474d9b90152c83c706c</t>
  </si>
  <si>
    <t>1d16c0509e7011656e03c6a582ff6667</t>
  </si>
  <si>
    <t>51ce083cd2b9078656a94655ab45b8a4</t>
  </si>
  <si>
    <t>9da950e8c8c482441f1b93955b21c827</t>
  </si>
  <si>
    <t>a233df9a388d27dbdfd31731d4236db0</t>
  </si>
  <si>
    <t>75d6b6963340c6063f7f4cfcccfe6a30</t>
  </si>
  <si>
    <t>a39cc58c1b5926b6f9f378daa89f1315</t>
  </si>
  <si>
    <t>home_construction</t>
  </si>
  <si>
    <t>97c948ebc8c04b26b7bbb095d4228f2a</t>
  </si>
  <si>
    <t>05a9dadb8402b6b7ae3dd28f7da187b5</t>
  </si>
  <si>
    <t>817e1c2d22418c36386406ccacfa53e8</t>
  </si>
  <si>
    <t>65841ad29fc48cd40902e03da7511e05</t>
  </si>
  <si>
    <t>764292b2b0f73f77a0272be03fdd45f3</t>
  </si>
  <si>
    <t>450c25d98ed6923154a934554475bf13</t>
  </si>
  <si>
    <t>698b3ddae2f0b80c2a48fb40624ca4e4</t>
  </si>
  <si>
    <t>10717ff440b2320081989126e858b220</t>
  </si>
  <si>
    <t>130482add9fd75ccb6c57ba007694a2d</t>
  </si>
  <si>
    <t>55782cb82e0efe052da0a3da237da3b2</t>
  </si>
  <si>
    <t>b38b25d838ae0b8385e8cc68b9017644</t>
  </si>
  <si>
    <t>63085bb4366ded27bcb63cbb59b4103a</t>
  </si>
  <si>
    <t>fb8c11da2e1b1634e879d1c3c6762dc2</t>
  </si>
  <si>
    <t>6dde44b4172999f35f08654d06bad633</t>
  </si>
  <si>
    <t>1491a8ff192d4b5c369b0eaa2fe33ee5</t>
  </si>
  <si>
    <t>c92f0e7b9d49a9543558d6532772441b</t>
  </si>
  <si>
    <t>bc74f63361c15c1a5baa5b97ac432e62</t>
  </si>
  <si>
    <t>6c34d241bbd85d693f1fee6a4b8a8e2b</t>
  </si>
  <si>
    <t>af751fe756699bddfce4fdd67242fc2a</t>
  </si>
  <si>
    <t>79366d6a24de9351b7ca6e3cf75a68ec</t>
  </si>
  <si>
    <t>0d85c435fd60b277ffb9e9b0f88f927a</t>
  </si>
  <si>
    <t>4e11734666acc305a4649de43f0bd181</t>
  </si>
  <si>
    <t>38dcb9ae53c258cfba73583f9454d721</t>
  </si>
  <si>
    <t>8b502ca34e28d30605bc667b965b6abf</t>
  </si>
  <si>
    <t>5ca5d42f98d39aa421923c2fde2c1558</t>
  </si>
  <si>
    <t>35537536ed2b4c561b4018bf3abf54e0</t>
  </si>
  <si>
    <t>43cc8e4d981bc04b9d78b12e8a908d41</t>
  </si>
  <si>
    <t>b2855c4e42b8a50f359904c6763eeddc</t>
  </si>
  <si>
    <t>cec09725da5ed01471d9a505e7389d37</t>
  </si>
  <si>
    <t>06f0e85c7892d5df893f332706340af1</t>
  </si>
  <si>
    <t>cb460986a447ed00da792526bf6189e4</t>
  </si>
  <si>
    <t>2cfd372900c7c65e4c4ed2ccf7a1cfd4</t>
  </si>
  <si>
    <t>1015bdc42b2ec0548e728cdc0ad72380</t>
  </si>
  <si>
    <t>bce474cc95b6e77657e10939b0b4248c</t>
  </si>
  <si>
    <t>dfb97c88e066dc22165f31648efe1312</t>
  </si>
  <si>
    <t>b623b7cb05ee3248fbe4a6ecbeed79a4</t>
  </si>
  <si>
    <t>830345ab5d2e365c7c6b91459119ea2d</t>
  </si>
  <si>
    <t>9d8a0e115e802d845b4ce1eb794d1260</t>
  </si>
  <si>
    <t>e7261ba9b589b73ac45411a15058403e</t>
  </si>
  <si>
    <t>a6492cc69376c469ab6f61d8f44de961</t>
  </si>
  <si>
    <t>038e3a669bb495e56d9d609d874fb668</t>
  </si>
  <si>
    <t>e74384c9363e768848854356a37c73f4</t>
  </si>
  <si>
    <t>f1fe595ee7ef768b41bd9b246d13432d</t>
  </si>
  <si>
    <t>1e5428c428e0f783acd6e3d94ba4ee2a</t>
  </si>
  <si>
    <t>473795a355d29305c3ea6b156833adf5</t>
  </si>
  <si>
    <t>ecf9484703bdfb9cfcc1ac9c2084b567</t>
  </si>
  <si>
    <t>93a12c289ca2b78e7069e469f5053ef2</t>
  </si>
  <si>
    <t>08a58dc963320d6073623382b9ceb920</t>
  </si>
  <si>
    <t>011ae9863bd5b15e528a16dd8ceb4772</t>
  </si>
  <si>
    <t>fca62108387e25005784da2f551466a1</t>
  </si>
  <si>
    <t>3eef0cb94ba82de806bb30ab743c7655</t>
  </si>
  <si>
    <t>5b3b5f9ae84ca9ead3138b199420cc94</t>
  </si>
  <si>
    <t>e6d3e381889aa6e9d222ad50cb30ac43</t>
  </si>
  <si>
    <t>c3ed642d592594bb648ff4a04cee2747</t>
  </si>
  <si>
    <t>310b40ec41fbfc061e5309006482e68a</t>
  </si>
  <si>
    <t>3efd399c5d016b9e6a5ad3196eade44f</t>
  </si>
  <si>
    <t>53d8ee87caa1a2320c66074ff9c99e61</t>
  </si>
  <si>
    <t>d982791b03ad95faaa03fc746ad04672</t>
  </si>
  <si>
    <t>18e41d0c2a7cac6a8d53d3fcc13da3c4</t>
  </si>
  <si>
    <t>31b8e7c2a22f3dba5183cc110bdd72f7</t>
  </si>
  <si>
    <t>177d3d5bb9d4d29222a222e3b3554f41</t>
  </si>
  <si>
    <t>d011223de539cd224b5c5c8082313d46</t>
  </si>
  <si>
    <t>a319b66ab6cabbb2810942860c1c8a3c</t>
  </si>
  <si>
    <t>ee0c1cf2fbeae95205b4aa506f1469f0</t>
  </si>
  <si>
    <t>259037a6a41845e455183f89c5035f18</t>
  </si>
  <si>
    <t>cd48f265a63e13b762601f5f794c5fca</t>
  </si>
  <si>
    <t>drinks</t>
  </si>
  <si>
    <t>ada6a9116c85d8e56232e0a4265d7db9</t>
  </si>
  <si>
    <t>b68cf84ede4fd1e14b1740de5b727d55</t>
  </si>
  <si>
    <t>b2e22c958b453a43a650a579dcac2e43</t>
  </si>
  <si>
    <t>64cc57332d82d99ae365b4f5f1048bd0</t>
  </si>
  <si>
    <t>5f19455f0c3902e89f16a6042bd4221d</t>
  </si>
  <si>
    <t>628b17449083fb34688b2959b80bdecd</t>
  </si>
  <si>
    <t>fe077ec80df6b4ee60bb4498d5ab1962</t>
  </si>
  <si>
    <t>06fb87866499b0e65992b2d88aca8282</t>
  </si>
  <si>
    <t>f6a84928571f68635beb0f5c9333c6f3</t>
  </si>
  <si>
    <t>37b99aa22bbac19b2a4afc4b2a958a53</t>
  </si>
  <si>
    <t>ba74c6b75d2ad7503175809688d5a03c</t>
  </si>
  <si>
    <t>bef6177f54efb9a6218e124b629fc152</t>
  </si>
  <si>
    <t>9ad75bd7267e5c724cb42c71ac56ca72</t>
  </si>
  <si>
    <t>73326828aa5efe1ba096223de496f596</t>
  </si>
  <si>
    <t>food</t>
  </si>
  <si>
    <t>62d41a80c366aa2d8644e3270adf8440</t>
  </si>
  <si>
    <t>a1beef8f3992dbd4cd8726796aa69c53</t>
  </si>
  <si>
    <t>78b7b1ff2d3f06a589354ddf2f4f9db3</t>
  </si>
  <si>
    <t>f69581741831e1dcd24e28e299ad36ff</t>
  </si>
  <si>
    <t>880be32f4db1d9f6e2bec38fb6ac23ab</t>
  </si>
  <si>
    <t>20f160a9cf2e856ee5eba259e9ae33f9</t>
  </si>
  <si>
    <t>705affd495e328b5af6d73bc403c6bcf</t>
  </si>
  <si>
    <t>159dc4423e5092c3baa443379a458fa9</t>
  </si>
  <si>
    <t>11875b30b49585209e608f40e8082e65</t>
  </si>
  <si>
    <t>f4d450a6163f21cf9db8bcdf8c7e50f8</t>
  </si>
  <si>
    <t>cc3181a81384b6fc34602d49cb6068a6</t>
  </si>
  <si>
    <t>34742604f6cd1e891726b849b6890f81</t>
  </si>
  <si>
    <t>d04bbac48960ecb7ea311b00ca6e1cb7</t>
  </si>
  <si>
    <t>industry_commerce_and_business</t>
  </si>
  <si>
    <t>fa381a4a9af65ea5fc8f3829214045f9</t>
  </si>
  <si>
    <t>bebd360fe73dc670fd6439e9b943ceb7</t>
  </si>
  <si>
    <t>a4aa7c1427c31344e5f7cc3d839fe562</t>
  </si>
  <si>
    <t>pet_shop</t>
  </si>
  <si>
    <t>06c950c36d589b39b34f5dc1d4a75e29</t>
  </si>
  <si>
    <t>bb90206fa281c20f0b4c42a2393b54dd</t>
  </si>
  <si>
    <t>167b4b8c4bd0c401bea62f5e050d70a4</t>
  </si>
  <si>
    <t>b92a7304ebad1ca5b393b53b2de5c70a</t>
  </si>
  <si>
    <t>194e74feac1f84a8ee5a517d4b3e107a</t>
  </si>
  <si>
    <t>a56af7192032f295ac582a2d70e4caba</t>
  </si>
  <si>
    <t>cda8b19a05af621d957a97a979b6fa9a</t>
  </si>
  <si>
    <t>16d928f7b23b3d30bd5a9ff281eed9b8</t>
  </si>
  <si>
    <t>bbff7e0ea95dd990ce461d8104ee9173</t>
  </si>
  <si>
    <t>6767719f80aabbbf16ab2491899c32d9</t>
  </si>
  <si>
    <t>5fb1e24560c31b0eaa1911d4247187ed</t>
  </si>
  <si>
    <t>4a90b44b456e79e7a33435fdd36e551f</t>
  </si>
  <si>
    <t>fa4e8255202fd921350a6fc716710dae</t>
  </si>
  <si>
    <t>7af541d714ea3db608971a40b8f507cb</t>
  </si>
  <si>
    <t>6e1b14d3cbb5fb3a2c00351007127dfd</t>
  </si>
  <si>
    <t>864413ca56c2bcea359a213956a922c0</t>
  </si>
  <si>
    <t>6d426dd1336e5a7d34470ae65bc68abf</t>
  </si>
  <si>
    <t>bb3542bf40cc975720ee44d03fcf0cd8</t>
  </si>
  <si>
    <t>4cce3fa9fee9eb2361e0b9bd32516958</t>
  </si>
  <si>
    <t>b8b426747049f2d3d6e00b486d47dedb</t>
  </si>
  <si>
    <t>c6336fa91fbd87c359e44f5dca5a90ed</t>
  </si>
  <si>
    <t>6cdf8fc1d741c76586d8b6b15e9eef30</t>
  </si>
  <si>
    <t>e0cf79767c5b016251fe139915c59a26</t>
  </si>
  <si>
    <t>71f2ce4ae5dfdd3b55a51c7a2d3c4da8</t>
  </si>
  <si>
    <t>df480c7d3f979093ac4c2d1109e78289</t>
  </si>
  <si>
    <t>813e0977846de5206007de2bb18e44ba</t>
  </si>
  <si>
    <t>e5841e5f87a255ec40d170b4177d03ce</t>
  </si>
  <si>
    <t>0296dd002a346e3bbdda4e0bc48a5073</t>
  </si>
  <si>
    <t>furniture_bedroom</t>
  </si>
  <si>
    <t>91c82ace62e0ca1b69b1a45bcc214b45</t>
  </si>
  <si>
    <t>33fca9d59532dd4c191217a979346ab9</t>
  </si>
  <si>
    <t>ca5c923962558430573f83661dbe36d6</t>
  </si>
  <si>
    <t>6902c1962dd19d540807d0ab8fade5c6</t>
  </si>
  <si>
    <t>net_revenue_after_returns</t>
  </si>
  <si>
    <t>operating_costs</t>
  </si>
  <si>
    <t>net_profit</t>
  </si>
  <si>
    <t>gross_margin_pct</t>
  </si>
  <si>
    <t>net_margin_pct</t>
  </si>
  <si>
    <t>break_even_price</t>
  </si>
  <si>
    <t>Check</t>
  </si>
  <si>
    <t>Tolerance</t>
  </si>
  <si>
    <t>Result</t>
  </si>
  <si>
    <t>Status</t>
  </si>
  <si>
    <t>Max |Δ| Net Profit (BRL)</t>
  </si>
  <si>
    <t>&lt; R$ 0.01</t>
  </si>
  <si>
    <t>Max |Δ| Net Margin (pp)</t>
  </si>
  <si>
    <t>&lt; 0.01%</t>
  </si>
  <si>
    <t>Row count Excel vs SQL</t>
  </si>
  <si>
    <t>MODEL RECONCILIATION - Excel vs SQL Source of Truth</t>
  </si>
  <si>
    <t>Scenario</t>
  </si>
  <si>
    <t>Description</t>
  </si>
  <si>
    <t>Scenario A</t>
  </si>
  <si>
    <t>Scenario B</t>
  </si>
  <si>
    <t>Scenario C</t>
  </si>
  <si>
    <t>Baseline</t>
  </si>
  <si>
    <t>Scenario A — COGS +%</t>
  </si>
  <si>
    <t>Scenario B — Returns +pp</t>
  </si>
  <si>
    <t>Scenario C — Price −%</t>
  </si>
  <si>
    <t>Stability</t>
  </si>
  <si>
    <t>net_profit_A</t>
  </si>
  <si>
    <t>net_margin_A</t>
  </si>
  <si>
    <t>margin_delta_A</t>
  </si>
  <si>
    <t>decision_A</t>
  </si>
  <si>
    <t>net_profit_B</t>
  </si>
  <si>
    <t>net_margin_B</t>
  </si>
  <si>
    <t>margin_delta_B</t>
  </si>
  <si>
    <t>decision_B</t>
  </si>
  <si>
    <t>net_profit_C</t>
  </si>
  <si>
    <t>net_margin_C</t>
  </si>
  <si>
    <t>margin_delta_C</t>
  </si>
  <si>
    <t>decision_C</t>
  </si>
  <si>
    <t>stability_flag</t>
  </si>
  <si>
    <t>COGS increase — multiplier applied to cost of goods sold</t>
  </si>
  <si>
    <t>Return-rate increase in percentage points (rate-derived: return_loss × (1 + Δ / 5%))</t>
  </si>
  <si>
    <t>Sale price reduction — multiplier on gross revenue</t>
  </si>
  <si>
    <t>Note: scenarios are independent (not combined). Each scenario applies its shock while holding the other two variables at baseline. Edit the yellow cells above to change assumptions.</t>
  </si>
  <si>
    <t>SENSITIVITY TABLE — Portfolio Average Net Margin</t>
  </si>
  <si>
    <t>Average net margin across all 400 SKUs at each combination of COGS uplift (horizontal: cogs × (1 + Δ)) and return-rate uplift (vertical: return_loss × (1 + Δ/5%), where Δ is interpreted as percentage points on a 5% baseline rate).</t>
  </si>
  <si>
    <t>COGS rate change (horizontal) →</t>
  </si>
  <si>
    <t>Return Δ ↓ / COGS Δ →</t>
  </si>
  <si>
    <t>Note: values represent portfolio averages across all 400 SKUs. Individual SKU outcomes will vary — some SKUs remain profitable even at the worst combination, and others become unprofitable well before the average crosses a threshold. Use Tab 3 (Scenario_Analysis) and Tab 5 (SKU_Decision_Summary) for per-SKU views.</t>
  </si>
  <si>
    <t>Legend:</t>
  </si>
  <si>
    <t>≥ 25% (healthy)</t>
  </si>
  <si>
    <t>10–24.9% (caution)</t>
  </si>
  <si>
    <t>&lt; 10% (critical)</t>
  </si>
  <si>
    <t xml:space="preserve">SKU DECISION SUMMARY — Baseline + Scenario Outcomes for All 400 SKUs </t>
  </si>
  <si>
    <t>baseline_margin</t>
  </si>
  <si>
    <t>baseline_decision</t>
  </si>
  <si>
    <t>scenario_A_margin</t>
  </si>
  <si>
    <t>scenario_A_decision</t>
  </si>
  <si>
    <t>scenario_B_margin</t>
  </si>
  <si>
    <t>scenario_B_decision</t>
  </si>
  <si>
    <t>scenario_C_margin</t>
  </si>
  <si>
    <t>scenario_C_decision</t>
  </si>
  <si>
    <t>FORMULA VIEW</t>
  </si>
  <si>
    <t>📋  FORMULA INSPECTOR  (set Q5 = TRUE to reveal)</t>
  </si>
  <si>
    <t>Portfolio analytics across 400 SKUs — Revenue, Profit, Scenario &amp; Sensitivity views</t>
  </si>
  <si>
    <t>Every visible KPI / metric is computed live from source tabs — click any cell to see its underlying logic</t>
  </si>
  <si>
    <t xml:space="preserve">  METRIC</t>
  </si>
  <si>
    <t xml:space="preserve">  FORMULA</t>
  </si>
  <si>
    <t>TOTAL GROSS REVENUE</t>
  </si>
  <si>
    <t>TOTAL NET PROFIT</t>
  </si>
  <si>
    <t>AVG NET MARGIN</t>
  </si>
  <si>
    <t>SKUs FLAGGED 'EXIT'</t>
  </si>
  <si>
    <t>KPI · Total Gross Revenue</t>
  </si>
  <si>
    <t>KPI · Total Net Profit</t>
  </si>
  <si>
    <t>KPI · Average Net Margin</t>
  </si>
  <si>
    <t>KPI · SKUs Flagged EXIT</t>
  </si>
  <si>
    <t xml:space="preserve">  STRATEGIC DECISION MIX</t>
  </si>
  <si>
    <t xml:space="preserve">  REVENUE → PROFIT FLOW</t>
  </si>
  <si>
    <t xml:space="preserve">  PORTFOLIO STABILITY</t>
  </si>
  <si>
    <t>Decision Mix · SCALE count</t>
  </si>
  <si>
    <t>Decision Mix · SCALE % of total</t>
  </si>
  <si>
    <t>Decision</t>
  </si>
  <si>
    <t>SKUs</t>
  </si>
  <si>
    <t>% of total</t>
  </si>
  <si>
    <t>Revenue</t>
  </si>
  <si>
    <t>Net Profit</t>
  </si>
  <si>
    <t>Gross Revenue</t>
  </si>
  <si>
    <t xml:space="preserve">  Decision robustness under stress</t>
  </si>
  <si>
    <t>Decision Mix · SCALE revenue</t>
  </si>
  <si>
    <t>●  SCALE</t>
  </si>
  <si>
    <t>(−) Return Loss</t>
  </si>
  <si>
    <t>Decision Mix · SCALE profit</t>
  </si>
  <si>
    <t>●  OPTIMIZE</t>
  </si>
  <si>
    <t>Net Revenue</t>
  </si>
  <si>
    <t>P&amp;L Flow · Gross Revenue</t>
  </si>
  <si>
    <t>●  EXIT</t>
  </si>
  <si>
    <t>(−) COGS</t>
  </si>
  <si>
    <t>STABLE SKUs</t>
  </si>
  <si>
    <t>P&amp;L Flow · COGS</t>
  </si>
  <si>
    <t>TOTAL</t>
  </si>
  <si>
    <t>(−) Operating Costs</t>
  </si>
  <si>
    <t>P&amp;L Flow · Net Profit</t>
  </si>
  <si>
    <t>P&amp;L Flow · COGS as % revenue</t>
  </si>
  <si>
    <t>Stability · Stable SKU count</t>
  </si>
  <si>
    <t xml:space="preserve">  💡  KEY INSIGHTS</t>
  </si>
  <si>
    <t>SENSITIVE SKUs</t>
  </si>
  <si>
    <t>Stability · Stability rate</t>
  </si>
  <si>
    <t>Top Categories · Rank</t>
  </si>
  <si>
    <t>Top Categories · SKU count</t>
  </si>
  <si>
    <t>Stability Rate</t>
  </si>
  <si>
    <t>Top Categories · Revenue</t>
  </si>
  <si>
    <t>Top Categories · Net Profit</t>
  </si>
  <si>
    <t>Top Categories · Margin</t>
  </si>
  <si>
    <t>Top Categories · Profit share</t>
  </si>
  <si>
    <t>Top SKUs · Product ID lookup</t>
  </si>
  <si>
    <t>Top SKUs · Category lookup</t>
  </si>
  <si>
    <t>Top SKUs · Net Profit (LARGE)</t>
  </si>
  <si>
    <t>Top SKUs · Decision lookup</t>
  </si>
  <si>
    <t>Scenario · Baseline avg margin</t>
  </si>
  <si>
    <t xml:space="preserve">  TOP CATEGORIES BY NET PROFIT</t>
  </si>
  <si>
    <t xml:space="preserve">  TOP 10 SKUs BY NET PROFIT</t>
  </si>
  <si>
    <t>Scenario · Scenario A margin</t>
  </si>
  <si>
    <t>Scenario · Δ vs Baseline</t>
  </si>
  <si>
    <t>Rank</t>
  </si>
  <si>
    <t>Category</t>
  </si>
  <si>
    <t>Margin</t>
  </si>
  <si>
    <t>Profit Share</t>
  </si>
  <si>
    <t>Product ID</t>
  </si>
  <si>
    <t>Scenario · SCALE count (A)</t>
  </si>
  <si>
    <t>Health Beauty</t>
  </si>
  <si>
    <t>Sensitivity · Cell K52 (best)</t>
  </si>
  <si>
    <t>Watches Gifts</t>
  </si>
  <si>
    <t>Sensitivity · Cell O56 (worst)</t>
  </si>
  <si>
    <t>Computers Accessories</t>
  </si>
  <si>
    <t>Cool Stuff</t>
  </si>
  <si>
    <t>Bed Bath Table</t>
  </si>
  <si>
    <t>Toggle cell: Q5  (TRUE = show formulas, FALSE = hide)</t>
  </si>
  <si>
    <t>Garden Tools</t>
  </si>
  <si>
    <t>Sports Leisure</t>
  </si>
  <si>
    <t>Computers</t>
  </si>
  <si>
    <t>Perfumery</t>
  </si>
  <si>
    <t>Housewares</t>
  </si>
  <si>
    <t xml:space="preserve">  TOP 10 SUBTOTAL</t>
  </si>
  <si>
    <t xml:space="preserve">  SCENARIO STRESS TEST — Margin Resilience</t>
  </si>
  <si>
    <t xml:space="preserve">  SENSITIVITY HEATMAP — Portfolio Avg Net Margin</t>
  </si>
  <si>
    <t>Avg Margin</t>
  </si>
  <si>
    <t>Δ vs Base</t>
  </si>
  <si>
    <t xml:space="preserve">  Avg portfolio net margin under combined COGS uplift × Return-rate uplift</t>
  </si>
  <si>
    <t>Current state — actual data</t>
  </si>
  <si>
    <t>—</t>
  </si>
  <si>
    <t>COGS uplift  →</t>
  </si>
  <si>
    <t>COGS uplift +10% — supplier cost shock</t>
  </si>
  <si>
    <t>Return Δ ↓</t>
  </si>
  <si>
    <t>Return-rate uplift — quality / logistics</t>
  </si>
  <si>
    <t>Combined COGS + Returns stress</t>
  </si>
  <si>
    <t xml:space="preserve">  Best ●  ████████████  ● Worst   (cell color = relative margin health)</t>
  </si>
  <si>
    <t xml:space="preserve">  ⚡  RISK SUMMARY</t>
  </si>
  <si>
    <t xml:space="preserve">  💡  SCENARIO INSIGHTS</t>
  </si>
  <si>
    <t xml:space="preserve">  🎯  STRATEGIC RECOMMENDATION</t>
  </si>
  <si>
    <t xml:space="preserve">  SKU Profitability Dashboard  ·  All metrics calculated live via formulas from source tabs  ·  Toggle Q5 = TRUE to view formulas in column S</t>
  </si>
  <si>
    <t>TOP 400 SKU's PROFITABILITY  |  EXECUTIVE DASHBOARD</t>
  </si>
  <si>
    <t xml:space="preserve">  SCENARIO</t>
  </si>
  <si>
    <t xml:space="preserve">  DECISION</t>
  </si>
  <si>
    <t xml:space="preserve">  CATEGORY</t>
  </si>
  <si>
    <t xml:space="preserve">  🎛  INTERACTIVE FILTERS  ·  Dashboard responds to your selections below</t>
  </si>
  <si>
    <t xml:space="preserve">  📊  LIVE FILTERED SNAPSHOT   ·   recalculates from the slicers above</t>
  </si>
  <si>
    <t xml:space="preserve">  FILTERED SKUs</t>
  </si>
  <si>
    <t xml:space="preserve">  REVENUE</t>
  </si>
  <si>
    <t xml:space="preserve">  NET PROFIT</t>
  </si>
  <si>
    <t xml:space="preserve">  AVG NET MARGIN</t>
  </si>
  <si>
    <t xml:space="preserve">  % OF PORTFOLIO</t>
  </si>
  <si>
    <t>All</t>
  </si>
  <si>
    <t>Scenario A — COGS +10%</t>
  </si>
  <si>
    <t>Scenario C — Combined</t>
  </si>
  <si>
    <t>SKU DECISION LOGIC   |   CLASSIFICATION FRAMEWORK</t>
  </si>
  <si>
    <t>How every SKU is classified into SCALE / OPTIMIZE / EXIT — thresholds, quality gate, decision order &amp; stability rule</t>
  </si>
  <si>
    <t>1 · CLASSIFICATION RULES</t>
  </si>
  <si>
    <t>What it means</t>
  </si>
  <si>
    <t>Net margin condition</t>
  </si>
  <si>
    <t>Review score condition</t>
  </si>
  <si>
    <t>Strategic intent</t>
  </si>
  <si>
    <t>Strong, well-reviewed performers worth backing</t>
  </si>
  <si>
    <t>≥ 25%</t>
  </si>
  <si>
    <t>≥ 4.0</t>
  </si>
  <si>
    <t>Invest &amp; grow — protect supply, push volume</t>
  </si>
  <si>
    <t>Viable, but short of both SCALE gates — margin or quality to lift</t>
  </si>
  <si>
    <t>≥ 10%</t>
  </si>
  <si>
    <t>≥ 3.0</t>
  </si>
  <si>
    <t>Fix &amp; improve — cost, pricing or quality levers</t>
  </si>
  <si>
    <t>Unprofitable or poorly rated — value-destroying</t>
  </si>
  <si>
    <t>&lt; 10%</t>
  </si>
  <si>
    <t>&lt; 3.0</t>
  </si>
  <si>
    <t>Discontinue / restructure — recover capital</t>
  </si>
  <si>
    <t>SCALE needs BOTH gates (margin ≥ 25% and review ≥ 4.0). Failing either one caps a SKU at OPTIMIZE; breaching either floor (margin &lt; 10% or review &lt; 3.0) forces EXIT.</t>
  </si>
  <si>
    <t>2 · MARGIN THRESHOLDS</t>
  </si>
  <si>
    <t>Band</t>
  </si>
  <si>
    <t>Net margin range</t>
  </si>
  <si>
    <t>Health</t>
  </si>
  <si>
    <t>Maps to</t>
  </si>
  <si>
    <t>Healthy</t>
  </si>
  <si>
    <t>≥ 25.0%</t>
  </si>
  <si>
    <t>Green</t>
  </si>
  <si>
    <t>Caution</t>
  </si>
  <si>
    <t>10.0% – 24.9%</t>
  </si>
  <si>
    <t>Amber</t>
  </si>
  <si>
    <t>Critical</t>
  </si>
  <si>
    <t>&lt; 10.0%</t>
  </si>
  <si>
    <t>Red</t>
  </si>
  <si>
    <t>Net margin = net profit ÷ gross revenue, after returns, COGS and all operating costs (storage, fulfilment, freight).</t>
  </si>
  <si>
    <t>3 · QUALITY GATE  ·  average review score</t>
  </si>
  <si>
    <t>Review score</t>
  </si>
  <si>
    <t>Effect on classification</t>
  </si>
  <si>
    <t>Required for SCALE — signals durable customer satisfaction</t>
  </si>
  <si>
    <t>3.0 – 3.9</t>
  </si>
  <si>
    <t>Caps a SKU at OPTIMIZE even if margins are strong</t>
  </si>
  <si>
    <t>Forces EXIT regardless of margin — reputational / returns risk</t>
  </si>
  <si>
    <t>4 · DECISION RULE  ·  evaluation order</t>
  </si>
  <si>
    <t>Step 1</t>
  </si>
  <si>
    <t>IF  net margin &lt; 10%  OR  review &lt; 3.0   →   EXIT</t>
  </si>
  <si>
    <t>Step 2</t>
  </si>
  <si>
    <t>ELSE IF  net margin ≥ 25%  AND  review ≥ 4.0   →   SCALE</t>
  </si>
  <si>
    <t>Step 3</t>
  </si>
  <si>
    <t>ELSE   →   OPTIMIZE</t>
  </si>
  <si>
    <t>Excel implementation (per SKU, applied in Scenario_Analysis cols I / M / Q and upstream in the SQL pipeline):</t>
  </si>
  <si>
    <t>=IF(OR(net_margin&lt;0.1, review&lt;3),"EXIT", IF(AND(net_margin&gt;=0.25, review&gt;=4),"SCALE","OPTIMIZE"))</t>
  </si>
  <si>
    <t>5 · STABILITY RULE  ·  resilience under stress</t>
  </si>
  <si>
    <t>Flag</t>
  </si>
  <si>
    <t>Definition</t>
  </si>
  <si>
    <t>Live count</t>
  </si>
  <si>
    <t>Stable</t>
  </si>
  <si>
    <t>Decision is identical across Baseline + Scenarios A, B and C</t>
  </si>
  <si>
    <t>Decision changes</t>
  </si>
  <si>
    <t>At least one scenario flips the SKU into a different category → monitor</t>
  </si>
  <si>
    <t>Stability rate</t>
  </si>
  <si>
    <t>Share of the 400-SKU portfolio whose decision never changes under stress</t>
  </si>
  <si>
    <t>Logic applied consistently across Profitability_Model, Scenario_Analysis and the Dashboard.  ·  Thresholds are the single source of truth for all SCALE / OPTIMIZE / EXIT labels in this workbook.</t>
  </si>
  <si>
    <t>EXECUTIVE RISK SUMMARY   |   MARGIN STRESS &amp; KEY DRIVERS</t>
  </si>
  <si>
    <t>Portfolio-average net margin under stress — best case, worst case, compression and the drivers behind it</t>
  </si>
  <si>
    <t>BEST-CASE MARGIN</t>
  </si>
  <si>
    <t>WORST-CASE MARGIN</t>
  </si>
  <si>
    <t>MARGIN COMPRESSION</t>
  </si>
  <si>
    <t xml:space="preserve">  No stress applied (current state)</t>
  </si>
  <si>
    <t xml:space="preserve">  COGS +20%  ·  Returns +10%</t>
  </si>
  <si>
    <t xml:space="preserve">  Peak-to-trough, percentage points</t>
  </si>
  <si>
    <t>MARGIN UNDER STRESS</t>
  </si>
  <si>
    <t>Case</t>
  </si>
  <si>
    <t>Stress applied</t>
  </si>
  <si>
    <t>Avg net margin</t>
  </si>
  <si>
    <t>Δ vs best case</t>
  </si>
  <si>
    <t>Best case</t>
  </si>
  <si>
    <t>No stress — actual portfolio</t>
  </si>
  <si>
    <t>COGS shock</t>
  </si>
  <si>
    <t>Cost of goods +20% (returns held)</t>
  </si>
  <si>
    <t>Returns shock</t>
  </si>
  <si>
    <t>Return rate +10pp (COGS held)</t>
  </si>
  <si>
    <t>Worst case</t>
  </si>
  <si>
    <t>COGS +20% &amp; Returns +10pp combined</t>
  </si>
  <si>
    <t>KEY RISK DRIVERS</t>
  </si>
  <si>
    <t xml:space="preserve">  COGS  ·  primary driver</t>
  </si>
  <si>
    <t xml:space="preserve">  RETURNS  ·  secondary driver</t>
  </si>
  <si>
    <t>margin lost at COGS +20%</t>
  </si>
  <si>
    <t>margin lost at Returns +10pp</t>
  </si>
  <si>
    <t>RESILIENCE &amp; WATCH-LIST</t>
  </si>
  <si>
    <t>FRAMEWORK VALUE   |   BEFORE vs AFTER</t>
  </si>
  <si>
    <t>What this decision-support model adds over a traditional SME spreadsheet review</t>
  </si>
  <si>
    <t>CAPABILITY COMPARISON</t>
  </si>
  <si>
    <t>Capability</t>
  </si>
  <si>
    <t>Traditional SME analysis  (before)</t>
  </si>
  <si>
    <t>This framework  (after)</t>
  </si>
  <si>
    <t>Value added</t>
  </si>
  <si>
    <t>SKU Visibility</t>
  </si>
  <si>
    <t>Revenue-only ranking; costs pooled, true per-SKU profit unknown</t>
  </si>
  <si>
    <t>Full per-SKU P&amp;L across all 400 SKUs — COGS, storage, fulfilment, freight &amp; returns isolated</t>
  </si>
  <si>
    <t>Every SKU sized on real net profit, not just sales</t>
  </si>
  <si>
    <t>Profitability Analysis</t>
  </si>
  <si>
    <t>Gross margin guesswork; loss-makers hidden inside category averages</t>
  </si>
  <si>
    <t>Net margin, gross margin &amp; break-even price computed live per SKU</t>
  </si>
  <si>
    <t>Loss-makers surfaced individually and ranked</t>
  </si>
  <si>
    <t>Scenario Modeling</t>
  </si>
  <si>
    <t>None — single static view, no "what-if" capability</t>
  </si>
  <si>
    <t>3 independent stress scenarios (COGS, returns, price) recomputed per SKU</t>
  </si>
  <si>
    <t>Forward-looking; impact quantified before it happens</t>
  </si>
  <si>
    <t>Risk Monitoring</t>
  </si>
  <si>
    <t>Reactive — problems noticed only after margin erodes</t>
  </si>
  <si>
    <t>5×5 sensitivity grid + best/worst-case margin &amp; driver attribution</t>
  </si>
  <si>
    <t>Risk quantified and ranked ahead of time</t>
  </si>
  <si>
    <t>Decision Support</t>
  </si>
  <si>
    <t>Subjective calls; inconsistent and hard to defend</t>
  </si>
  <si>
    <t>Rule-based SCALE / OPTIMIZE / EXIT labels with stability flags</t>
  </si>
  <si>
    <t>Consistent, auditable, board-ready decisions</t>
  </si>
  <si>
    <t>WHAT THE FRAMEWORK DELIVERS TODAY</t>
  </si>
  <si>
    <t>SKUs ANALYSED</t>
  </si>
  <si>
    <t>CLASSIFIED  SCALE / OPT / EXIT</t>
  </si>
  <si>
    <t>STRESS COMBINATIONS TESTED</t>
  </si>
  <si>
    <t>DECISION STABILITY RATE</t>
  </si>
  <si>
    <t>Before → after: from a revenue list with no risk lens, to a per-SKU, stress-tested, rule-based decision engine covering all 400 SKUs.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</si>
</sst>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R$-416]\ #,##0.00;[Red]\-[$R$-416]\ #,##0.00"/>
    <numFmt numFmtId="165" formatCode="[$R$-416]\ #,##0.00"/>
    <numFmt numFmtId="166" formatCode="0.0000%"/>
    <numFmt numFmtId="167" formatCode="\+0.0%;\-0.0%;0.0%"/>
    <numFmt numFmtId="168" formatCode="[$BRL]\ #,##0.00"/>
    <numFmt numFmtId="169" formatCode="&quot;R$ &quot;#,##0"/>
    <numFmt numFmtId="170" formatCode="0.0%"/>
    <numFmt numFmtId="171" formatCode="&quot;R$ &quot;#,##0;[Red]&quot;R$ (&quot;#,##0\)"/>
    <numFmt numFmtId="172" formatCode="0.0%;[Red]\(0.0%\)"/>
    <numFmt numFmtId="173" formatCode="#,##0&quot; SKUs&quot;"/>
    <numFmt numFmtId="174" formatCode="&quot;R$&quot;#,##0;\(&quot;R$&quot;#,##0\);&quot;R$&quot;\-"/>
    <numFmt numFmtId="175" formatCode="0.0%;\(0.0%\);\-"/>
    <numFmt numFmtId="176" formatCode="\+0.0%;\-0.0%"/>
  </numFmts>
  <fonts count="1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2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i/>
      <sz val="10"/>
      <color rgb="FF595959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b/>
      <sz val="9"/>
      <color rgb="FF006100"/>
      <name val="Calibri"/>
      <family val="2"/>
    </font>
    <font>
      <b/>
      <sz val="9"/>
      <color rgb="FF9C5700"/>
      <name val="Calibri"/>
      <family val="2"/>
    </font>
    <font>
      <b/>
      <sz val="9"/>
      <color rgb="FF9C0006"/>
      <name val="Calibri"/>
      <family val="2"/>
    </font>
    <font>
      <b/>
      <sz val="11"/>
      <color theme="1" tint="0.34998626667073579"/>
      <name val="Calibri"/>
      <family val="2"/>
    </font>
    <font>
      <b/>
      <sz val="10"/>
      <color theme="0"/>
      <name val="Calibri"/>
      <family val="2"/>
    </font>
    <font>
      <b/>
      <sz val="22"/>
      <color rgb="FFFFFFFF"/>
      <name val="Calibri"/>
      <family val="2"/>
    </font>
    <font>
      <b/>
      <sz val="10"/>
      <color rgb="FF94A3B8"/>
      <name val="Calibri"/>
      <family val="2"/>
    </font>
    <font>
      <b/>
      <sz val="14"/>
      <color rgb="FFFFFFFF"/>
      <name val="Calibri"/>
      <family val="2"/>
    </font>
    <font>
      <b/>
      <sz val="10"/>
      <color rgb="FF0EA5E9"/>
      <name val="Calibri"/>
      <family val="2"/>
    </font>
    <font>
      <i/>
      <sz val="10"/>
      <color rgb="FF94A3B8"/>
      <name val="Calibri"/>
      <family val="2"/>
    </font>
    <font>
      <b/>
      <sz val="9"/>
      <color rgb="FF64748B"/>
      <name val="Calibri"/>
      <family val="2"/>
    </font>
    <font>
      <b/>
      <sz val="10"/>
      <color rgb="FF0F172A"/>
      <name val="Calibri"/>
      <family val="2"/>
    </font>
    <font>
      <sz val="9"/>
      <color rgb="FF1E40AF"/>
      <name val="Consolas"/>
      <family val="3"/>
    </font>
    <font>
      <b/>
      <sz val="20"/>
      <color rgb="FF1E3A8A"/>
      <name val="Calibri"/>
      <family val="2"/>
    </font>
    <font>
      <b/>
      <sz val="20"/>
      <color rgb="FF059669"/>
      <name val="Calibri"/>
      <family val="2"/>
    </font>
    <font>
      <b/>
      <sz val="20"/>
      <color rgb="FF7C3AED"/>
      <name val="Calibri"/>
      <family val="2"/>
    </font>
    <font>
      <b/>
      <sz val="20"/>
      <color rgb="FFDC2626"/>
      <name val="Calibri"/>
      <family val="2"/>
    </font>
    <font>
      <sz val="9"/>
      <color rgb="FF64748B"/>
      <name val="Calibri"/>
      <family val="2"/>
    </font>
    <font>
      <b/>
      <sz val="10"/>
      <color rgb="FF64748B"/>
      <name val="Calibri"/>
      <family val="2"/>
    </font>
    <font>
      <b/>
      <sz val="11"/>
      <color rgb="FF1E40AF"/>
      <name val="Calibri"/>
      <family val="2"/>
    </font>
    <font>
      <i/>
      <sz val="10"/>
      <color rgb="FF64748B"/>
      <name val="Calibri"/>
      <family val="2"/>
    </font>
    <font>
      <b/>
      <sz val="11"/>
      <color rgb="FF10B981"/>
      <name val="Calibri"/>
      <family val="2"/>
    </font>
    <font>
      <sz val="11"/>
      <color rgb="FF0F172A"/>
      <name val="Calibri"/>
      <family val="2"/>
    </font>
    <font>
      <b/>
      <sz val="11"/>
      <color rgb="FFF59E0B"/>
      <name val="Calibri"/>
      <family val="2"/>
    </font>
    <font>
      <b/>
      <sz val="11"/>
      <color rgb="FF0284C7"/>
      <name val="Calibri"/>
      <family val="2"/>
    </font>
    <font>
      <b/>
      <sz val="28"/>
      <color rgb="FF10B981"/>
      <name val="Calibri"/>
      <family val="2"/>
    </font>
    <font>
      <b/>
      <sz val="11"/>
      <color rgb="FFEF4444"/>
      <name val="Calibri"/>
      <family val="2"/>
    </font>
    <font>
      <b/>
      <sz val="11"/>
      <color rgb="FF0F172A"/>
      <name val="Calibri"/>
      <family val="2"/>
    </font>
    <font>
      <i/>
      <sz val="9"/>
      <color rgb="FF64748B"/>
      <name val="Calibri"/>
      <family val="2"/>
    </font>
    <font>
      <b/>
      <sz val="28"/>
      <color rgb="FFF59E0B"/>
      <name val="Calibri"/>
      <family val="2"/>
    </font>
    <font>
      <b/>
      <sz val="10"/>
      <color rgb="FF1E40AF"/>
      <name val="Calibri"/>
      <family val="2"/>
    </font>
    <font>
      <sz val="10"/>
      <color rgb="FF0F172A"/>
      <name val="Calibri"/>
      <family val="2"/>
    </font>
    <font>
      <b/>
      <sz val="10"/>
      <color rgb="FF10B981"/>
      <name val="Calibri"/>
      <family val="2"/>
    </font>
    <font>
      <b/>
      <sz val="16"/>
      <color rgb="FF0284C7"/>
      <name val="Calibri"/>
      <family val="2"/>
    </font>
    <font>
      <b/>
      <sz val="10"/>
      <color rgb="FFEF4444"/>
      <name val="Calibri"/>
      <family val="2"/>
    </font>
    <font>
      <b/>
      <sz val="10"/>
      <color rgb="FFF59E0B"/>
      <name val="Calibri"/>
      <family val="2"/>
    </font>
    <font>
      <sz val="11"/>
      <color rgb="FF64748B"/>
      <name val="Calibri"/>
      <family val="2"/>
    </font>
    <font>
      <i/>
      <sz val="11"/>
      <color theme="0"/>
      <name val="Calibri"/>
      <family val="2"/>
    </font>
    <font>
      <sz val="11"/>
      <color theme="0"/>
      <name val="Calibri"/>
      <family val="2"/>
    </font>
    <font>
      <sz val="12"/>
      <color theme="0"/>
      <name val="Calibri"/>
      <family val="2"/>
    </font>
    <font>
      <b/>
      <sz val="12"/>
      <color rgb="FF1E293B"/>
      <name val="Calibri"/>
    </font>
    <font>
      <b/>
      <sz val="16"/>
      <color rgb="FF334155"/>
      <name val="Calibri"/>
      <family val="2"/>
    </font>
    <font>
      <b/>
      <sz val="16"/>
      <color rgb="FF1E40AF"/>
      <name val="Calibri"/>
      <family val="2"/>
    </font>
    <font>
      <b/>
      <sz val="16"/>
      <color rgb="FF10B981"/>
      <name val="Calibri"/>
      <family val="2"/>
    </font>
    <font>
      <b/>
      <sz val="16"/>
      <color rgb="FF7C3AED"/>
      <name val="Calibri"/>
      <family val="2"/>
    </font>
    <font>
      <b/>
      <sz val="16"/>
      <color rgb="FFF59E0B"/>
      <name val="Calibri"/>
      <family val="2"/>
    </font>
    <font>
      <sz val="12"/>
      <color theme="1"/>
      <name val="Aptos Narrow"/>
      <family val="2"/>
      <scheme val="minor"/>
    </font>
    <font>
      <b/>
      <sz val="12"/>
      <color rgb="FF64748B"/>
      <name val="Calibri"/>
      <family val="2"/>
    </font>
    <font>
      <sz val="14"/>
      <color theme="1"/>
      <name val="Aptos Narrow"/>
      <family val="2"/>
      <scheme val="minor"/>
    </font>
    <font>
      <i/>
      <sz val="14"/>
      <color theme="0"/>
      <name val="Calibri"/>
      <family val="2"/>
    </font>
    <font>
      <sz val="16"/>
      <color theme="0"/>
      <name val="Calibri"/>
      <family val="2"/>
    </font>
    <font>
      <sz val="12"/>
      <color rgb="FF0F172A"/>
      <name val="Calibri"/>
      <family val="2"/>
    </font>
    <font>
      <b/>
      <sz val="14"/>
      <color rgb="FF64748B"/>
      <name val="Calibri"/>
      <family val="2"/>
    </font>
    <font>
      <b/>
      <sz val="14"/>
      <color rgb="FF0284C7"/>
      <name val="Calibri"/>
      <family val="2"/>
    </font>
    <font>
      <sz val="14"/>
      <color rgb="FF0F172A"/>
      <name val="Calibri"/>
      <family val="2"/>
    </font>
    <font>
      <b/>
      <sz val="14"/>
      <color theme="9" tint="-0.249977111117893"/>
      <name val="Calibri"/>
      <family val="2"/>
    </font>
    <font>
      <sz val="14"/>
      <color rgb="FF0F172A"/>
      <name val="Consolas"/>
      <family val="3"/>
    </font>
    <font>
      <b/>
      <sz val="14"/>
      <color rgb="FF0F172A"/>
      <name val="Calibri"/>
      <family val="2"/>
    </font>
    <font>
      <b/>
      <sz val="10"/>
      <color rgb="FFFFFFFF"/>
      <name val="Calibri"/>
      <charset val="1"/>
    </font>
    <font>
      <b/>
      <sz val="20"/>
      <color rgb="FFFFFFFF"/>
      <name val="Calibri"/>
      <charset val="1"/>
    </font>
    <font>
      <sz val="12"/>
      <color rgb="FFCBD5E1"/>
      <name val="Calibri"/>
      <charset val="1"/>
    </font>
    <font>
      <b/>
      <sz val="12"/>
      <color rgb="FFFFFFFF"/>
      <name val="Calibri"/>
      <charset val="1"/>
    </font>
    <font>
      <b/>
      <sz val="11"/>
      <color rgb="FF10B981"/>
      <name val="Calibri"/>
      <charset val="1"/>
    </font>
    <font>
      <sz val="10"/>
      <color rgb="FF0F172A"/>
      <name val="Calibri"/>
      <charset val="1"/>
    </font>
    <font>
      <b/>
      <sz val="10"/>
      <color rgb="FF0F172A"/>
      <name val="Calibri"/>
      <charset val="1"/>
    </font>
    <font>
      <sz val="10"/>
      <color rgb="FF64748B"/>
      <name val="Calibri"/>
      <charset val="1"/>
    </font>
    <font>
      <b/>
      <sz val="11"/>
      <color rgb="FFF59E0B"/>
      <name val="Calibri"/>
      <charset val="1"/>
    </font>
    <font>
      <b/>
      <sz val="11"/>
      <color rgb="FFEF4444"/>
      <name val="Calibri"/>
      <charset val="1"/>
    </font>
    <font>
      <i/>
      <sz val="9"/>
      <color rgb="FF64748B"/>
      <name val="Calibri"/>
      <charset val="1"/>
    </font>
    <font>
      <b/>
      <sz val="10"/>
      <color rgb="FF006100"/>
      <name val="Calibri"/>
      <charset val="1"/>
    </font>
    <font>
      <b/>
      <sz val="10"/>
      <color rgb="FF9C6500"/>
      <name val="Calibri"/>
      <charset val="1"/>
    </font>
    <font>
      <b/>
      <sz val="10"/>
      <color rgb="FF9C0006"/>
      <name val="Calibri"/>
      <charset val="1"/>
    </font>
    <font>
      <b/>
      <sz val="10"/>
      <color rgb="FF10B981"/>
      <name val="Calibri"/>
      <charset val="1"/>
    </font>
    <font>
      <b/>
      <sz val="10"/>
      <color rgb="FFF59E0B"/>
      <name val="Calibri"/>
      <charset val="1"/>
    </font>
    <font>
      <b/>
      <sz val="10"/>
      <color rgb="FFEF4444"/>
      <name val="Calibri"/>
      <charset val="1"/>
    </font>
    <font>
      <b/>
      <sz val="9"/>
      <color rgb="FF64748B"/>
      <name val="Calibri"/>
      <charset val="1"/>
    </font>
    <font>
      <sz val="10"/>
      <color rgb="FF1E40AF"/>
      <name val="Consolas"/>
      <charset val="1"/>
    </font>
    <font>
      <b/>
      <sz val="11"/>
      <color rgb="FF006100"/>
      <name val="Calibri"/>
      <charset val="1"/>
    </font>
    <font>
      <b/>
      <sz val="11"/>
      <color rgb="FF9C6500"/>
      <name val="Calibri"/>
      <charset val="1"/>
    </font>
    <font>
      <b/>
      <sz val="10"/>
      <color rgb="FF64748B"/>
      <name val="Calibri"/>
      <charset val="1"/>
    </font>
    <font>
      <b/>
      <sz val="12"/>
      <color rgb="FF0284C7"/>
      <name val="Calibri"/>
      <charset val="1"/>
    </font>
    <font>
      <b/>
      <sz val="20"/>
      <color rgb="FF10B981"/>
      <name val="Calibri"/>
      <charset val="1"/>
    </font>
    <font>
      <b/>
      <sz val="20"/>
      <color rgb="FFEF4444"/>
      <name val="Calibri"/>
      <charset val="1"/>
    </font>
    <font>
      <b/>
      <sz val="20"/>
      <color rgb="FF9C6500"/>
      <name val="Calibri"/>
      <charset val="1"/>
    </font>
    <font>
      <sz val="9"/>
      <color rgb="FF64748B"/>
      <name val="Calibri"/>
      <charset val="1"/>
    </font>
    <font>
      <b/>
      <sz val="11"/>
      <color rgb="FF0F172A"/>
      <name val="Calibri"/>
      <charset val="1"/>
    </font>
    <font>
      <sz val="11"/>
      <color rgb="FF64748B"/>
      <name val="Calibri"/>
      <charset val="1"/>
    </font>
    <font>
      <b/>
      <sz val="11"/>
      <color rgb="FF9C0006"/>
      <name val="Calibri"/>
      <charset val="1"/>
    </font>
    <font>
      <b/>
      <sz val="18"/>
      <color rgb="FFEF4444"/>
      <name val="Calibri"/>
      <charset val="1"/>
    </font>
    <font>
      <b/>
      <sz val="18"/>
      <color rgb="FF9C6500"/>
      <name val="Calibri"/>
      <charset val="1"/>
    </font>
    <font>
      <i/>
      <sz val="10"/>
      <color rgb="FF64748B"/>
      <name val="Calibri"/>
      <charset val="1"/>
    </font>
    <font>
      <sz val="11"/>
      <color rgb="FF0F172A"/>
      <name val="Calibri"/>
      <charset val="1"/>
    </font>
    <font>
      <sz val="10"/>
      <color rgb="FF9C0006"/>
      <name val="Calibri"/>
      <charset val="1"/>
    </font>
    <font>
      <sz val="10"/>
      <color rgb="FF006100"/>
      <name val="Calibri"/>
      <charset val="1"/>
    </font>
    <font>
      <b/>
      <sz val="18"/>
      <color rgb="FF1E3A8A"/>
      <name val="Calibri"/>
      <charset val="1"/>
    </font>
    <font>
      <b/>
      <sz val="14"/>
      <color rgb="FF0F172A"/>
      <name val="Calibri"/>
      <charset val="1"/>
    </font>
    <font>
      <b/>
      <sz val="18"/>
      <color rgb="FF0284C7"/>
      <name val="Calibri"/>
      <charset val="1"/>
    </font>
    <font>
      <b/>
      <sz val="18"/>
      <color rgb="FF006100"/>
      <name val="Calibri"/>
      <charset val="1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3864"/>
        <bgColor rgb="FF333399"/>
      </patternFill>
    </fill>
    <fill>
      <patternFill patternType="solid">
        <fgColor rgb="FFD9D9D9"/>
        <bgColor rgb="FFE4DFEC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theme="9" tint="-0.249977111117893"/>
        <bgColor rgb="FFD9D9D9"/>
      </patternFill>
    </fill>
    <fill>
      <patternFill patternType="solid">
        <fgColor theme="3" tint="0.249977111117893"/>
        <bgColor rgb="FFEDEDED"/>
      </patternFill>
    </fill>
    <fill>
      <patternFill patternType="solid">
        <fgColor theme="0" tint="-0.499984740745262"/>
        <bgColor rgb="FFE2EFDA"/>
      </patternFill>
    </fill>
    <fill>
      <patternFill patternType="solid">
        <fgColor rgb="FF855A4D"/>
        <bgColor rgb="FFFFF2CC"/>
      </patternFill>
    </fill>
    <fill>
      <patternFill patternType="solid">
        <fgColor rgb="FF0F172A"/>
        <bgColor rgb="FF1E293B"/>
      </patternFill>
    </fill>
    <fill>
      <patternFill patternType="solid">
        <fgColor rgb="FF0EA5E9"/>
        <bgColor rgb="FF0284C7"/>
      </patternFill>
    </fill>
    <fill>
      <patternFill patternType="solid">
        <fgColor rgb="FF1E293B"/>
        <bgColor rgb="FF0F172A"/>
      </patternFill>
    </fill>
    <fill>
      <patternFill patternType="solid">
        <fgColor rgb="FF1E3A8A"/>
        <bgColor rgb="FF1F3864"/>
      </patternFill>
    </fill>
    <fill>
      <patternFill patternType="solid">
        <fgColor rgb="FFFFFFFF"/>
        <bgColor rgb="FFF8FAFC"/>
      </patternFill>
    </fill>
    <fill>
      <patternFill patternType="solid">
        <fgColor rgb="FF059669"/>
        <bgColor rgb="FF10B981"/>
      </patternFill>
    </fill>
    <fill>
      <patternFill patternType="solid">
        <fgColor rgb="FF7C3AED"/>
        <bgColor rgb="FF1E40AF"/>
      </patternFill>
    </fill>
    <fill>
      <patternFill patternType="solid">
        <fgColor rgb="FFDC2626"/>
        <bgColor rgb="FFEF4444"/>
      </patternFill>
    </fill>
    <fill>
      <patternFill patternType="solid">
        <fgColor rgb="FFF8FAFC"/>
        <bgColor rgb="FFFFFFFF"/>
      </patternFill>
    </fill>
    <fill>
      <patternFill patternType="solid">
        <fgColor theme="0"/>
        <bgColor rgb="FF1E293B"/>
      </patternFill>
    </fill>
    <fill>
      <patternFill patternType="solid">
        <fgColor rgb="FF10B981"/>
        <bgColor rgb="FF05966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1F3864"/>
        <bgColor rgb="FF1E3A8A"/>
      </patternFill>
    </fill>
    <fill>
      <patternFill patternType="solid">
        <fgColor rgb="FFC6EFCE"/>
        <bgColor rgb="FFD9F2D0"/>
      </patternFill>
    </fill>
    <fill>
      <patternFill patternType="solid">
        <fgColor rgb="FFFFC7CE"/>
        <bgColor rgb="FFE9B9CB"/>
      </patternFill>
    </fill>
    <fill>
      <patternFill patternType="solid">
        <fgColor rgb="FFF59E0B"/>
        <bgColor rgb="FF99CC00"/>
      </patternFill>
    </fill>
    <fill>
      <patternFill patternType="solid">
        <fgColor rgb="FF9C0006"/>
        <bgColor rgb="FFDC2626"/>
      </patternFill>
    </fill>
  </fills>
  <borders count="9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/>
      <top style="medium">
        <color indexed="64"/>
      </top>
      <bottom style="thin">
        <color rgb="FFBFBFBF"/>
      </bottom>
      <diagonal/>
    </border>
    <border>
      <left/>
      <right/>
      <top style="medium">
        <color indexed="64"/>
      </top>
      <bottom style="thin">
        <color rgb="FFBFBFBF"/>
      </bottom>
      <diagonal/>
    </border>
    <border>
      <left/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/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Dashed">
        <color indexed="64"/>
      </right>
      <top/>
      <bottom style="thin">
        <color rgb="FFBFBFBF"/>
      </bottom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/>
      <right style="mediumDashed">
        <color indexed="64"/>
      </right>
      <top/>
      <bottom style="thin">
        <color rgb="FFBFBFBF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CBD5E1"/>
      </bottom>
      <diagonal/>
    </border>
    <border>
      <left/>
      <right style="thin">
        <color indexed="64"/>
      </right>
      <top style="thin">
        <color rgb="FFCBD5E1"/>
      </top>
      <bottom/>
      <diagonal/>
    </border>
    <border>
      <left/>
      <right style="thin">
        <color rgb="FFE2E8F0"/>
      </right>
      <top/>
      <bottom style="medium">
        <color rgb="FFCBD5E1"/>
      </bottom>
      <diagonal/>
    </border>
    <border>
      <left/>
      <right/>
      <top/>
      <bottom style="medium">
        <color rgb="FFCBD5E1"/>
      </bottom>
      <diagonal/>
    </border>
    <border>
      <left style="thin">
        <color rgb="FFE2E8F0"/>
      </left>
      <right/>
      <top/>
      <bottom style="medium">
        <color rgb="FFCBD5E1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/>
      <top/>
      <bottom style="medium">
        <color rgb="FF334155"/>
      </bottom>
      <diagonal/>
    </border>
    <border>
      <left/>
      <right/>
      <top/>
      <bottom style="medium">
        <color rgb="FF334155"/>
      </bottom>
      <diagonal/>
    </border>
    <border>
      <left/>
      <right style="thin">
        <color rgb="FFE2E8F0"/>
      </right>
      <top/>
      <bottom style="medium">
        <color rgb="FF334155"/>
      </bottom>
      <diagonal/>
    </border>
    <border>
      <left style="thin">
        <color rgb="FFE2E8F0"/>
      </left>
      <right/>
      <top/>
      <bottom style="medium">
        <color rgb="FF1E40AF"/>
      </bottom>
      <diagonal/>
    </border>
    <border>
      <left/>
      <right/>
      <top/>
      <bottom style="medium">
        <color rgb="FF1E40AF"/>
      </bottom>
      <diagonal/>
    </border>
    <border>
      <left/>
      <right style="thin">
        <color rgb="FFE2E8F0"/>
      </right>
      <top/>
      <bottom style="medium">
        <color rgb="FF1E40AF"/>
      </bottom>
      <diagonal/>
    </border>
    <border>
      <left style="thin">
        <color rgb="FFE2E8F0"/>
      </left>
      <right/>
      <top/>
      <bottom style="medium">
        <color rgb="FF10B981"/>
      </bottom>
      <diagonal/>
    </border>
    <border>
      <left/>
      <right/>
      <top/>
      <bottom style="medium">
        <color rgb="FF10B981"/>
      </bottom>
      <diagonal/>
    </border>
    <border>
      <left/>
      <right style="thin">
        <color rgb="FFE2E8F0"/>
      </right>
      <top/>
      <bottom style="medium">
        <color rgb="FF10B981"/>
      </bottom>
      <diagonal/>
    </border>
    <border>
      <left style="thin">
        <color rgb="FFE2E8F0"/>
      </left>
      <right/>
      <top/>
      <bottom style="medium">
        <color rgb="FF7C3AED"/>
      </bottom>
      <diagonal/>
    </border>
    <border>
      <left/>
      <right/>
      <top/>
      <bottom style="medium">
        <color rgb="FF7C3AED"/>
      </bottom>
      <diagonal/>
    </border>
    <border>
      <left/>
      <right style="thin">
        <color rgb="FFE2E8F0"/>
      </right>
      <top/>
      <bottom style="medium">
        <color rgb="FF7C3AED"/>
      </bottom>
      <diagonal/>
    </border>
    <border>
      <left style="thin">
        <color rgb="FFE2E8F0"/>
      </left>
      <right/>
      <top/>
      <bottom style="medium">
        <color rgb="FFF59E0B"/>
      </bottom>
      <diagonal/>
    </border>
    <border>
      <left/>
      <right/>
      <top/>
      <bottom style="medium">
        <color rgb="FFF59E0B"/>
      </bottom>
      <diagonal/>
    </border>
    <border>
      <left/>
      <right style="thin">
        <color rgb="FFE2E8F0"/>
      </right>
      <top/>
      <bottom style="medium">
        <color rgb="FFF59E0B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37">
    <xf numFmtId="0" fontId="0" fillId="0" borderId="0" xfId="0"/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0" fillId="0" borderId="0" xfId="0" applyNumberFormat="1"/>
    <xf numFmtId="10" fontId="0" fillId="0" borderId="0" xfId="0" applyNumberFormat="1"/>
    <xf numFmtId="164" fontId="17" fillId="0" borderId="0" xfId="0" applyNumberFormat="1" applyFont="1"/>
    <xf numFmtId="3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1" applyNumberFormat="1" applyFont="1"/>
    <xf numFmtId="10" fontId="0" fillId="0" borderId="0" xfId="1" applyNumberFormat="1" applyFont="1" applyAlignment="1"/>
    <xf numFmtId="0" fontId="0" fillId="0" borderId="0" xfId="0" applyAlignment="1">
      <alignment horizontal="center"/>
    </xf>
    <xf numFmtId="0" fontId="0" fillId="34" borderId="10" xfId="0" applyFill="1" applyBorder="1" applyAlignment="1">
      <alignment horizontal="center"/>
    </xf>
    <xf numFmtId="2" fontId="0" fillId="0" borderId="16" xfId="0" applyNumberFormat="1" applyBorder="1"/>
    <xf numFmtId="0" fontId="0" fillId="0" borderId="17" xfId="0" applyBorder="1"/>
    <xf numFmtId="2" fontId="0" fillId="34" borderId="18" xfId="0" applyNumberFormat="1" applyFill="1" applyBorder="1" applyAlignment="1">
      <alignment horizontal="center"/>
    </xf>
    <xf numFmtId="0" fontId="0" fillId="34" borderId="19" xfId="0" applyFill="1" applyBorder="1" applyAlignment="1">
      <alignment horizontal="center"/>
    </xf>
    <xf numFmtId="0" fontId="0" fillId="0" borderId="16" xfId="0" applyBorder="1"/>
    <xf numFmtId="165" fontId="0" fillId="0" borderId="0" xfId="0" applyNumberFormat="1"/>
    <xf numFmtId="166" fontId="0" fillId="0" borderId="0" xfId="1" applyNumberFormat="1" applyFont="1" applyBorder="1" applyAlignment="1"/>
    <xf numFmtId="1" fontId="0" fillId="0" borderId="0" xfId="0" applyNumberFormat="1"/>
    <xf numFmtId="0" fontId="0" fillId="0" borderId="22" xfId="0" applyBorder="1" applyAlignment="1">
      <alignment horizontal="center"/>
    </xf>
    <xf numFmtId="0" fontId="21" fillId="36" borderId="29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0" fillId="0" borderId="28" xfId="0" applyFont="1" applyBorder="1" applyAlignment="1">
      <alignment vertical="center"/>
    </xf>
    <xf numFmtId="0" fontId="22" fillId="36" borderId="30" xfId="0" applyFont="1" applyFill="1" applyBorder="1" applyAlignment="1">
      <alignment horizontal="center" vertical="center" wrapText="1"/>
    </xf>
    <xf numFmtId="0" fontId="0" fillId="0" borderId="15" xfId="0" applyBorder="1"/>
    <xf numFmtId="0" fontId="21" fillId="0" borderId="27" xfId="0" applyFont="1" applyBorder="1" applyAlignment="1">
      <alignment horizontal="left" vertical="center"/>
    </xf>
    <xf numFmtId="0" fontId="21" fillId="0" borderId="34" xfId="0" applyFont="1" applyBorder="1" applyAlignment="1">
      <alignment horizontal="left" vertical="center"/>
    </xf>
    <xf numFmtId="0" fontId="20" fillId="0" borderId="35" xfId="0" applyFont="1" applyBorder="1" applyAlignment="1">
      <alignment vertical="center"/>
    </xf>
    <xf numFmtId="0" fontId="19" fillId="35" borderId="0" xfId="0" applyFont="1" applyFill="1" applyAlignment="1">
      <alignment horizontal="center" vertical="center"/>
    </xf>
    <xf numFmtId="0" fontId="25" fillId="35" borderId="26" xfId="0" applyFont="1" applyFill="1" applyBorder="1" applyAlignment="1">
      <alignment horizontal="center" vertical="center" wrapText="1"/>
    </xf>
    <xf numFmtId="167" fontId="21" fillId="36" borderId="26" xfId="0" applyNumberFormat="1" applyFont="1" applyFill="1" applyBorder="1" applyAlignment="1">
      <alignment horizontal="center" vertical="center"/>
    </xf>
    <xf numFmtId="10" fontId="20" fillId="0" borderId="26" xfId="0" applyNumberFormat="1" applyFont="1" applyBorder="1" applyAlignment="1">
      <alignment horizontal="center" vertical="center"/>
    </xf>
    <xf numFmtId="0" fontId="21" fillId="0" borderId="0" xfId="0" applyFont="1"/>
    <xf numFmtId="0" fontId="26" fillId="38" borderId="26" xfId="0" applyFont="1" applyFill="1" applyBorder="1" applyAlignment="1">
      <alignment horizontal="center" vertical="center"/>
    </xf>
    <xf numFmtId="0" fontId="27" fillId="39" borderId="26" xfId="0" applyFont="1" applyFill="1" applyBorder="1" applyAlignment="1">
      <alignment horizontal="center" vertical="center"/>
    </xf>
    <xf numFmtId="0" fontId="28" fillId="40" borderId="26" xfId="0" applyFont="1" applyFill="1" applyBorder="1" applyAlignment="1">
      <alignment horizontal="center" vertical="center"/>
    </xf>
    <xf numFmtId="10" fontId="29" fillId="37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21" fillId="36" borderId="36" xfId="0" applyFont="1" applyFill="1" applyBorder="1" applyAlignment="1">
      <alignment horizontal="center" vertical="center" wrapText="1"/>
    </xf>
    <xf numFmtId="10" fontId="0" fillId="0" borderId="0" xfId="1" applyNumberFormat="1" applyFont="1" applyBorder="1"/>
    <xf numFmtId="10" fontId="14" fillId="0" borderId="0" xfId="1" applyNumberFormat="1" applyFont="1" applyBorder="1"/>
    <xf numFmtId="0" fontId="0" fillId="0" borderId="17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10" fontId="0" fillId="0" borderId="21" xfId="1" applyNumberFormat="1" applyFont="1" applyBorder="1"/>
    <xf numFmtId="10" fontId="14" fillId="0" borderId="21" xfId="1" applyNumberFormat="1" applyFont="1" applyBorder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2" fillId="36" borderId="42" xfId="0" applyFont="1" applyFill="1" applyBorder="1" applyAlignment="1">
      <alignment horizontal="center" vertical="center"/>
    </xf>
    <xf numFmtId="0" fontId="21" fillId="36" borderId="4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64" fontId="0" fillId="0" borderId="21" xfId="0" applyNumberFormat="1" applyBorder="1"/>
    <xf numFmtId="0" fontId="22" fillId="36" borderId="29" xfId="0" applyFont="1" applyFill="1" applyBorder="1" applyAlignment="1">
      <alignment horizontal="center" vertical="top" wrapText="1"/>
    </xf>
    <xf numFmtId="10" fontId="22" fillId="36" borderId="29" xfId="1" applyNumberFormat="1" applyFont="1" applyFill="1" applyBorder="1" applyAlignment="1">
      <alignment horizontal="center" vertical="top" wrapText="1"/>
    </xf>
    <xf numFmtId="49" fontId="22" fillId="36" borderId="29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164" fontId="30" fillId="42" borderId="37" xfId="0" applyNumberFormat="1" applyFont="1" applyFill="1" applyBorder="1" applyAlignment="1">
      <alignment horizontal="center" vertical="center" wrapText="1"/>
    </xf>
    <xf numFmtId="10" fontId="30" fillId="42" borderId="29" xfId="1" applyNumberFormat="1" applyFont="1" applyFill="1" applyBorder="1" applyAlignment="1">
      <alignment horizontal="center" vertical="center" wrapText="1"/>
    </xf>
    <xf numFmtId="0" fontId="30" fillId="42" borderId="38" xfId="0" applyFont="1" applyFill="1" applyBorder="1" applyAlignment="1">
      <alignment horizontal="center" vertical="center" wrapText="1"/>
    </xf>
    <xf numFmtId="164" fontId="30" fillId="41" borderId="37" xfId="0" applyNumberFormat="1" applyFont="1" applyFill="1" applyBorder="1" applyAlignment="1">
      <alignment horizontal="center" vertical="center" wrapText="1"/>
    </xf>
    <xf numFmtId="10" fontId="30" fillId="41" borderId="41" xfId="1" applyNumberFormat="1" applyFont="1" applyFill="1" applyBorder="1" applyAlignment="1">
      <alignment horizontal="center" vertical="center" wrapText="1"/>
    </xf>
    <xf numFmtId="10" fontId="30" fillId="41" borderId="0" xfId="1" applyNumberFormat="1" applyFont="1" applyFill="1" applyBorder="1" applyAlignment="1">
      <alignment horizontal="center" vertical="center" wrapText="1"/>
    </xf>
    <xf numFmtId="0" fontId="30" fillId="41" borderId="44" xfId="0" applyFont="1" applyFill="1" applyBorder="1" applyAlignment="1">
      <alignment horizontal="center" vertical="center" wrapText="1"/>
    </xf>
    <xf numFmtId="164" fontId="30" fillId="43" borderId="29" xfId="0" applyNumberFormat="1" applyFont="1" applyFill="1" applyBorder="1" applyAlignment="1">
      <alignment horizontal="center" vertical="center" wrapText="1"/>
    </xf>
    <xf numFmtId="10" fontId="30" fillId="43" borderId="29" xfId="1" applyNumberFormat="1" applyFont="1" applyFill="1" applyBorder="1" applyAlignment="1">
      <alignment horizontal="center" vertical="center" wrapText="1"/>
    </xf>
    <xf numFmtId="0" fontId="30" fillId="43" borderId="38" xfId="0" applyFont="1" applyFill="1" applyBorder="1" applyAlignment="1">
      <alignment horizontal="center" vertical="center" wrapText="1"/>
    </xf>
    <xf numFmtId="164" fontId="30" fillId="44" borderId="37" xfId="0" applyNumberFormat="1" applyFont="1" applyFill="1" applyBorder="1" applyAlignment="1">
      <alignment horizontal="center" vertical="center" wrapText="1"/>
    </xf>
    <xf numFmtId="10" fontId="30" fillId="44" borderId="29" xfId="1" applyNumberFormat="1" applyFont="1" applyFill="1" applyBorder="1" applyAlignment="1">
      <alignment horizontal="center" vertical="center" wrapText="1"/>
    </xf>
    <xf numFmtId="0" fontId="30" fillId="44" borderId="38" xfId="0" applyFont="1" applyFill="1" applyBorder="1" applyAlignment="1">
      <alignment horizontal="center" vertical="center" wrapText="1"/>
    </xf>
    <xf numFmtId="0" fontId="0" fillId="45" borderId="0" xfId="0" applyFill="1"/>
    <xf numFmtId="0" fontId="0" fillId="46" borderId="0" xfId="0" applyFill="1"/>
    <xf numFmtId="0" fontId="34" fillId="45" borderId="0" xfId="0" applyFont="1" applyFill="1" applyAlignment="1">
      <alignment horizontal="center" vertical="center"/>
    </xf>
    <xf numFmtId="0" fontId="25" fillId="47" borderId="0" xfId="0" applyFont="1" applyFill="1" applyAlignment="1">
      <alignment horizontal="left" vertical="center"/>
    </xf>
    <xf numFmtId="0" fontId="0" fillId="48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37" fillId="49" borderId="45" xfId="0" applyFont="1" applyFill="1" applyBorder="1" applyAlignment="1">
      <alignment horizontal="left" vertical="center" indent="1"/>
    </xf>
    <xf numFmtId="0" fontId="37" fillId="53" borderId="45" xfId="0" applyFont="1" applyFill="1" applyBorder="1" applyAlignment="1">
      <alignment horizontal="left" vertical="center" indent="1"/>
    </xf>
    <xf numFmtId="0" fontId="0" fillId="49" borderId="0" xfId="0" applyFill="1"/>
    <xf numFmtId="0" fontId="44" fillId="49" borderId="0" xfId="0" applyFont="1" applyFill="1" applyAlignment="1">
      <alignment horizontal="left" vertical="center" indent="1"/>
    </xf>
    <xf numFmtId="0" fontId="44" fillId="49" borderId="0" xfId="0" applyFont="1" applyFill="1" applyAlignment="1">
      <alignment horizontal="right" vertical="center"/>
    </xf>
    <xf numFmtId="0" fontId="44" fillId="49" borderId="0" xfId="0" applyFont="1" applyFill="1" applyAlignment="1">
      <alignment horizontal="right" vertical="center" indent="1"/>
    </xf>
    <xf numFmtId="0" fontId="45" fillId="49" borderId="0" xfId="0" applyFont="1" applyFill="1" applyAlignment="1">
      <alignment horizontal="left" vertical="center" indent="1"/>
    </xf>
    <xf numFmtId="0" fontId="47" fillId="49" borderId="0" xfId="0" applyFont="1" applyFill="1" applyAlignment="1">
      <alignment horizontal="left" vertical="center" indent="1"/>
    </xf>
    <xf numFmtId="3" fontId="48" fillId="49" borderId="0" xfId="0" applyNumberFormat="1" applyFont="1" applyFill="1" applyAlignment="1">
      <alignment horizontal="right" vertical="center"/>
    </xf>
    <xf numFmtId="170" fontId="48" fillId="49" borderId="0" xfId="0" applyNumberFormat="1" applyFont="1" applyFill="1" applyAlignment="1">
      <alignment horizontal="right" vertical="center"/>
    </xf>
    <xf numFmtId="169" fontId="48" fillId="49" borderId="0" xfId="0" applyNumberFormat="1" applyFont="1" applyFill="1" applyAlignment="1">
      <alignment horizontal="right" vertical="center"/>
    </xf>
    <xf numFmtId="169" fontId="47" fillId="49" borderId="0" xfId="0" applyNumberFormat="1" applyFont="1" applyFill="1" applyAlignment="1">
      <alignment horizontal="right" vertical="center" indent="1"/>
    </xf>
    <xf numFmtId="0" fontId="48" fillId="49" borderId="0" xfId="0" applyFont="1" applyFill="1" applyAlignment="1">
      <alignment horizontal="left" vertical="center" indent="1"/>
    </xf>
    <xf numFmtId="0" fontId="49" fillId="49" borderId="0" xfId="0" applyFont="1" applyFill="1" applyAlignment="1">
      <alignment horizontal="left" vertical="center" indent="1"/>
    </xf>
    <xf numFmtId="169" fontId="49" fillId="49" borderId="0" xfId="0" applyNumberFormat="1" applyFont="1" applyFill="1" applyAlignment="1">
      <alignment horizontal="right" vertical="center" indent="1"/>
    </xf>
    <xf numFmtId="0" fontId="50" fillId="49" borderId="0" xfId="0" applyFont="1" applyFill="1" applyAlignment="1">
      <alignment horizontal="left" vertical="center" indent="1"/>
    </xf>
    <xf numFmtId="0" fontId="52" fillId="49" borderId="0" xfId="0" applyFont="1" applyFill="1" applyAlignment="1">
      <alignment horizontal="left" vertical="center" indent="1"/>
    </xf>
    <xf numFmtId="169" fontId="52" fillId="49" borderId="0" xfId="0" applyNumberFormat="1" applyFont="1" applyFill="1" applyAlignment="1">
      <alignment horizontal="right" vertical="center" indent="1"/>
    </xf>
    <xf numFmtId="0" fontId="53" fillId="49" borderId="46" xfId="0" applyFont="1" applyFill="1" applyBorder="1" applyAlignment="1">
      <alignment horizontal="left" vertical="center" indent="1"/>
    </xf>
    <xf numFmtId="3" fontId="53" fillId="49" borderId="46" xfId="0" applyNumberFormat="1" applyFont="1" applyFill="1" applyBorder="1" applyAlignment="1">
      <alignment horizontal="right" vertical="center"/>
    </xf>
    <xf numFmtId="170" fontId="53" fillId="49" borderId="46" xfId="0" applyNumberFormat="1" applyFont="1" applyFill="1" applyBorder="1" applyAlignment="1">
      <alignment horizontal="right" vertical="center"/>
    </xf>
    <xf numFmtId="169" fontId="53" fillId="49" borderId="46" xfId="0" applyNumberFormat="1" applyFont="1" applyFill="1" applyBorder="1" applyAlignment="1">
      <alignment horizontal="right" vertical="center"/>
    </xf>
    <xf numFmtId="169" fontId="45" fillId="49" borderId="46" xfId="0" applyNumberFormat="1" applyFont="1" applyFill="1" applyBorder="1" applyAlignment="1">
      <alignment horizontal="right" vertical="center" indent="1"/>
    </xf>
    <xf numFmtId="0" fontId="47" fillId="49" borderId="46" xfId="0" applyFont="1" applyFill="1" applyBorder="1" applyAlignment="1">
      <alignment horizontal="left" vertical="center" indent="1"/>
    </xf>
    <xf numFmtId="0" fontId="0" fillId="54" borderId="0" xfId="0" applyFill="1"/>
    <xf numFmtId="0" fontId="44" fillId="49" borderId="45" xfId="0" applyFont="1" applyFill="1" applyBorder="1" applyAlignment="1">
      <alignment horizontal="center" vertical="center"/>
    </xf>
    <xf numFmtId="0" fontId="44" fillId="49" borderId="45" xfId="0" applyFont="1" applyFill="1" applyBorder="1" applyAlignment="1">
      <alignment horizontal="left" vertical="center" indent="1"/>
    </xf>
    <xf numFmtId="0" fontId="44" fillId="49" borderId="45" xfId="0" applyFont="1" applyFill="1" applyBorder="1" applyAlignment="1">
      <alignment horizontal="right" vertical="center"/>
    </xf>
    <xf numFmtId="0" fontId="25" fillId="55" borderId="0" xfId="0" applyFont="1" applyFill="1" applyAlignment="1">
      <alignment horizontal="center" vertical="center"/>
    </xf>
    <xf numFmtId="0" fontId="58" fillId="49" borderId="45" xfId="0" applyFont="1" applyFill="1" applyBorder="1" applyAlignment="1">
      <alignment horizontal="right" vertical="center"/>
    </xf>
    <xf numFmtId="0" fontId="61" fillId="49" borderId="45" xfId="0" applyFont="1" applyFill="1" applyBorder="1" applyAlignment="1">
      <alignment horizontal="right" vertical="center"/>
    </xf>
    <xf numFmtId="0" fontId="36" fillId="49" borderId="0" xfId="0" applyFont="1" applyFill="1" applyAlignment="1">
      <alignment horizontal="center" vertical="center"/>
    </xf>
    <xf numFmtId="170" fontId="44" fillId="49" borderId="0" xfId="0" applyNumberFormat="1" applyFont="1" applyFill="1" applyAlignment="1">
      <alignment horizontal="center" vertical="center"/>
    </xf>
    <xf numFmtId="170" fontId="53" fillId="49" borderId="0" xfId="0" applyNumberFormat="1" applyFont="1" applyFill="1" applyAlignment="1">
      <alignment horizontal="center" vertical="center"/>
    </xf>
    <xf numFmtId="0" fontId="0" fillId="53" borderId="0" xfId="0" applyFill="1"/>
    <xf numFmtId="0" fontId="65" fillId="45" borderId="0" xfId="0" applyFont="1" applyFill="1" applyAlignment="1">
      <alignment horizontal="left" vertical="center"/>
    </xf>
    <xf numFmtId="0" fontId="63" fillId="45" borderId="0" xfId="0" applyFont="1" applyFill="1" applyAlignment="1">
      <alignment horizontal="left" vertical="center"/>
    </xf>
    <xf numFmtId="0" fontId="64" fillId="45" borderId="0" xfId="0" applyFont="1" applyFill="1" applyAlignment="1">
      <alignment horizontal="left" vertical="center"/>
    </xf>
    <xf numFmtId="0" fontId="0" fillId="49" borderId="47" xfId="0" applyFill="1" applyBorder="1"/>
    <xf numFmtId="0" fontId="0" fillId="56" borderId="0" xfId="0" applyFill="1"/>
    <xf numFmtId="0" fontId="60" fillId="49" borderId="48" xfId="0" applyFont="1" applyFill="1" applyBorder="1" applyAlignment="1">
      <alignment horizontal="right" vertical="center" indent="1"/>
    </xf>
    <xf numFmtId="170" fontId="53" fillId="49" borderId="0" xfId="0" applyNumberFormat="1" applyFont="1" applyFill="1" applyAlignment="1">
      <alignment horizontal="right" vertical="center"/>
    </xf>
    <xf numFmtId="0" fontId="62" fillId="49" borderId="0" xfId="0" applyFont="1" applyFill="1" applyAlignment="1">
      <alignment horizontal="right" vertical="center"/>
    </xf>
    <xf numFmtId="3" fontId="47" fillId="49" borderId="0" xfId="0" applyNumberFormat="1" applyFont="1" applyFill="1" applyAlignment="1">
      <alignment horizontal="right" vertical="center"/>
    </xf>
    <xf numFmtId="3" fontId="49" fillId="49" borderId="0" xfId="0" applyNumberFormat="1" applyFont="1" applyFill="1" applyAlignment="1">
      <alignment horizontal="right" vertical="center"/>
    </xf>
    <xf numFmtId="3" fontId="52" fillId="49" borderId="47" xfId="0" applyNumberFormat="1" applyFont="1" applyFill="1" applyBorder="1" applyAlignment="1">
      <alignment horizontal="right" vertical="center" indent="1"/>
    </xf>
    <xf numFmtId="167" fontId="52" fillId="49" borderId="0" xfId="0" applyNumberFormat="1" applyFont="1" applyFill="1" applyAlignment="1">
      <alignment horizontal="right" vertical="center"/>
    </xf>
    <xf numFmtId="174" fontId="68" fillId="56" borderId="60" xfId="0" applyNumberFormat="1" applyFont="1" applyFill="1" applyBorder="1" applyAlignment="1">
      <alignment horizontal="left" vertical="center" indent="1"/>
    </xf>
    <xf numFmtId="174" fontId="68" fillId="56" borderId="61" xfId="0" applyNumberFormat="1" applyFont="1" applyFill="1" applyBorder="1" applyAlignment="1">
      <alignment horizontal="left" vertical="center" indent="1"/>
    </xf>
    <xf numFmtId="174" fontId="68" fillId="56" borderId="62" xfId="0" applyNumberFormat="1" applyFont="1" applyFill="1" applyBorder="1" applyAlignment="1">
      <alignment horizontal="left" vertical="center" indent="1"/>
    </xf>
    <xf numFmtId="0" fontId="0" fillId="45" borderId="47" xfId="0" applyFill="1" applyBorder="1"/>
    <xf numFmtId="0" fontId="0" fillId="46" borderId="47" xfId="0" applyFill="1" applyBorder="1"/>
    <xf numFmtId="0" fontId="25" fillId="47" borderId="47" xfId="0" applyFont="1" applyFill="1" applyBorder="1" applyAlignment="1">
      <alignment horizontal="left" vertical="center"/>
    </xf>
    <xf numFmtId="0" fontId="38" fillId="49" borderId="48" xfId="0" applyFont="1" applyFill="1" applyBorder="1" applyAlignment="1">
      <alignment horizontal="left" vertical="center" wrapText="1" indent="1"/>
    </xf>
    <xf numFmtId="0" fontId="38" fillId="53" borderId="48" xfId="0" applyFont="1" applyFill="1" applyBorder="1" applyAlignment="1">
      <alignment horizontal="left" vertical="center" wrapText="1" indent="1"/>
    </xf>
    <xf numFmtId="0" fontId="72" fillId="45" borderId="0" xfId="0" applyFont="1" applyFill="1"/>
    <xf numFmtId="0" fontId="72" fillId="45" borderId="47" xfId="0" applyFont="1" applyFill="1" applyBorder="1"/>
    <xf numFmtId="0" fontId="72" fillId="0" borderId="0" xfId="0" applyFont="1"/>
    <xf numFmtId="0" fontId="74" fillId="45" borderId="0" xfId="0" applyFont="1" applyFill="1"/>
    <xf numFmtId="0" fontId="74" fillId="45" borderId="47" xfId="0" applyFont="1" applyFill="1" applyBorder="1"/>
    <xf numFmtId="0" fontId="74" fillId="0" borderId="0" xfId="0" applyFont="1"/>
    <xf numFmtId="0" fontId="75" fillId="45" borderId="0" xfId="0" applyFont="1" applyFill="1" applyAlignment="1">
      <alignment horizontal="left" vertical="center"/>
    </xf>
    <xf numFmtId="0" fontId="33" fillId="58" borderId="56" xfId="0" applyFont="1" applyFill="1" applyBorder="1" applyAlignment="1">
      <alignment horizontal="left" vertical="center" indent="1"/>
    </xf>
    <xf numFmtId="0" fontId="73" fillId="57" borderId="55" xfId="0" applyFont="1" applyFill="1" applyBorder="1" applyAlignment="1">
      <alignment horizontal="left" vertical="center" indent="1"/>
    </xf>
    <xf numFmtId="0" fontId="78" fillId="49" borderId="45" xfId="0" applyFont="1" applyFill="1" applyBorder="1" applyAlignment="1">
      <alignment horizontal="center" vertical="center"/>
    </xf>
    <xf numFmtId="0" fontId="78" fillId="49" borderId="45" xfId="0" applyFont="1" applyFill="1" applyBorder="1" applyAlignment="1">
      <alignment horizontal="right" vertical="center"/>
    </xf>
    <xf numFmtId="0" fontId="78" fillId="49" borderId="48" xfId="0" applyFont="1" applyFill="1" applyBorder="1" applyAlignment="1">
      <alignment horizontal="right" vertical="center" indent="1"/>
    </xf>
    <xf numFmtId="0" fontId="78" fillId="49" borderId="45" xfId="0" applyFont="1" applyFill="1" applyBorder="1" applyAlignment="1">
      <alignment horizontal="left" vertical="center"/>
    </xf>
    <xf numFmtId="1" fontId="79" fillId="49" borderId="0" xfId="0" applyNumberFormat="1" applyFont="1" applyFill="1" applyAlignment="1">
      <alignment horizontal="center" vertical="center"/>
    </xf>
    <xf numFmtId="3" fontId="80" fillId="49" borderId="0" xfId="0" applyNumberFormat="1" applyFont="1" applyFill="1" applyAlignment="1">
      <alignment horizontal="right" vertical="center"/>
    </xf>
    <xf numFmtId="169" fontId="80" fillId="49" borderId="0" xfId="0" applyNumberFormat="1" applyFont="1" applyFill="1" applyAlignment="1">
      <alignment horizontal="right" vertical="center"/>
    </xf>
    <xf numFmtId="169" fontId="81" fillId="49" borderId="0" xfId="0" applyNumberFormat="1" applyFont="1" applyFill="1" applyAlignment="1">
      <alignment horizontal="right" vertical="center"/>
    </xf>
    <xf numFmtId="170" fontId="80" fillId="49" borderId="0" xfId="0" applyNumberFormat="1" applyFont="1" applyFill="1" applyAlignment="1">
      <alignment horizontal="right" vertical="center"/>
    </xf>
    <xf numFmtId="170" fontId="79" fillId="49" borderId="47" xfId="0" applyNumberFormat="1" applyFont="1" applyFill="1" applyBorder="1" applyAlignment="1">
      <alignment horizontal="right" vertical="center" indent="1"/>
    </xf>
    <xf numFmtId="0" fontId="80" fillId="49" borderId="0" xfId="0" applyFont="1" applyFill="1" applyAlignment="1">
      <alignment horizontal="left" vertical="center"/>
    </xf>
    <xf numFmtId="3" fontId="83" fillId="49" borderId="46" xfId="0" applyNumberFormat="1" applyFont="1" applyFill="1" applyBorder="1" applyAlignment="1">
      <alignment horizontal="right" vertical="center"/>
    </xf>
    <xf numFmtId="169" fontId="83" fillId="49" borderId="46" xfId="0" applyNumberFormat="1" applyFont="1" applyFill="1" applyBorder="1" applyAlignment="1">
      <alignment horizontal="right" vertical="center"/>
    </xf>
    <xf numFmtId="169" fontId="81" fillId="49" borderId="46" xfId="0" applyNumberFormat="1" applyFont="1" applyFill="1" applyBorder="1" applyAlignment="1">
      <alignment horizontal="right" vertical="center"/>
    </xf>
    <xf numFmtId="170" fontId="83" fillId="49" borderId="46" xfId="0" applyNumberFormat="1" applyFont="1" applyFill="1" applyBorder="1" applyAlignment="1">
      <alignment horizontal="right" vertical="center"/>
    </xf>
    <xf numFmtId="170" fontId="79" fillId="49" borderId="49" xfId="0" applyNumberFormat="1" applyFont="1" applyFill="1" applyBorder="1" applyAlignment="1">
      <alignment horizontal="right" vertical="center" indent="1"/>
    </xf>
    <xf numFmtId="0" fontId="74" fillId="49" borderId="0" xfId="0" applyFont="1" applyFill="1"/>
    <xf numFmtId="0" fontId="73" fillId="57" borderId="54" xfId="0" applyFont="1" applyFill="1" applyBorder="1" applyAlignment="1">
      <alignment horizontal="left" vertical="center" indent="1"/>
    </xf>
    <xf numFmtId="0" fontId="73" fillId="57" borderId="53" xfId="0" applyFont="1" applyFill="1" applyBorder="1" applyAlignment="1">
      <alignment horizontal="left" vertical="center" indent="1"/>
    </xf>
    <xf numFmtId="0" fontId="84" fillId="59" borderId="0" xfId="0" applyFont="1" applyFill="1" applyAlignment="1">
      <alignment horizontal="left" vertical="center" wrapText="1"/>
    </xf>
    <xf numFmtId="0" fontId="84" fillId="59" borderId="0" xfId="0" applyFont="1" applyFill="1" applyAlignment="1">
      <alignment horizontal="center" vertical="center" wrapText="1"/>
    </xf>
    <xf numFmtId="0" fontId="88" fillId="49" borderId="45" xfId="0" applyFont="1" applyFill="1" applyBorder="1" applyAlignment="1">
      <alignment horizontal="left" vertical="center"/>
    </xf>
    <xf numFmtId="0" fontId="89" fillId="49" borderId="45" xfId="0" applyFont="1" applyFill="1" applyBorder="1" applyAlignment="1">
      <alignment horizontal="left" vertical="center" wrapText="1"/>
    </xf>
    <xf numFmtId="0" fontId="90" fillId="49" borderId="45" xfId="0" applyFont="1" applyFill="1" applyBorder="1" applyAlignment="1">
      <alignment horizontal="center" vertical="center"/>
    </xf>
    <xf numFmtId="0" fontId="91" fillId="49" borderId="45" xfId="0" applyFont="1" applyFill="1" applyBorder="1" applyAlignment="1">
      <alignment horizontal="left" vertical="center" wrapText="1"/>
    </xf>
    <xf numFmtId="0" fontId="92" fillId="49" borderId="45" xfId="0" applyFont="1" applyFill="1" applyBorder="1" applyAlignment="1">
      <alignment horizontal="left" vertical="center"/>
    </xf>
    <xf numFmtId="0" fontId="93" fillId="49" borderId="45" xfId="0" applyFont="1" applyFill="1" applyBorder="1" applyAlignment="1">
      <alignment horizontal="left" vertical="center"/>
    </xf>
    <xf numFmtId="0" fontId="84" fillId="59" borderId="0" xfId="0" applyFont="1" applyFill="1" applyAlignment="1">
      <alignment horizontal="left" vertical="center"/>
    </xf>
    <xf numFmtId="0" fontId="84" fillId="59" borderId="0" xfId="0" applyFont="1" applyFill="1" applyAlignment="1">
      <alignment horizontal="center" vertical="center"/>
    </xf>
    <xf numFmtId="0" fontId="97" fillId="61" borderId="0" xfId="0" applyFont="1" applyFill="1" applyAlignment="1">
      <alignment horizontal="center" vertical="center"/>
    </xf>
    <xf numFmtId="0" fontId="98" fillId="49" borderId="45" xfId="0" applyFont="1" applyFill="1" applyBorder="1" applyAlignment="1">
      <alignment horizontal="left" vertical="center"/>
    </xf>
    <xf numFmtId="0" fontId="99" fillId="49" borderId="45" xfId="0" applyFont="1" applyFill="1" applyBorder="1" applyAlignment="1">
      <alignment horizontal="left" vertical="center"/>
    </xf>
    <xf numFmtId="0" fontId="100" fillId="49" borderId="45" xfId="0" applyFont="1" applyFill="1" applyBorder="1" applyAlignment="1">
      <alignment horizontal="left" vertical="center"/>
    </xf>
    <xf numFmtId="0" fontId="84" fillId="55" borderId="0" xfId="0" applyFont="1" applyFill="1" applyAlignment="1">
      <alignment horizontal="left" vertical="center"/>
    </xf>
    <xf numFmtId="0" fontId="84" fillId="62" borderId="0" xfId="0" applyFont="1" applyFill="1" applyAlignment="1">
      <alignment horizontal="left" vertical="center"/>
    </xf>
    <xf numFmtId="0" fontId="95" fillId="60" borderId="45" xfId="0" applyFont="1" applyFill="1" applyBorder="1" applyAlignment="1">
      <alignment horizontal="left" vertical="center"/>
    </xf>
    <xf numFmtId="3" fontId="103" fillId="49" borderId="45" xfId="0" applyNumberFormat="1" applyFont="1" applyFill="1" applyBorder="1" applyAlignment="1">
      <alignment horizontal="center" vertical="center"/>
    </xf>
    <xf numFmtId="0" fontId="96" fillId="39" borderId="45" xfId="0" applyFont="1" applyFill="1" applyBorder="1" applyAlignment="1">
      <alignment horizontal="left" vertical="center"/>
    </xf>
    <xf numFmtId="3" fontId="104" fillId="49" borderId="45" xfId="0" applyNumberFormat="1" applyFont="1" applyFill="1" applyBorder="1" applyAlignment="1">
      <alignment horizontal="center" vertical="center"/>
    </xf>
    <xf numFmtId="0" fontId="105" fillId="49" borderId="0" xfId="0" applyFont="1" applyFill="1" applyAlignment="1">
      <alignment horizontal="left" vertical="center"/>
    </xf>
    <xf numFmtId="0" fontId="96" fillId="39" borderId="72" xfId="0" applyFont="1" applyFill="1" applyBorder="1" applyAlignment="1">
      <alignment horizontal="left" vertical="center"/>
    </xf>
    <xf numFmtId="0" fontId="96" fillId="39" borderId="73" xfId="0" applyFont="1" applyFill="1" applyBorder="1" applyAlignment="1">
      <alignment horizontal="center" vertical="center"/>
    </xf>
    <xf numFmtId="0" fontId="0" fillId="0" borderId="74" xfId="0" applyBorder="1"/>
    <xf numFmtId="0" fontId="89" fillId="49" borderId="75" xfId="0" applyFont="1" applyFill="1" applyBorder="1" applyAlignment="1">
      <alignment horizontal="left" vertical="center"/>
    </xf>
    <xf numFmtId="0" fontId="95" fillId="60" borderId="76" xfId="0" applyFont="1" applyFill="1" applyBorder="1" applyAlignment="1">
      <alignment horizontal="left" vertical="center"/>
    </xf>
    <xf numFmtId="0" fontId="90" fillId="49" borderId="75" xfId="0" applyFont="1" applyFill="1" applyBorder="1" applyAlignment="1">
      <alignment horizontal="center" vertical="center"/>
    </xf>
    <xf numFmtId="0" fontId="95" fillId="60" borderId="75" xfId="0" applyFont="1" applyFill="1" applyBorder="1" applyAlignment="1">
      <alignment horizontal="center" vertical="center"/>
    </xf>
    <xf numFmtId="0" fontId="89" fillId="49" borderId="73" xfId="0" applyFont="1" applyFill="1" applyBorder="1" applyAlignment="1">
      <alignment horizontal="left" vertical="center"/>
    </xf>
    <xf numFmtId="0" fontId="90" fillId="49" borderId="77" xfId="0" applyFont="1" applyFill="1" applyBorder="1" applyAlignment="1">
      <alignment horizontal="center" vertical="center"/>
    </xf>
    <xf numFmtId="0" fontId="97" fillId="61" borderId="74" xfId="0" applyFont="1" applyFill="1" applyBorder="1" applyAlignment="1">
      <alignment horizontal="left" vertical="center"/>
    </xf>
    <xf numFmtId="0" fontId="84" fillId="63" borderId="0" xfId="0" applyFont="1" applyFill="1" applyAlignment="1">
      <alignment horizontal="left" vertical="center"/>
    </xf>
    <xf numFmtId="0" fontId="101" fillId="53" borderId="78" xfId="0" applyFont="1" applyFill="1" applyBorder="1" applyAlignment="1">
      <alignment horizontal="left" vertical="center"/>
    </xf>
    <xf numFmtId="0" fontId="0" fillId="53" borderId="79" xfId="0" applyFill="1" applyBorder="1"/>
    <xf numFmtId="170" fontId="107" fillId="53" borderId="80" xfId="0" applyNumberFormat="1" applyFont="1" applyFill="1" applyBorder="1" applyAlignment="1">
      <alignment horizontal="left" vertical="center"/>
    </xf>
    <xf numFmtId="0" fontId="0" fillId="53" borderId="81" xfId="0" applyFill="1" applyBorder="1"/>
    <xf numFmtId="170" fontId="108" fillId="53" borderId="80" xfId="0" applyNumberFormat="1" applyFont="1" applyFill="1" applyBorder="1" applyAlignment="1">
      <alignment horizontal="left" vertical="center"/>
    </xf>
    <xf numFmtId="170" fontId="109" fillId="53" borderId="80" xfId="0" applyNumberFormat="1" applyFont="1" applyFill="1" applyBorder="1" applyAlignment="1">
      <alignment horizontal="left" vertical="center"/>
    </xf>
    <xf numFmtId="0" fontId="110" fillId="53" borderId="82" xfId="0" applyFont="1" applyFill="1" applyBorder="1" applyAlignment="1">
      <alignment horizontal="left" vertical="center" wrapText="1"/>
    </xf>
    <xf numFmtId="0" fontId="0" fillId="53" borderId="83" xfId="0" applyFill="1" applyBorder="1"/>
    <xf numFmtId="0" fontId="95" fillId="49" borderId="45" xfId="0" applyFont="1" applyFill="1" applyBorder="1" applyAlignment="1">
      <alignment horizontal="left" vertical="center"/>
    </xf>
    <xf numFmtId="0" fontId="96" fillId="49" borderId="45" xfId="0" applyFont="1" applyFill="1" applyBorder="1" applyAlignment="1">
      <alignment horizontal="left" vertical="center"/>
    </xf>
    <xf numFmtId="0" fontId="97" fillId="49" borderId="45" xfId="0" applyFont="1" applyFill="1" applyBorder="1" applyAlignment="1">
      <alignment horizontal="left" vertical="center"/>
    </xf>
    <xf numFmtId="0" fontId="111" fillId="53" borderId="45" xfId="0" applyFont="1" applyFill="1" applyBorder="1" applyAlignment="1">
      <alignment horizontal="left" vertical="center" wrapText="1"/>
    </xf>
    <xf numFmtId="0" fontId="118" fillId="49" borderId="45" xfId="0" applyFont="1" applyFill="1" applyBorder="1" applyAlignment="1">
      <alignment horizontal="left" vertical="center" wrapText="1"/>
    </xf>
    <xf numFmtId="0" fontId="119" fillId="49" borderId="45" xfId="0" applyFont="1" applyFill="1" applyBorder="1" applyAlignment="1">
      <alignment horizontal="left" vertical="center" wrapText="1"/>
    </xf>
    <xf numFmtId="0" fontId="90" fillId="53" borderId="45" xfId="0" applyFont="1" applyFill="1" applyBorder="1" applyAlignment="1">
      <alignment horizontal="left" vertical="center" wrapText="1"/>
    </xf>
    <xf numFmtId="0" fontId="101" fillId="53" borderId="84" xfId="0" applyFont="1" applyFill="1" applyBorder="1" applyAlignment="1">
      <alignment horizontal="left" vertical="center" wrapText="1"/>
    </xf>
    <xf numFmtId="3" fontId="120" fillId="53" borderId="85" xfId="0" applyNumberFormat="1" applyFont="1" applyFill="1" applyBorder="1" applyAlignment="1">
      <alignment horizontal="left" vertical="center"/>
    </xf>
    <xf numFmtId="0" fontId="121" fillId="53" borderId="85" xfId="0" applyFont="1" applyFill="1" applyBorder="1" applyAlignment="1">
      <alignment horizontal="left" vertical="center"/>
    </xf>
    <xf numFmtId="3" fontId="122" fillId="53" borderId="85" xfId="0" applyNumberFormat="1" applyFont="1" applyFill="1" applyBorder="1" applyAlignment="1">
      <alignment horizontal="left" vertical="center"/>
    </xf>
    <xf numFmtId="9" fontId="123" fillId="53" borderId="85" xfId="0" applyNumberFormat="1" applyFont="1" applyFill="1" applyBorder="1" applyAlignment="1">
      <alignment horizontal="left" vertical="center"/>
    </xf>
    <xf numFmtId="9" fontId="106" fillId="49" borderId="0" xfId="0" applyNumberFormat="1" applyFont="1" applyFill="1" applyAlignment="1">
      <alignment horizontal="center" vertical="center"/>
    </xf>
    <xf numFmtId="0" fontId="19" fillId="35" borderId="0" xfId="0" applyFont="1" applyFill="1" applyAlignment="1">
      <alignment horizontal="right" vertical="center"/>
    </xf>
    <xf numFmtId="0" fontId="22" fillId="36" borderId="29" xfId="0" applyFon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0" fontId="24" fillId="0" borderId="11" xfId="0" applyFont="1" applyBorder="1" applyAlignment="1">
      <alignment horizontal="left" vertical="center" wrapText="1"/>
    </xf>
    <xf numFmtId="168" fontId="30" fillId="43" borderId="31" xfId="0" applyNumberFormat="1" applyFont="1" applyFill="1" applyBorder="1" applyAlignment="1">
      <alignment horizontal="center" vertical="center"/>
    </xf>
    <xf numFmtId="0" fontId="30" fillId="43" borderId="31" xfId="0" applyFont="1" applyFill="1" applyBorder="1" applyAlignment="1">
      <alignment horizontal="center" vertical="center"/>
    </xf>
    <xf numFmtId="168" fontId="30" fillId="42" borderId="31" xfId="0" applyNumberFormat="1" applyFont="1" applyFill="1" applyBorder="1" applyAlignment="1">
      <alignment horizontal="center" vertical="center"/>
    </xf>
    <xf numFmtId="0" fontId="30" fillId="42" borderId="31" xfId="0" applyFont="1" applyFill="1" applyBorder="1" applyAlignment="1">
      <alignment horizontal="center" vertical="center"/>
    </xf>
    <xf numFmtId="168" fontId="30" fillId="44" borderId="31" xfId="0" applyNumberFormat="1" applyFont="1" applyFill="1" applyBorder="1" applyAlignment="1">
      <alignment horizontal="center" vertical="center"/>
    </xf>
    <xf numFmtId="0" fontId="30" fillId="44" borderId="31" xfId="0" applyFont="1" applyFill="1" applyBorder="1" applyAlignment="1">
      <alignment horizontal="center" vertical="center"/>
    </xf>
    <xf numFmtId="168" fontId="30" fillId="41" borderId="31" xfId="0" applyNumberFormat="1" applyFont="1" applyFill="1" applyBorder="1" applyAlignment="1">
      <alignment horizontal="center" vertical="center"/>
    </xf>
    <xf numFmtId="0" fontId="30" fillId="41" borderId="31" xfId="0" applyFont="1" applyFill="1" applyBorder="1" applyAlignment="1">
      <alignment horizontal="center" vertical="center"/>
    </xf>
    <xf numFmtId="0" fontId="22" fillId="36" borderId="31" xfId="0" applyFont="1" applyFill="1" applyBorder="1" applyAlignment="1">
      <alignment horizontal="center" vertical="center" wrapText="1"/>
    </xf>
    <xf numFmtId="0" fontId="22" fillId="36" borderId="32" xfId="0" applyFont="1" applyFill="1" applyBorder="1" applyAlignment="1">
      <alignment horizontal="center" vertical="center" wrapText="1"/>
    </xf>
    <xf numFmtId="0" fontId="22" fillId="36" borderId="33" xfId="0" applyFont="1" applyFill="1" applyBorder="1" applyAlignment="1">
      <alignment horizontal="center" vertical="center" wrapText="1"/>
    </xf>
    <xf numFmtId="0" fontId="17" fillId="33" borderId="13" xfId="0" applyFont="1" applyFill="1" applyBorder="1" applyAlignment="1">
      <alignment horizontal="center" vertical="center" wrapText="1"/>
    </xf>
    <xf numFmtId="0" fontId="17" fillId="33" borderId="14" xfId="0" applyFont="1" applyFill="1" applyBorder="1" applyAlignment="1">
      <alignment horizontal="center" vertical="center" wrapText="1"/>
    </xf>
    <xf numFmtId="0" fontId="17" fillId="33" borderId="15" xfId="0" applyFont="1" applyFill="1" applyBorder="1" applyAlignment="1">
      <alignment horizontal="center" vertical="center" wrapText="1"/>
    </xf>
    <xf numFmtId="0" fontId="10" fillId="6" borderId="23" xfId="11" applyNumberFormat="1" applyBorder="1" applyAlignment="1">
      <alignment horizontal="center"/>
    </xf>
    <xf numFmtId="0" fontId="10" fillId="6" borderId="24" xfId="11" applyNumberFormat="1" applyBorder="1" applyAlignment="1">
      <alignment horizontal="center"/>
    </xf>
    <xf numFmtId="0" fontId="10" fillId="6" borderId="25" xfId="11" applyNumberFormat="1" applyBorder="1" applyAlignment="1">
      <alignment horizontal="center"/>
    </xf>
    <xf numFmtId="0" fontId="19" fillId="35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73" fillId="57" borderId="55" xfId="0" applyFont="1" applyFill="1" applyBorder="1" applyAlignment="1">
      <alignment horizontal="left" vertical="center" indent="1"/>
    </xf>
    <xf numFmtId="0" fontId="72" fillId="57" borderId="54" xfId="0" applyFont="1" applyFill="1" applyBorder="1"/>
    <xf numFmtId="0" fontId="72" fillId="57" borderId="53" xfId="0" applyFont="1" applyFill="1" applyBorder="1"/>
    <xf numFmtId="173" fontId="67" fillId="56" borderId="57" xfId="0" applyNumberFormat="1" applyFont="1" applyFill="1" applyBorder="1" applyAlignment="1">
      <alignment horizontal="left" vertical="center" indent="1"/>
    </xf>
    <xf numFmtId="0" fontId="0" fillId="56" borderId="58" xfId="0" applyFill="1" applyBorder="1"/>
    <xf numFmtId="0" fontId="0" fillId="56" borderId="59" xfId="0" applyFill="1" applyBorder="1"/>
    <xf numFmtId="174" fontId="69" fillId="56" borderId="63" xfId="0" applyNumberFormat="1" applyFont="1" applyFill="1" applyBorder="1" applyAlignment="1">
      <alignment horizontal="left" vertical="center" indent="1"/>
    </xf>
    <xf numFmtId="0" fontId="0" fillId="56" borderId="64" xfId="0" applyFill="1" applyBorder="1"/>
    <xf numFmtId="0" fontId="0" fillId="56" borderId="65" xfId="0" applyFill="1" applyBorder="1"/>
    <xf numFmtId="175" fontId="70" fillId="56" borderId="66" xfId="0" applyNumberFormat="1" applyFont="1" applyFill="1" applyBorder="1" applyAlignment="1">
      <alignment horizontal="left" vertical="center" indent="1"/>
    </xf>
    <xf numFmtId="0" fontId="0" fillId="56" borderId="67" xfId="0" applyFill="1" applyBorder="1"/>
    <xf numFmtId="0" fontId="0" fillId="56" borderId="68" xfId="0" applyFill="1" applyBorder="1"/>
    <xf numFmtId="175" fontId="71" fillId="56" borderId="69" xfId="0" applyNumberFormat="1" applyFont="1" applyFill="1" applyBorder="1" applyAlignment="1">
      <alignment horizontal="left" vertical="center" indent="1"/>
    </xf>
    <xf numFmtId="0" fontId="0" fillId="56" borderId="70" xfId="0" applyFill="1" applyBorder="1"/>
    <xf numFmtId="0" fontId="0" fillId="56" borderId="71" xfId="0" applyFill="1" applyBorder="1"/>
    <xf numFmtId="0" fontId="33" fillId="58" borderId="0" xfId="0" applyFont="1" applyFill="1" applyAlignment="1">
      <alignment horizontal="left" vertical="center" indent="1"/>
    </xf>
    <xf numFmtId="0" fontId="74" fillId="58" borderId="0" xfId="0" applyFont="1" applyFill="1"/>
    <xf numFmtId="0" fontId="66" fillId="56" borderId="52" xfId="0" applyFont="1" applyFill="1" applyBorder="1" applyAlignment="1">
      <alignment horizontal="left" vertical="center" indent="1"/>
    </xf>
    <xf numFmtId="0" fontId="0" fillId="56" borderId="51" xfId="0" applyFill="1" applyBorder="1"/>
    <xf numFmtId="0" fontId="0" fillId="56" borderId="50" xfId="0" applyFill="1" applyBorder="1"/>
    <xf numFmtId="0" fontId="33" fillId="45" borderId="0" xfId="0" applyFont="1" applyFill="1" applyAlignment="1">
      <alignment horizontal="left" vertical="center"/>
    </xf>
    <xf numFmtId="0" fontId="76" fillId="45" borderId="0" xfId="0" applyFont="1" applyFill="1" applyAlignment="1">
      <alignment horizontal="left" vertical="center"/>
    </xf>
    <xf numFmtId="0" fontId="34" fillId="45" borderId="0" xfId="0" applyFont="1" applyFill="1" applyAlignment="1">
      <alignment horizontal="right" vertical="center"/>
    </xf>
    <xf numFmtId="0" fontId="35" fillId="45" borderId="0" xfId="0" applyFont="1" applyFill="1" applyAlignment="1">
      <alignment horizontal="left" vertical="center"/>
    </xf>
    <xf numFmtId="0" fontId="36" fillId="49" borderId="0" xfId="0" applyFont="1" applyFill="1" applyAlignment="1">
      <alignment horizontal="left" vertical="center" indent="1"/>
    </xf>
    <xf numFmtId="169" fontId="39" fillId="49" borderId="0" xfId="0" applyNumberFormat="1" applyFont="1" applyFill="1" applyAlignment="1">
      <alignment horizontal="left" vertical="center" indent="1"/>
    </xf>
    <xf numFmtId="169" fontId="40" fillId="49" borderId="0" xfId="0" applyNumberFormat="1" applyFont="1" applyFill="1" applyAlignment="1">
      <alignment horizontal="left" vertical="center" indent="1"/>
    </xf>
    <xf numFmtId="170" fontId="41" fillId="49" borderId="0" xfId="0" applyNumberFormat="1" applyFont="1" applyFill="1" applyAlignment="1">
      <alignment horizontal="left" vertical="center" indent="1"/>
    </xf>
    <xf numFmtId="3" fontId="42" fillId="49" borderId="0" xfId="0" applyNumberFormat="1" applyFont="1" applyFill="1" applyAlignment="1">
      <alignment horizontal="left" vertical="center" indent="1"/>
    </xf>
    <xf numFmtId="0" fontId="31" fillId="45" borderId="0" xfId="0" applyFont="1" applyFill="1" applyAlignment="1">
      <alignment horizontal="left" vertical="center"/>
    </xf>
    <xf numFmtId="0" fontId="32" fillId="45" borderId="0" xfId="0" applyFont="1" applyFill="1" applyAlignment="1">
      <alignment horizontal="right" vertical="center"/>
    </xf>
    <xf numFmtId="171" fontId="45" fillId="49" borderId="0" xfId="0" applyNumberFormat="1" applyFont="1" applyFill="1" applyAlignment="1">
      <alignment horizontal="right" vertical="center"/>
    </xf>
    <xf numFmtId="172" fontId="45" fillId="49" borderId="0" xfId="0" applyNumberFormat="1" applyFont="1" applyFill="1" applyAlignment="1">
      <alignment horizontal="right" vertical="center" indent="1"/>
    </xf>
    <xf numFmtId="0" fontId="46" fillId="49" borderId="0" xfId="0" applyFont="1" applyFill="1" applyAlignment="1">
      <alignment horizontal="left" vertical="center"/>
    </xf>
    <xf numFmtId="171" fontId="48" fillId="49" borderId="0" xfId="0" applyNumberFormat="1" applyFont="1" applyFill="1" applyAlignment="1">
      <alignment horizontal="right" vertical="center"/>
    </xf>
    <xf numFmtId="172" fontId="48" fillId="49" borderId="0" xfId="0" applyNumberFormat="1" applyFont="1" applyFill="1" applyAlignment="1">
      <alignment horizontal="right" vertical="center" indent="1"/>
    </xf>
    <xf numFmtId="171" fontId="50" fillId="49" borderId="0" xfId="0" applyNumberFormat="1" applyFont="1" applyFill="1" applyAlignment="1">
      <alignment horizontal="right" vertical="center"/>
    </xf>
    <xf numFmtId="172" fontId="50" fillId="49" borderId="0" xfId="0" applyNumberFormat="1" applyFont="1" applyFill="1" applyAlignment="1">
      <alignment horizontal="right" vertical="center" indent="1"/>
    </xf>
    <xf numFmtId="3" fontId="51" fillId="49" borderId="0" xfId="0" applyNumberFormat="1" applyFont="1" applyFill="1" applyAlignment="1">
      <alignment horizontal="center" vertical="center"/>
    </xf>
    <xf numFmtId="0" fontId="43" fillId="49" borderId="0" xfId="0" applyFont="1" applyFill="1" applyAlignment="1">
      <alignment horizontal="left" vertical="center"/>
    </xf>
    <xf numFmtId="0" fontId="33" fillId="47" borderId="0" xfId="0" applyFont="1" applyFill="1" applyAlignment="1">
      <alignment horizontal="left" vertical="center"/>
    </xf>
    <xf numFmtId="171" fontId="47" fillId="49" borderId="46" xfId="0" applyNumberFormat="1" applyFont="1" applyFill="1" applyBorder="1" applyAlignment="1">
      <alignment horizontal="right" vertical="center"/>
    </xf>
    <xf numFmtId="172" fontId="47" fillId="49" borderId="46" xfId="0" applyNumberFormat="1" applyFont="1" applyFill="1" applyBorder="1" applyAlignment="1">
      <alignment horizontal="right" vertical="center" indent="1"/>
    </xf>
    <xf numFmtId="3" fontId="55" fillId="49" borderId="0" xfId="0" applyNumberFormat="1" applyFont="1" applyFill="1" applyAlignment="1">
      <alignment horizontal="center" vertical="center"/>
    </xf>
    <xf numFmtId="0" fontId="56" fillId="53" borderId="0" xfId="0" applyFont="1" applyFill="1" applyAlignment="1">
      <alignment horizontal="left" vertical="center"/>
    </xf>
    <xf numFmtId="0" fontId="44" fillId="49" borderId="0" xfId="0" applyFont="1" applyFill="1" applyAlignment="1">
      <alignment horizontal="center" vertical="center"/>
    </xf>
    <xf numFmtId="0" fontId="57" fillId="53" borderId="0" xfId="0" applyFont="1" applyFill="1" applyAlignment="1">
      <alignment horizontal="left" vertical="center" wrapText="1" indent="1"/>
    </xf>
    <xf numFmtId="0" fontId="54" fillId="49" borderId="0" xfId="0" applyFont="1" applyFill="1" applyAlignment="1">
      <alignment horizontal="center" vertical="center"/>
    </xf>
    <xf numFmtId="0" fontId="33" fillId="47" borderId="47" xfId="0" applyFont="1" applyFill="1" applyBorder="1" applyAlignment="1">
      <alignment horizontal="left" vertical="center"/>
    </xf>
    <xf numFmtId="0" fontId="78" fillId="49" borderId="45" xfId="0" applyFont="1" applyFill="1" applyBorder="1" applyAlignment="1">
      <alignment horizontal="left" vertical="center" indent="1"/>
    </xf>
    <xf numFmtId="0" fontId="80" fillId="49" borderId="0" xfId="0" applyFont="1" applyFill="1" applyAlignment="1">
      <alignment horizontal="left" vertical="center" indent="1"/>
    </xf>
    <xf numFmtId="0" fontId="82" fillId="49" borderId="0" xfId="0" applyFont="1" applyFill="1" applyAlignment="1">
      <alignment horizontal="left" vertical="center" indent="1"/>
    </xf>
    <xf numFmtId="0" fontId="58" fillId="53" borderId="0" xfId="0" applyFont="1" applyFill="1" applyAlignment="1">
      <alignment horizontal="left" vertical="center" wrapText="1" indent="1"/>
    </xf>
    <xf numFmtId="170" fontId="59" fillId="49" borderId="0" xfId="0" applyNumberFormat="1" applyFont="1" applyFill="1" applyAlignment="1">
      <alignment horizontal="center" vertical="center"/>
    </xf>
    <xf numFmtId="0" fontId="60" fillId="53" borderId="0" xfId="0" applyFont="1" applyFill="1" applyAlignment="1">
      <alignment horizontal="left" vertical="center" wrapText="1" indent="1"/>
    </xf>
    <xf numFmtId="0" fontId="34" fillId="45" borderId="0" xfId="0" applyFont="1" applyFill="1" applyAlignment="1">
      <alignment horizontal="left" vertical="center"/>
    </xf>
    <xf numFmtId="0" fontId="83" fillId="49" borderId="46" xfId="0" applyFont="1" applyFill="1" applyBorder="1" applyAlignment="1">
      <alignment horizontal="left" vertical="center" indent="1"/>
    </xf>
    <xf numFmtId="0" fontId="44" fillId="49" borderId="45" xfId="0" applyFont="1" applyFill="1" applyBorder="1" applyAlignment="1">
      <alignment horizontal="left" vertical="center"/>
    </xf>
    <xf numFmtId="0" fontId="77" fillId="49" borderId="0" xfId="0" applyFont="1" applyFill="1" applyAlignment="1">
      <alignment horizontal="left" vertical="center"/>
    </xf>
    <xf numFmtId="0" fontId="77" fillId="53" borderId="0" xfId="0" applyFont="1" applyFill="1" applyAlignment="1">
      <alignment horizontal="left" vertical="center" wrapText="1" indent="1"/>
    </xf>
    <xf numFmtId="0" fontId="56" fillId="53" borderId="47" xfId="0" applyFont="1" applyFill="1" applyBorder="1" applyAlignment="1">
      <alignment horizontal="left" vertical="center"/>
    </xf>
    <xf numFmtId="0" fontId="58" fillId="53" borderId="0" xfId="0" applyFont="1" applyFill="1" applyAlignment="1">
      <alignment horizontal="left" vertical="center" indent="1"/>
    </xf>
    <xf numFmtId="0" fontId="60" fillId="53" borderId="0" xfId="0" applyFont="1" applyFill="1" applyAlignment="1">
      <alignment horizontal="left" vertical="center" indent="1"/>
    </xf>
    <xf numFmtId="0" fontId="77" fillId="53" borderId="47" xfId="0" applyFont="1" applyFill="1" applyBorder="1" applyAlignment="1">
      <alignment horizontal="left" vertical="center" wrapText="1" indent="1"/>
    </xf>
    <xf numFmtId="0" fontId="84" fillId="59" borderId="0" xfId="0" applyFont="1" applyFill="1" applyAlignment="1">
      <alignment horizontal="left" vertical="center"/>
    </xf>
    <xf numFmtId="0" fontId="89" fillId="49" borderId="45" xfId="0" applyFont="1" applyFill="1" applyBorder="1" applyAlignment="1">
      <alignment horizontal="left" vertical="center" wrapText="1"/>
    </xf>
    <xf numFmtId="0" fontId="89" fillId="49" borderId="0" xfId="0" applyFont="1" applyFill="1" applyAlignment="1">
      <alignment horizontal="left" vertical="center" wrapText="1"/>
    </xf>
    <xf numFmtId="0" fontId="94" fillId="49" borderId="0" xfId="0" applyFont="1" applyFill="1" applyAlignment="1">
      <alignment horizontal="left" vertical="center"/>
    </xf>
    <xf numFmtId="0" fontId="87" fillId="47" borderId="0" xfId="0" applyFont="1" applyFill="1" applyAlignment="1">
      <alignment horizontal="left" vertical="center"/>
    </xf>
    <xf numFmtId="0" fontId="90" fillId="53" borderId="0" xfId="0" applyFont="1" applyFill="1" applyAlignment="1">
      <alignment horizontal="left" vertical="center"/>
    </xf>
    <xf numFmtId="0" fontId="101" fillId="49" borderId="0" xfId="0" applyFont="1" applyFill="1" applyAlignment="1">
      <alignment horizontal="left" vertical="center"/>
    </xf>
    <xf numFmtId="49" fontId="102" fillId="53" borderId="0" xfId="0" applyNumberFormat="1" applyFont="1" applyFill="1" applyAlignment="1">
      <alignment horizontal="left" vertical="center"/>
    </xf>
    <xf numFmtId="0" fontId="85" fillId="45" borderId="0" xfId="0" applyFont="1" applyFill="1" applyAlignment="1">
      <alignment horizontal="left" vertical="center"/>
    </xf>
    <xf numFmtId="0" fontId="86" fillId="45" borderId="0" xfId="0" applyFont="1" applyFill="1" applyAlignment="1">
      <alignment horizontal="left" vertical="center"/>
    </xf>
    <xf numFmtId="0" fontId="117" fillId="53" borderId="0" xfId="0" applyFont="1" applyFill="1" applyAlignment="1">
      <alignment horizontal="left" vertical="center" wrapText="1"/>
    </xf>
    <xf numFmtId="0" fontId="117" fillId="53" borderId="0" xfId="0" applyFont="1" applyFill="1" applyAlignment="1">
      <alignment horizontal="left" vertical="center"/>
    </xf>
    <xf numFmtId="0" fontId="116" fillId="53" borderId="87" xfId="0" applyFont="1" applyFill="1" applyBorder="1" applyAlignment="1">
      <alignment horizontal="left" vertical="center" wrapText="1"/>
    </xf>
    <xf numFmtId="0" fontId="100" fillId="53" borderId="0" xfId="0" applyFont="1" applyFill="1" applyAlignment="1">
      <alignment horizontal="left" vertical="center"/>
    </xf>
    <xf numFmtId="0" fontId="100" fillId="53" borderId="86" xfId="0" applyFont="1" applyFill="1" applyBorder="1" applyAlignment="1">
      <alignment horizontal="left" vertical="center"/>
    </xf>
    <xf numFmtId="0" fontId="100" fillId="53" borderId="87" xfId="0" applyFont="1" applyFill="1" applyBorder="1" applyAlignment="1">
      <alignment horizontal="left" vertical="center"/>
    </xf>
    <xf numFmtId="0" fontId="100" fillId="53" borderId="88" xfId="0" applyFont="1" applyFill="1" applyBorder="1" applyAlignment="1">
      <alignment horizontal="left" vertical="center"/>
    </xf>
    <xf numFmtId="0" fontId="96" fillId="53" borderId="86" xfId="0" applyFont="1" applyFill="1" applyBorder="1" applyAlignment="1">
      <alignment horizontal="left" vertical="center"/>
    </xf>
    <xf numFmtId="0" fontId="96" fillId="53" borderId="87" xfId="0" applyFont="1" applyFill="1" applyBorder="1" applyAlignment="1">
      <alignment horizontal="left" vertical="center"/>
    </xf>
    <xf numFmtId="0" fontId="96" fillId="53" borderId="88" xfId="0" applyFont="1" applyFill="1" applyBorder="1" applyAlignment="1">
      <alignment horizontal="left" vertical="center"/>
    </xf>
    <xf numFmtId="170" fontId="114" fillId="53" borderId="89" xfId="0" applyNumberFormat="1" applyFont="1" applyFill="1" applyBorder="1" applyAlignment="1">
      <alignment horizontal="left" vertical="center"/>
    </xf>
    <xf numFmtId="170" fontId="114" fillId="53" borderId="90" xfId="0" applyNumberFormat="1" applyFont="1" applyFill="1" applyBorder="1" applyAlignment="1">
      <alignment horizontal="left" vertical="center"/>
    </xf>
    <xf numFmtId="0" fontId="89" fillId="53" borderId="90" xfId="0" applyFont="1" applyFill="1" applyBorder="1" applyAlignment="1">
      <alignment horizontal="left" vertical="center" wrapText="1"/>
    </xf>
    <xf numFmtId="0" fontId="89" fillId="53" borderId="91" xfId="0" applyFont="1" applyFill="1" applyBorder="1" applyAlignment="1">
      <alignment horizontal="left" vertical="center" wrapText="1"/>
    </xf>
    <xf numFmtId="170" fontId="115" fillId="53" borderId="89" xfId="0" applyNumberFormat="1" applyFont="1" applyFill="1" applyBorder="1" applyAlignment="1">
      <alignment horizontal="left" vertical="center"/>
    </xf>
    <xf numFmtId="170" fontId="115" fillId="53" borderId="90" xfId="0" applyNumberFormat="1" applyFont="1" applyFill="1" applyBorder="1" applyAlignment="1">
      <alignment horizontal="left" vertical="center"/>
    </xf>
    <xf numFmtId="170" fontId="111" fillId="49" borderId="45" xfId="0" applyNumberFormat="1" applyFont="1" applyFill="1" applyBorder="1" applyAlignment="1">
      <alignment horizontal="center" vertical="center"/>
    </xf>
    <xf numFmtId="176" fontId="104" fillId="49" borderId="45" xfId="0" applyNumberFormat="1" applyFont="1" applyFill="1" applyBorder="1" applyAlignment="1">
      <alignment horizontal="center" vertical="center"/>
    </xf>
    <xf numFmtId="176" fontId="113" fillId="49" borderId="45" xfId="0" applyNumberFormat="1" applyFont="1" applyFill="1" applyBorder="1" applyAlignment="1">
      <alignment horizontal="center" vertical="center"/>
    </xf>
    <xf numFmtId="0" fontId="112" fillId="49" borderId="45" xfId="0" applyFont="1" applyFill="1" applyBorder="1" applyAlignment="1">
      <alignment horizontal="center" vertical="center"/>
    </xf>
    <xf numFmtId="0" fontId="84" fillId="59" borderId="0" xfId="0" applyFont="1" applyFill="1" applyAlignment="1">
      <alignment horizontal="center" vertical="center"/>
    </xf>
    <xf numFmtId="0" fontId="116" fillId="49" borderId="0" xfId="0" applyFont="1" applyFill="1" applyAlignment="1">
      <alignment horizontal="left" vertical="center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E64C2B35-6E4F-4788-8324-192288F2CCB6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86">
    <dxf>
      <font>
        <b/>
        <sz val="10"/>
        <color rgb="FFFFFFFF"/>
        <name val="Calibri"/>
        <charset val="1"/>
      </font>
      <fill>
        <patternFill>
          <bgColor rgb="FFEF4444"/>
        </patternFill>
      </fill>
    </dxf>
    <dxf>
      <font>
        <b/>
        <sz val="10"/>
        <color rgb="FFFFFFFF"/>
        <name val="Calibri"/>
        <charset val="1"/>
      </font>
      <fill>
        <patternFill>
          <bgColor rgb="FFF59E0B"/>
        </patternFill>
      </fill>
    </dxf>
    <dxf>
      <font>
        <b/>
        <sz val="10"/>
        <color rgb="FFFFFFFF"/>
        <name val="Calibri"/>
        <charset val="1"/>
      </font>
      <fill>
        <patternFill>
          <bgColor rgb="FF10B981"/>
        </patternFill>
      </fill>
    </dxf>
    <dxf>
      <font>
        <color rgb="FF006100"/>
      </font>
      <fill>
        <gradientFill type="path" left="0.5" right="0.5" top="0.5" bottom="0.5">
          <stop position="0">
            <color theme="0"/>
          </stop>
          <stop position="1">
            <color rgb="FFC6EFCE"/>
          </stop>
        </gradientFill>
      </fill>
    </dxf>
    <dxf>
      <font>
        <color rgb="FF006100"/>
      </font>
      <fill>
        <gradientFill type="path" left="0.5" right="0.5" top="0.5" bottom="0.5">
          <stop position="0">
            <color theme="0"/>
          </stop>
          <stop position="1">
            <color rgb="FFC6EFCE"/>
          </stop>
        </gradientFill>
      </fill>
    </dxf>
    <dxf>
      <font>
        <color rgb="FF9C5700"/>
      </font>
      <fill>
        <gradientFill type="path" left="0.5" right="0.5" top="0.5" bottom="0.5">
          <stop position="0">
            <color theme="0"/>
          </stop>
          <stop position="1">
            <color rgb="FFFFEB9C"/>
          </stop>
        </gradientFill>
      </fill>
    </dxf>
    <dxf>
      <font>
        <color rgb="FF9C0006"/>
      </font>
      <fill>
        <gradientFill type="path" left="0.5" right="0.5" top="0.5" bottom="0.5">
          <stop position="0">
            <color theme="0"/>
          </stop>
          <stop position="1">
            <color rgb="FFFFC7CE"/>
          </stop>
        </gradientFill>
      </fill>
    </dxf>
    <dxf>
      <font>
        <color rgb="FF9C0006"/>
      </font>
      <fill>
        <gradientFill type="path" left="0.5" right="0.5" top="0.5" bottom="0.5">
          <stop position="0">
            <color theme="0"/>
          </stop>
          <stop position="1">
            <color rgb="FFFFC7CE"/>
          </stop>
        </gradientFill>
      </fill>
    </dxf>
    <dxf>
      <font>
        <b/>
        <sz val="10"/>
        <color rgb="FF9C5700"/>
        <name val="Calibri"/>
        <charset val="1"/>
      </font>
      <fill>
        <patternFill>
          <bgColor rgb="FFFFEB9C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color rgb="FF9C5700"/>
      </font>
      <fill>
        <gradientFill type="path" left="0.5" right="0.5" top="0.5" bottom="0.5">
          <stop position="0">
            <color theme="0"/>
          </stop>
          <stop position="1">
            <color rgb="FFFFEB9C"/>
          </stop>
        </gradientFill>
      </fill>
    </dxf>
    <dxf>
      <font>
        <color rgb="FF9C0006"/>
      </font>
      <fill>
        <gradientFill type="path" left="0.5" right="0.5" top="0.5" bottom="0.5">
          <stop position="0">
            <color theme="0"/>
          </stop>
          <stop position="1">
            <color rgb="FFFFC7CE"/>
          </stop>
        </gradientFill>
      </fill>
    </dxf>
    <dxf>
      <font>
        <color rgb="FF9C0006"/>
      </font>
      <fill>
        <gradientFill type="path" left="0.5" right="0.5" top="0.5" bottom="0.5">
          <stop position="0">
            <color theme="0"/>
          </stop>
          <stop position="1">
            <color rgb="FFFFC7CE"/>
          </stop>
        </gradientFill>
      </fill>
    </dxf>
    <dxf>
      <font>
        <color rgb="FF006100"/>
      </font>
      <fill>
        <gradientFill type="path" left="0.5" right="0.5" top="0.5" bottom="0.5">
          <stop position="0">
            <color theme="0"/>
          </stop>
          <stop position="1">
            <color rgb="FFC6EFCE"/>
          </stop>
        </gradientFill>
      </fill>
    </dxf>
    <dxf>
      <font>
        <color rgb="FF006100"/>
      </font>
      <fill>
        <gradientFill type="path" left="0.5" right="0.5" top="0.5" bottom="0.5">
          <stop position="0">
            <color theme="0"/>
          </stop>
          <stop position="1">
            <color rgb="FFC6EFCE"/>
          </stop>
        </gradientFill>
      </fill>
    </dxf>
    <dxf>
      <font>
        <color rgb="FF006100"/>
      </font>
      <fill>
        <gradientFill type="path" left="0.5" right="0.5" top="0.5" bottom="0.5">
          <stop position="0">
            <color theme="0"/>
          </stop>
          <stop position="1">
            <color rgb="FFC6EFCE"/>
          </stop>
        </gradientFill>
      </fill>
    </dxf>
    <dxf>
      <font>
        <color rgb="FF9C5700"/>
      </font>
      <fill>
        <gradientFill type="path" left="0.5" right="0.5" top="0.5" bottom="0.5">
          <stop position="0">
            <color theme="0"/>
          </stop>
          <stop position="1">
            <color rgb="FFFFEB9C"/>
          </stop>
        </gradientFill>
      </fill>
    </dxf>
    <dxf>
      <font>
        <color rgb="FF9C0006"/>
      </font>
      <fill>
        <gradientFill type="path" left="0.5" right="0.5" top="0.5" bottom="0.5">
          <stop position="0">
            <color theme="0"/>
          </stop>
          <stop position="1">
            <color rgb="FFFFC7CE"/>
          </stop>
        </gradientFill>
      </fill>
    </dxf>
    <dxf>
      <font>
        <color rgb="FF9C0006"/>
      </font>
      <fill>
        <patternFill>
          <bgColor rgb="FFE9B9CB"/>
        </patternFill>
      </fill>
    </dxf>
    <dxf>
      <font>
        <color rgb="FF006100"/>
      </font>
      <fill>
        <patternFill patternType="solid">
          <fgColor auto="1"/>
          <bgColor theme="9" tint="0.79998168889431442"/>
        </patternFill>
      </fill>
    </dxf>
    <dxf>
      <font>
        <color rgb="FF0061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E9B9CB"/>
        </patternFill>
      </fill>
    </dxf>
    <dxf>
      <font>
        <b/>
      </font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14" formatCode="0.00%"/>
    </dxf>
    <dxf>
      <numFmt numFmtId="0" formatCode="General"/>
      <alignment horizontal="center" textRotation="0" indent="0" justifyLastLine="0" shrinkToFit="0" readingOrder="0"/>
    </dxf>
    <dxf>
      <numFmt numFmtId="14" formatCode="0.00%"/>
    </dxf>
    <dxf>
      <numFmt numFmtId="0" formatCode="General"/>
      <alignment horizontal="center" textRotation="0" indent="0" justifyLastLine="0" shrinkToFit="0" readingOrder="0"/>
    </dxf>
    <dxf>
      <numFmt numFmtId="14" formatCode="0.00%"/>
    </dxf>
    <dxf>
      <numFmt numFmtId="0" formatCode="General"/>
      <alignment horizontal="center" textRotation="0" indent="0" justifyLastLine="0" shrinkToFit="0" readingOrder="0"/>
    </dxf>
    <dxf>
      <numFmt numFmtId="14" formatCode="0.00%"/>
    </dxf>
    <dxf>
      <numFmt numFmtId="0" formatCode="General"/>
    </dxf>
    <dxf>
      <numFmt numFmtId="0" formatCode="General"/>
      <alignment horizontal="right" textRotation="0" indent="0" justifyLastLine="0" shrinkToFit="0" readingOrder="0"/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E4DFEC"/>
          <bgColor rgb="FFD9D9D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[$R$-416]\ #,##0.00;[Red]\-[$R$-416]\ #,##0.00"/>
      <alignment horizontal="general" vertical="bottom" textRotation="0" wrapText="0" indent="0" justifyLastLine="0" shrinkToFit="0" readingOrder="0"/>
    </dxf>
    <dxf>
      <numFmt numFmtId="14" formatCode="0.00%"/>
      <alignment horizontal="general" vertical="bottom" textRotation="0" wrapText="0" indent="0" justifyLastLine="0" shrinkToFit="0" readingOrder="0"/>
    </dxf>
    <dxf>
      <numFmt numFmtId="14" formatCode="0.00%"/>
      <alignment horizontal="general" vertical="bottom" textRotation="0" wrapText="0" indent="0" justifyLastLine="0" shrinkToFit="0" readingOrder="0"/>
    </dxf>
    <dxf>
      <numFmt numFmtId="164" formatCode="[$R$-416]\ #,##0.00;[Red]\-[$R$-416]\ #,##0.00"/>
      <alignment horizontal="general" vertical="bottom" textRotation="0" wrapText="0" indent="0" justifyLastLine="0" shrinkToFit="0" readingOrder="0"/>
    </dxf>
    <dxf>
      <numFmt numFmtId="164" formatCode="[$R$-416]\ #,##0.00;[Red]\-[$R$-416]\ #,##0.00"/>
      <alignment horizontal="general" vertical="bottom" textRotation="0" wrapText="0" indent="0" justifyLastLine="0" shrinkToFit="0" readingOrder="0"/>
    </dxf>
    <dxf>
      <numFmt numFmtId="164" formatCode="[$R$-416]\ #,##0.00;[Red]\-[$R$-416]\ #,##0.00"/>
      <alignment horizontal="general" vertical="bottom" textRotation="0" wrapText="0" indent="0" justifyLastLine="0" shrinkToFit="0" readingOrder="0"/>
    </dxf>
    <dxf>
      <numFmt numFmtId="164" formatCode="[$R$-416]\ #,##0.00;[Red]\-[$R$-416]\ #,##0.00"/>
      <alignment horizontal="general" vertical="bottom" textRotation="0" wrapText="0" indent="0" justifyLastLine="0" shrinkToFit="0" readingOrder="0"/>
    </dxf>
    <dxf>
      <numFmt numFmtId="164" formatCode="[$R$-416]\ #,##0.00;[Red]\-[$R$-416]\ #,##0.00"/>
      <alignment horizontal="general" vertical="bottom" textRotation="0" wrapText="0" indent="0" justifyLastLine="0" shrinkToFit="0" readingOrder="0"/>
    </dxf>
    <dxf>
      <numFmt numFmtId="164" formatCode="[$R$-416]\ #,##0.00;[Red]\-[$R$-416]\ #,##0.00"/>
      <alignment horizontal="general" vertical="bottom" textRotation="0" wrapText="0" indent="0" justifyLastLine="0" shrinkToFit="0" readingOrder="0"/>
    </dxf>
    <dxf>
      <numFmt numFmtId="30" formatCode="@"/>
    </dxf>
    <dxf>
      <numFmt numFmtId="2" formatCode="0.0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</dxf>
    <dxf>
      <numFmt numFmtId="14" formatCode="0.00%"/>
    </dxf>
    <dxf>
      <numFmt numFmtId="164" formatCode="[$R$-416]\ #,##0.00;[Red]\-[$R$-416]\ #,##0.00"/>
    </dxf>
    <dxf>
      <numFmt numFmtId="164" formatCode="[$R$-416]\ #,##0.00;[Red]\-[$R$-416]\ #,##0.00"/>
    </dxf>
    <dxf>
      <numFmt numFmtId="164" formatCode="[$R$-416]\ #,##0.00;[Red]\-[$R$-416]\ #,##0.00"/>
    </dxf>
    <dxf>
      <numFmt numFmtId="164" formatCode="[$R$-416]\ #,##0.00;[Red]\-[$R$-416]\ #,##0.00"/>
    </dxf>
    <dxf>
      <numFmt numFmtId="164" formatCode="[$R$-416]\ #,##0.00;[Red]\-[$R$-416]\ #,##0.00"/>
    </dxf>
    <dxf>
      <numFmt numFmtId="164" formatCode="[$R$-416]\ #,##0.00;[Red]\-[$R$-416]\ #,##0.00"/>
    </dxf>
    <dxf>
      <numFmt numFmtId="164" formatCode="[$R$-416]\ #,##0.00;[Red]\-[$R$-416]\ #,##0.00"/>
    </dxf>
    <dxf>
      <numFmt numFmtId="164" formatCode="[$R$-416]\ #,##0.00;[Red]\-[$R$-416]\ #,##0.0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" formatCode="#,##0"/>
      <alignment horizontal="center" vertical="bottom" textRotation="0" wrapText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  <border diagonalUp="0" diagonalDown="0">
        <right style="mediumDashed">
          <color indexed="64"/>
        </right>
        <vertical/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4" formatCode="0.00%"/>
    </dxf>
    <dxf>
      <numFmt numFmtId="14" formatCode="0.00%"/>
    </dxf>
    <dxf>
      <numFmt numFmtId="164" formatCode="[$R$-416]\ #,##0.00;[Red]\-[$R$-416]\ #,##0.00"/>
    </dxf>
    <dxf>
      <numFmt numFmtId="0" formatCode="General"/>
      <alignment horizontal="center" textRotation="0" indent="0" justifyLastLine="0" shrinkToFit="0" readingOrder="0"/>
      <border diagonalUp="0" diagonalDown="0">
        <right style="mediumDashed">
          <color indexed="64"/>
        </right>
        <vertical/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4" formatCode="0.00%"/>
    </dxf>
    <dxf>
      <numFmt numFmtId="14" formatCode="0.00%"/>
    </dxf>
    <dxf>
      <numFmt numFmtId="164" formatCode="[$R$-416]\ #,##0.00;[Red]\-[$R$-416]\ #,##0.00"/>
    </dxf>
    <dxf>
      <numFmt numFmtId="0" formatCode="General"/>
      <alignment horizontal="center" textRotation="0" indent="0" justifyLastLine="0" shrinkToFit="0" readingOrder="0"/>
      <border diagonalUp="0" diagonalDown="0">
        <right style="mediumDashed">
          <color indexed="64"/>
        </right>
        <vertical/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4" formatCode="0.00%"/>
    </dxf>
    <dxf>
      <numFmt numFmtId="14" formatCode="0.00%"/>
    </dxf>
    <dxf>
      <numFmt numFmtId="164" formatCode="[$R$-416]\ #,##0.00;[Red]\-[$R$-416]\ #,##0.00"/>
    </dxf>
    <dxf>
      <numFmt numFmtId="0" formatCode="General"/>
      <alignment horizontal="center" textRotation="0" indent="0" justifyLastLine="0" shrinkToFit="0" readingOrder="0"/>
      <border diagonalUp="0" diagonalDown="0">
        <right style="mediumDashed">
          <color indexed="64"/>
        </right>
        <vertical/>
      </border>
    </dxf>
    <dxf>
      <numFmt numFmtId="14" formatCode="0.00%"/>
    </dxf>
    <dxf>
      <numFmt numFmtId="164" formatCode="[$R$-416]\ #,##0.00;[Red]\-[$R$-416]\ #,##0.00"/>
    </dxf>
    <dxf>
      <numFmt numFmtId="0" formatCode="General"/>
    </dxf>
    <dxf>
      <numFmt numFmtId="0" formatCode="General"/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D9D9D9"/>
          <bgColor rgb="FFE4DFE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mruColors>
      <color rgb="FF9C0006"/>
      <color rgb="FF9C5700"/>
      <color rgb="FF855A4D"/>
      <color rgb="FF8F6043"/>
      <color rgb="FFFFC7CE"/>
      <color rgb="FFFFEB9C"/>
      <color rgb="FFC6EFCE"/>
      <color rgb="FF006100"/>
      <color rgb="FFD9D9D9"/>
      <color rgb="FFE9B9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D19-440F-93D5-D55868AC0C91}"/>
              </c:ext>
            </c:extLst>
          </c:dPt>
          <c:dPt>
            <c:idx val="1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D19-440F-93D5-D55868AC0C91}"/>
              </c:ext>
            </c:extLst>
          </c:dPt>
          <c:dPt>
            <c:idx val="2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D19-440F-93D5-D55868AC0C9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19-440F-93D5-D55868AC0C9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19-440F-93D5-D55868AC0C9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19-440F-93D5-D55868AC0C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●  SCALE</c:v>
              </c:pt>
              <c:pt idx="1">
                <c:v>●  OPTIMIZE</c:v>
              </c:pt>
              <c:pt idx="2">
                <c:v>●  EXIT</c:v>
              </c:pt>
            </c:strLit>
          </c:cat>
          <c:val>
            <c:numLit>
              <c:formatCode>General</c:formatCode>
              <c:ptCount val="3"/>
              <c:pt idx="0">
                <c:v>215</c:v>
              </c:pt>
              <c:pt idx="1">
                <c:v>138</c:v>
              </c:pt>
              <c:pt idx="2">
                <c:v>46</c:v>
              </c:pt>
            </c:numLit>
          </c:val>
          <c:extLst>
            <c:ext xmlns:c16="http://schemas.microsoft.com/office/drawing/2014/chart" uri="{C3380CC4-5D6E-409C-BE32-E72D297353CC}">
              <c16:uniqueId val="{00000006-8D19-440F-93D5-D55868AC0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Avg Margin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E40A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77F-4EEB-9942-E9E8D5731F7A}"/>
              </c:ext>
            </c:extLst>
          </c:dPt>
          <c:dPt>
            <c:idx val="1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77F-4EEB-9942-E9E8D5731F7A}"/>
              </c:ext>
            </c:extLst>
          </c:dPt>
          <c:dPt>
            <c:idx val="2"/>
            <c:invertIfNegative val="0"/>
            <c:bubble3D val="0"/>
            <c:spPr>
              <a:solidFill>
                <a:srgbClr val="0284C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77F-4EEB-9942-E9E8D5731F7A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77F-4EEB-9942-E9E8D5731F7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7F-4EEB-9942-E9E8D5731F7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7F-4EEB-9942-E9E8D5731F7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7F-4EEB-9942-E9E8D5731F7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7F-4EEB-9942-E9E8D5731F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4"/>
              <c:pt idx="0">
                <c:v>Baseline</c:v>
              </c:pt>
              <c:pt idx="1">
                <c:v>Scenario A</c:v>
              </c:pt>
              <c:pt idx="2">
                <c:v>Scenario B</c:v>
              </c:pt>
              <c:pt idx="3">
                <c:v>Scenario C</c:v>
              </c:pt>
            </c:strLit>
          </c:cat>
          <c:val>
            <c:numLit>
              <c:formatCode>General</c:formatCode>
              <c:ptCount val="4"/>
              <c:pt idx="0">
                <c:v>0.36692833910067901</c:v>
              </c:pt>
              <c:pt idx="1">
                <c:v>0.32040452594190999</c:v>
              </c:pt>
              <c:pt idx="2">
                <c:v>0.36464484687749599</c:v>
              </c:pt>
              <c:pt idx="3">
                <c:v>0.33360877800071498</c:v>
              </c:pt>
            </c:numLit>
          </c:val>
          <c:extLst>
            <c:ext xmlns:c16="http://schemas.microsoft.com/office/drawing/2014/chart" uri="{C3380CC4-5D6E-409C-BE32-E72D297353CC}">
              <c16:uniqueId val="{00000008-777F-4EEB-9942-E9E8D5731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16317"/>
        <c:axId val="89464343"/>
      </c:barChart>
      <c:catAx>
        <c:axId val="430163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9464343"/>
        <c:crosses val="autoZero"/>
        <c:auto val="1"/>
        <c:lblAlgn val="ctr"/>
        <c:lblOffset val="100"/>
        <c:noMultiLvlLbl val="0"/>
      </c:catAx>
      <c:valAx>
        <c:axId val="89464343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Avg Net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30163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18</xdr:row>
      <xdr:rowOff>47626</xdr:rowOff>
    </xdr:from>
    <xdr:to>
      <xdr:col>5</xdr:col>
      <xdr:colOff>1231121</xdr:colOff>
      <xdr:row>30</xdr:row>
      <xdr:rowOff>23517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AA4A64-5CD6-4B53-B0EC-D512DF265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141110</xdr:colOff>
      <xdr:row>54</xdr:row>
      <xdr:rowOff>0</xdr:rowOff>
    </xdr:from>
    <xdr:to>
      <xdr:col>4</xdr:col>
      <xdr:colOff>462711</xdr:colOff>
      <xdr:row>64</xdr:row>
      <xdr:rowOff>141111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0E95A-3E38-4385-BA55-747DE2EE6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46632-F1CC-407B-8260-D93319386671}" name="tbl_raw" displayName="tbl_raw" ref="A2:P402" totalsRowShown="0">
  <autoFilter ref="A2:P402" xr:uid="{60E46632-F1CC-407B-8260-D93319386671}"/>
  <tableColumns count="16">
    <tableColumn id="1" xr3:uid="{9A1D0295-75B7-4659-9525-9C366BF07317}" name="sku_rank" dataDxfId="64"/>
    <tableColumn id="2" xr3:uid="{EE177419-6932-4F6B-8FA4-BEEF7B51606D}" name="product_id" dataDxfId="63"/>
    <tableColumn id="3" xr3:uid="{22F7E327-2625-4A0F-969B-863E0F61E208}" name="category" dataDxfId="62"/>
    <tableColumn id="4" xr3:uid="{A7BD1EE8-36DE-45D0-861C-F5596F765075}" name="units_sold" dataDxfId="61"/>
    <tableColumn id="5" xr3:uid="{8CEAA3A2-4919-4894-A021-0EFE86FE90D1}" name="order_count" dataDxfId="60"/>
    <tableColumn id="6" xr3:uid="{A2015A91-30DB-4E6A-8A6F-F99D83F5A97A}" name="gross_revenue" dataDxfId="59"/>
    <tableColumn id="7" xr3:uid="{391773BE-09B0-4A56-8C70-515AF97475B4}" name="cogs" dataDxfId="58"/>
    <tableColumn id="8" xr3:uid="{35D16803-15EF-454D-9FAD-888B4C2F908F}" name="storage_cost" dataDxfId="57"/>
    <tableColumn id="9" xr3:uid="{E9268CA4-9BAB-4124-90B3-613038CAF5AA}" name="fulfillment_cost" dataDxfId="56"/>
    <tableColumn id="10" xr3:uid="{7993053F-8746-4D50-B6D3-932192D6653F}" name="freight_cost" dataDxfId="55"/>
    <tableColumn id="11" xr3:uid="{5B72C7C4-21DB-4169-964A-2F699E989DF8}" name="return_loss" dataDxfId="54"/>
    <tableColumn id="12" xr3:uid="{DAE9F7CB-083C-4C1E-8ECF-719024009EB8}" name="total_cost_sql_check" dataDxfId="53"/>
    <tableColumn id="13" xr3:uid="{A5B2E763-C5C6-42DE-9CF2-507517714565}" name="net_profit_sql_check" dataDxfId="52"/>
    <tableColumn id="14" xr3:uid="{3622D9C7-240D-469F-B4F7-3B44C4753F85}" name="net_margin_pct_sql_check" dataDxfId="51"/>
    <tableColumn id="15" xr3:uid="{BC0AFAD4-F7DD-4F5E-B9F0-411DF676B638}" name="avg_review_score" dataDxfId="50"/>
    <tableColumn id="16" xr3:uid="{4B9CA518-282F-4D38-93E7-4E6F10F8DD61}" name="decision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42B290-A647-4193-89D1-8E7928E19841}" name="tbl_profitability" displayName="tbl_profitability" ref="A2:L402" insertRowShift="1" totalsRowShown="0">
  <autoFilter ref="A2:L402" xr:uid="{7E42B290-A647-4193-89D1-8E7928E19841}"/>
  <tableColumns count="12">
    <tableColumn id="1" xr3:uid="{328515FD-7712-4603-BD04-3AA23C209EBA}" name="product_id" dataDxfId="48">
      <calculatedColumnFormula>tbl_raw[[#This Row],[product_id]]</calculatedColumnFormula>
    </tableColumn>
    <tableColumn id="2" xr3:uid="{98B81716-C2AB-4E96-ADA3-578FBACEFDC4}" name="category" dataDxfId="47">
      <calculatedColumnFormula>tbl_raw[[#This Row],[category]]</calculatedColumnFormula>
    </tableColumn>
    <tableColumn id="3" xr3:uid="{DC040C77-7D36-48C5-B2F6-39CB42FEA0E4}" name="gross_revenue" dataDxfId="46">
      <calculatedColumnFormula>tbl_raw[[#This Row],[gross_revenue]]</calculatedColumnFormula>
    </tableColumn>
    <tableColumn id="4" xr3:uid="{0EFD140D-E8A1-436F-A77C-1E4F0A830253}" name="return_loss" dataDxfId="45">
      <calculatedColumnFormula>tbl_raw[[#This Row],[return_loss]]</calculatedColumnFormula>
    </tableColumn>
    <tableColumn id="5" xr3:uid="{B497C00A-AA96-4C6E-B95A-FBA926F8DAAB}" name="net_revenue_after_returns" dataDxfId="44">
      <calculatedColumnFormula>C3-D3</calculatedColumnFormula>
    </tableColumn>
    <tableColumn id="6" xr3:uid="{9164F631-29B6-48BB-AB1C-8E2A19043F64}" name="cogs" dataDxfId="43">
      <calculatedColumnFormula>tbl_raw[[#This Row],[cogs]]</calculatedColumnFormula>
    </tableColumn>
    <tableColumn id="7" xr3:uid="{05662235-AB14-499E-B5D4-269392B6B57F}" name="operating_costs" dataDxfId="42">
      <calculatedColumnFormula>SUM(tbl_raw[[#This Row],[storage_cost]:[freight_cost]])</calculatedColumnFormula>
    </tableColumn>
    <tableColumn id="8" xr3:uid="{8A973F9B-9E54-4370-BA13-C86CEEBF99DE}" name="net_profit" dataDxfId="41">
      <calculatedColumnFormula>tbl_profitability[[#This Row],[net_revenue_after_returns]]-tbl_profitability[[#This Row],[cogs]]-tbl_profitability[[#This Row],[operating_costs]]</calculatedColumnFormula>
    </tableColumn>
    <tableColumn id="9" xr3:uid="{6D65F3A2-7743-4734-AAC8-AEBC2E69A43F}" name="gross_margin_pct" dataDxfId="40" dataCellStyle="Percent">
      <calculatedColumnFormula>(tbl_profitability[[#This Row],[gross_revenue]]-tbl_profitability[[#This Row],[cogs]])/tbl_profitability[[#This Row],[gross_revenue]]</calculatedColumnFormula>
    </tableColumn>
    <tableColumn id="10" xr3:uid="{267690A4-C3AB-4B43-8DDA-67BE5593E872}" name="net_margin_pct" dataDxfId="39" dataCellStyle="Percent">
      <calculatedColumnFormula>tbl_profitability[[#This Row],[net_profit]]/tbl_profitability[[#This Row],[gross_revenue]]</calculatedColumnFormula>
    </tableColumn>
    <tableColumn id="11" xr3:uid="{D5E050B6-AE4D-4E3F-9FB1-5A81E46AB343}" name="break_even_price" dataDxfId="38">
      <calculatedColumnFormula>(tbl_profitability[[#This Row],[cogs]]+tbl_profitability[[#This Row],[return_loss]]+tbl_profitability[[#This Row],[operating_costs]])/tbl_raw[[#This Row],[units_sold]]</calculatedColumnFormula>
    </tableColumn>
    <tableColumn id="12" xr3:uid="{ED5302AD-25EC-47C1-B091-C7FE2F28036E}" name="decision" dataDxfId="37">
      <calculatedColumnFormula>tbl_raw[[#This Row],[decision]]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D03228-9E82-46C9-AA32-12256C74954D}" name="tbl_scenarios" displayName="tbl_scenarios" ref="A2:R402" totalsRowShown="0" headerRowDxfId="85" headerRowBorderDxfId="84" tableBorderDxfId="83">
  <autoFilter ref="A2:R402" xr:uid="{39D03228-9E82-46C9-AA32-12256C74954D}"/>
  <tableColumns count="18">
    <tableColumn id="1" xr3:uid="{E6A7D55C-0BB9-4E48-A983-BB60A5A6F0D1}" name="product_id" dataDxfId="82">
      <calculatedColumnFormula>tbl_raw[[#This Row],[product_id]]</calculatedColumnFormula>
    </tableColumn>
    <tableColumn id="2" xr3:uid="{F9E01136-33D3-4A59-87C7-3929F4199B6A}" name="category" dataDxfId="81">
      <calculatedColumnFormula>tbl_raw[[#This Row],[category]]</calculatedColumnFormula>
    </tableColumn>
    <tableColumn id="3" xr3:uid="{D8869090-F327-4FAF-A0B1-255B388DF2CA}" name="net_profit" dataDxfId="80">
      <calculatedColumnFormula>tbl_profitability[[#This Row],[net_profit]]</calculatedColumnFormula>
    </tableColumn>
    <tableColumn id="4" xr3:uid="{0BCEB371-B340-49E5-A5D7-1933A058F1FC}" name="net_margin_pct" dataDxfId="79" dataCellStyle="Percent">
      <calculatedColumnFormula>tbl_profitability[[#This Row],[net_margin_pct]]</calculatedColumnFormula>
    </tableColumn>
    <tableColumn id="5" xr3:uid="{41ED9E2B-1CAE-4D14-8A4C-3115C82A4043}" name="decision" dataDxfId="78">
      <calculatedColumnFormula>tbl_profitability[[#This Row],[decision]]</calculatedColumnFormula>
    </tableColumn>
    <tableColumn id="6" xr3:uid="{0E9ADFD0-A706-481B-A68D-C8CF11BA8569}" name="net_profit_A" dataDxfId="77">
      <calculatedColumnFormula>tbl_raw[[#This Row],[gross_revenue]]-tbl_raw[[#This Row],[return_loss]]-tbl_raw[[#This Row],[cogs]]*(1+scn_A_cogs_up)-(tbl_raw[[#This Row],[storage_cost]]+tbl_raw[[#This Row],[fulfillment_cost]]+tbl_raw[[#This Row],[freight_cost]])</calculatedColumnFormula>
    </tableColumn>
    <tableColumn id="7" xr3:uid="{E002EB4D-2DDE-403E-A53F-6E7B95EF26F5}" name="net_margin_A" dataDxfId="76" dataCellStyle="Percent">
      <calculatedColumnFormula>tbl_scenarios[[#This Row],[net_profit_A]]/tbl_raw[[#This Row],[gross_revenue]]</calculatedColumnFormula>
    </tableColumn>
    <tableColumn id="8" xr3:uid="{B44873AA-45FF-4D02-BF2A-11F54A5D903E}" name="margin_delta_A" dataDxfId="75" dataCellStyle="Percent">
      <calculatedColumnFormula>tbl_scenarios[[#This Row],[net_margin_A]]-tbl_scenarios[[#This Row],[net_margin_pct]]</calculatedColumnFormula>
    </tableColumn>
    <tableColumn id="9" xr3:uid="{77B7195F-7EA2-40CC-8B3A-ECC7AC66FF5B}" name="decision_A" dataDxfId="74">
      <calculatedColumnFormula>IF(OR(tbl_scenarios[[#This Row],[net_margin_A]]&lt;0.1,tbl_raw[[#This Row],[avg_review_score]]&lt;3),"EXIT",IF(AND(tbl_scenarios[[#This Row],[net_margin_A]]&gt;=0.25,tbl_raw[[#This Row],[avg_review_score]]&gt;=4),"SCALE","OPTIMIZE"))</calculatedColumnFormula>
    </tableColumn>
    <tableColumn id="10" xr3:uid="{F09229F6-51E3-4AB2-A143-397B1B1E9850}" name="net_profit_B" dataDxfId="73">
      <calculatedColumnFormula>tbl_raw[[#This Row],[gross_revenue]]-tbl_raw[[#This Row],[return_loss]]*(1+scn_B_returns_up/0.05)-tbl_raw[[#This Row],[cogs]]-(tbl_raw[[#This Row],[storage_cost]]+tbl_raw[[#This Row],[fulfillment_cost]]+tbl_raw[[#This Row],[freight_cost]])</calculatedColumnFormula>
    </tableColumn>
    <tableColumn id="11" xr3:uid="{DA3DBE97-5414-4298-866C-82B30BE90F81}" name="net_margin_B" dataDxfId="72" dataCellStyle="Percent">
      <calculatedColumnFormula>tbl_scenarios[[#This Row],[net_profit_B]]/tbl_raw[[#This Row],[gross_revenue]]</calculatedColumnFormula>
    </tableColumn>
    <tableColumn id="12" xr3:uid="{CBF73A1F-EF77-454B-8353-B340E3AFFBD3}" name="margin_delta_B" dataDxfId="71" dataCellStyle="Percent">
      <calculatedColumnFormula>tbl_scenarios[[#This Row],[net_margin_B]]-tbl_scenarios[[#This Row],[net_margin_pct]]</calculatedColumnFormula>
    </tableColumn>
    <tableColumn id="13" xr3:uid="{81972DAE-1A08-4203-959D-AAC52393B89C}" name="decision_B" dataDxfId="70">
      <calculatedColumnFormula>IF(OR(tbl_scenarios[[#This Row],[net_margin_B]]&lt;0.1,tbl_raw[[#This Row],[avg_review_score]]&lt;3),"EXIT",IF(AND(tbl_scenarios[[#This Row],[net_margin_B]]&gt;=0.25,tbl_raw[[#This Row],[avg_review_score]]&gt;=4),"SCALE","OPTIMIZE"))</calculatedColumnFormula>
    </tableColumn>
    <tableColumn id="14" xr3:uid="{3B7D4890-1FE4-4E1A-AED7-885BE07B1208}" name="net_profit_C" dataDxfId="69">
      <calculatedColumnFormula>tbl_raw[[#This Row],[gross_revenue]]*(1-scn_C_price_down)-tbl_raw[[#This Row],[return_loss]]-tbl_raw[[#This Row],[cogs]]-(tbl_raw[[#This Row],[storage_cost]]+tbl_raw[[#This Row],[fulfillment_cost]]+tbl_raw[[#This Row],[freight_cost]])</calculatedColumnFormula>
    </tableColumn>
    <tableColumn id="15" xr3:uid="{E4D4A08B-875A-48A0-8316-A25E07613FEF}" name="net_margin_C" dataDxfId="68" dataCellStyle="Percent">
      <calculatedColumnFormula>tbl_scenarios[[#This Row],[net_profit_C]]/(tbl_raw[[#This Row],[gross_revenue]]*(1-scn_C_price_down))</calculatedColumnFormula>
    </tableColumn>
    <tableColumn id="16" xr3:uid="{DD1ACCD8-49BA-4B3F-9EC1-F8E8413D64EB}" name="margin_delta_C" dataDxfId="67" dataCellStyle="Percent">
      <calculatedColumnFormula>tbl_scenarios[[#This Row],[net_margin_C]]-tbl_scenarios[[#This Row],[net_margin_pct]]</calculatedColumnFormula>
    </tableColumn>
    <tableColumn id="17" xr3:uid="{9ECB1862-7AC5-45FD-BDEF-C43E9332D6EE}" name="decision_C" dataDxfId="66">
      <calculatedColumnFormula>IF(OR(tbl_scenarios[[#This Row],[net_margin_C]]&lt;0.1,tbl_raw[[#This Row],[avg_review_score]]&lt;3),"EXIT",IF(AND(tbl_scenarios[[#This Row],[net_margin_C]]&gt;=0.25,tbl_raw[[#This Row],[avg_review_score]]&gt;=4),"SCALE","OPTIMIZE"))</calculatedColumnFormula>
    </tableColumn>
    <tableColumn id="18" xr3:uid="{A86FC3A4-3F7B-4C80-B088-EF46746992CD}" name="stability_flag" dataDxfId="65">
      <calculatedColumnFormula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9DC618-D3E8-467D-8DA1-92F08F51ED40}" name="Decision_table" displayName="Decision_table" ref="A3:K403" totalsRowShown="0" headerRowDxfId="36" headerRowBorderDxfId="35" tableBorderDxfId="34">
  <autoFilter ref="A3:K403" xr:uid="{969DC618-D3E8-467D-8DA1-92F08F51ED40}"/>
  <sortState xmlns:xlrd2="http://schemas.microsoft.com/office/spreadsheetml/2017/richdata2" ref="A4:K403">
    <sortCondition ref="D4:D403" customList="EXIT,OPTIMIZE,SCALE"/>
  </sortState>
  <tableColumns count="11">
    <tableColumn id="1" xr3:uid="{B41D3D78-742D-4B9D-9D6C-AA0ED391F639}" name="product_id" dataDxfId="33">
      <calculatedColumnFormula>Scenario_Analysis!A3</calculatedColumnFormula>
    </tableColumn>
    <tableColumn id="2" xr3:uid="{E662CE12-5461-4BC4-BB23-87AA09483125}" name="category" dataDxfId="32">
      <calculatedColumnFormula>Scenario_Analysis!B3</calculatedColumnFormula>
    </tableColumn>
    <tableColumn id="3" xr3:uid="{46090F96-60DF-406C-802F-664399BDC7B3}" name="baseline_margin" dataDxfId="31" dataCellStyle="Percent">
      <calculatedColumnFormula>Scenario_Analysis!D3</calculatedColumnFormula>
    </tableColumn>
    <tableColumn id="4" xr3:uid="{250B481D-1FAE-4656-B2E0-DF784C75B437}" name="baseline_decision" dataDxfId="30">
      <calculatedColumnFormula>Scenario_Analysis!E3</calculatedColumnFormula>
    </tableColumn>
    <tableColumn id="5" xr3:uid="{DA2F7103-E641-475D-91B1-9D890B99EBA4}" name="scenario_A_margin" dataDxfId="29">
      <calculatedColumnFormula>Scenario_Analysis!G3</calculatedColumnFormula>
    </tableColumn>
    <tableColumn id="6" xr3:uid="{0A9A1F50-3CC4-4558-B309-3897C3B0C06C}" name="scenario_A_decision" dataDxfId="28">
      <calculatedColumnFormula>Scenario_Analysis!I3</calculatedColumnFormula>
    </tableColumn>
    <tableColumn id="7" xr3:uid="{496A7989-36F3-4805-B4E2-A883642FDDC2}" name="scenario_B_margin" dataDxfId="27" dataCellStyle="Percent">
      <calculatedColumnFormula>Scenario_Analysis!K3</calculatedColumnFormula>
    </tableColumn>
    <tableColumn id="8" xr3:uid="{2C45D3D2-34EE-456A-9E21-88792103EDA1}" name="scenario_B_decision" dataDxfId="26">
      <calculatedColumnFormula>Scenario_Analysis!M3</calculatedColumnFormula>
    </tableColumn>
    <tableColumn id="9" xr3:uid="{B3A522EF-BDD0-4000-B7A5-C97B633ECEE5}" name="scenario_C_margin" dataDxfId="25" dataCellStyle="Percent">
      <calculatedColumnFormula>Scenario_Analysis!O3</calculatedColumnFormula>
    </tableColumn>
    <tableColumn id="10" xr3:uid="{0E5F4FBE-A935-47D1-AD57-E82449A6685F}" name="scenario_C_decision" dataDxfId="24">
      <calculatedColumnFormula>Scenario_Analysis!Q3</calculatedColumnFormula>
    </tableColumn>
    <tableColumn id="11" xr3:uid="{000CD9A0-F057-4DF6-8431-B30C70BE6141}" name="stability_flag" dataDxfId="23">
      <calculatedColumnFormula>Scenario_Analysis!R3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3042-7DA2-47B6-BD6C-AE4D14EECBD7}">
  <dimension ref="A2:P402"/>
  <sheetViews>
    <sheetView workbookViewId="0">
      <pane xSplit="2" ySplit="2" topLeftCell="L183" activePane="bottomRight" state="frozen"/>
      <selection pane="topRight" activeCell="C1" sqref="C1"/>
      <selection pane="bottomLeft" activeCell="A3" sqref="A3"/>
      <selection pane="bottomRight" activeCell="O403" sqref="O403"/>
    </sheetView>
  </sheetViews>
  <sheetFormatPr defaultRowHeight="14.5" x14ac:dyDescent="0.35"/>
  <cols>
    <col min="1" max="1" width="10.6328125" style="7" bestFit="1" customWidth="1"/>
    <col min="2" max="2" width="33.36328125" style="4" bestFit="1" customWidth="1"/>
    <col min="3" max="3" width="9.90625" style="4" customWidth="1"/>
    <col min="4" max="4" width="11.453125" style="1" customWidth="1"/>
    <col min="5" max="5" width="12.81640625" style="1" customWidth="1"/>
    <col min="6" max="6" width="14.7265625" customWidth="1"/>
    <col min="7" max="7" width="11.36328125" bestFit="1" customWidth="1"/>
    <col min="8" max="8" width="13.26953125" customWidth="1"/>
    <col min="9" max="9" width="16.08984375" customWidth="1"/>
    <col min="10" max="10" width="12.6328125" customWidth="1"/>
    <col min="11" max="11" width="12.36328125" bestFit="1" customWidth="1"/>
    <col min="12" max="12" width="20.26953125" customWidth="1"/>
    <col min="13" max="13" width="20.1796875" style="2" customWidth="1"/>
    <col min="14" max="14" width="25" customWidth="1"/>
    <col min="15" max="15" width="17.26953125" style="3" customWidth="1"/>
    <col min="16" max="16" width="10" style="8" customWidth="1"/>
  </cols>
  <sheetData>
    <row r="2" spans="1:16" x14ac:dyDescent="0.35">
      <c r="A2" s="7" t="s">
        <v>0</v>
      </c>
      <c r="B2" s="4" t="s">
        <v>1</v>
      </c>
      <c r="C2" s="4" t="s">
        <v>2</v>
      </c>
      <c r="D2" s="1" t="s">
        <v>3</v>
      </c>
      <c r="E2" s="1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6" t="s">
        <v>12</v>
      </c>
      <c r="N2" t="s">
        <v>13</v>
      </c>
      <c r="O2" s="3" t="s">
        <v>14</v>
      </c>
      <c r="P2" s="8" t="s">
        <v>15</v>
      </c>
    </row>
    <row r="3" spans="1:16" x14ac:dyDescent="0.35">
      <c r="A3" s="7">
        <v>1</v>
      </c>
      <c r="B3" s="4" t="s">
        <v>16</v>
      </c>
      <c r="C3" s="4" t="s">
        <v>17</v>
      </c>
      <c r="D3" s="1">
        <v>195</v>
      </c>
      <c r="E3" s="1">
        <v>187</v>
      </c>
      <c r="F3" s="2">
        <v>63885</v>
      </c>
      <c r="G3" s="2">
        <v>26831.7</v>
      </c>
      <c r="H3" s="2">
        <v>195</v>
      </c>
      <c r="I3" s="2">
        <v>748</v>
      </c>
      <c r="J3" s="2">
        <v>3721.1</v>
      </c>
      <c r="K3" s="2">
        <v>70.2</v>
      </c>
      <c r="L3" s="2">
        <v>31566</v>
      </c>
      <c r="M3" s="2">
        <v>32319</v>
      </c>
      <c r="N3" s="5">
        <v>0.50590000000000002</v>
      </c>
      <c r="O3" s="3">
        <v>4.22</v>
      </c>
      <c r="P3" s="8" t="s">
        <v>18</v>
      </c>
    </row>
    <row r="4" spans="1:16" x14ac:dyDescent="0.35">
      <c r="A4" s="7">
        <v>2</v>
      </c>
      <c r="B4" s="4" t="s">
        <v>19</v>
      </c>
      <c r="C4" s="4" t="s">
        <v>17</v>
      </c>
      <c r="D4" s="1">
        <v>156</v>
      </c>
      <c r="E4" s="1">
        <v>151</v>
      </c>
      <c r="F4" s="2">
        <v>54730.2</v>
      </c>
      <c r="G4" s="2">
        <v>22986.68</v>
      </c>
      <c r="H4" s="2">
        <v>156</v>
      </c>
      <c r="I4" s="2">
        <v>604</v>
      </c>
      <c r="J4" s="2">
        <v>4363.79</v>
      </c>
      <c r="K4" s="2">
        <v>56.16</v>
      </c>
      <c r="L4" s="2">
        <v>28166.63</v>
      </c>
      <c r="M4" s="2">
        <v>26563.57</v>
      </c>
      <c r="N4" s="5">
        <v>0.4854</v>
      </c>
      <c r="O4" s="3">
        <v>4.32</v>
      </c>
      <c r="P4" s="8" t="s">
        <v>18</v>
      </c>
    </row>
    <row r="5" spans="1:16" x14ac:dyDescent="0.35">
      <c r="A5" s="7">
        <v>3</v>
      </c>
      <c r="B5" s="4" t="s">
        <v>20</v>
      </c>
      <c r="C5" s="4" t="s">
        <v>21</v>
      </c>
      <c r="D5" s="1">
        <v>35</v>
      </c>
      <c r="E5" s="1">
        <v>35</v>
      </c>
      <c r="F5" s="2">
        <v>48899.34</v>
      </c>
      <c r="G5" s="2">
        <v>27872.62</v>
      </c>
      <c r="H5" s="2">
        <v>78.75</v>
      </c>
      <c r="I5" s="2">
        <v>350</v>
      </c>
      <c r="J5" s="2">
        <v>1426.84</v>
      </c>
      <c r="K5" s="2">
        <v>31.5</v>
      </c>
      <c r="L5" s="2">
        <v>29759.71</v>
      </c>
      <c r="M5" s="2">
        <v>19139.63</v>
      </c>
      <c r="N5" s="5">
        <v>0.39140000000000003</v>
      </c>
      <c r="O5" s="3">
        <v>4.57</v>
      </c>
      <c r="P5" s="8" t="s">
        <v>18</v>
      </c>
    </row>
    <row r="6" spans="1:16" x14ac:dyDescent="0.35">
      <c r="A6" s="7">
        <v>4</v>
      </c>
      <c r="B6" s="4" t="s">
        <v>22</v>
      </c>
      <c r="C6" s="4" t="s">
        <v>23</v>
      </c>
      <c r="D6" s="1">
        <v>341</v>
      </c>
      <c r="E6" s="1">
        <v>321</v>
      </c>
      <c r="F6" s="2">
        <v>46916.51</v>
      </c>
      <c r="G6" s="2">
        <v>26742.41</v>
      </c>
      <c r="H6" s="2">
        <v>767.25</v>
      </c>
      <c r="I6" s="2">
        <v>3210</v>
      </c>
      <c r="J6" s="2">
        <v>13680.78</v>
      </c>
      <c r="K6" s="2">
        <v>306.89999999999998</v>
      </c>
      <c r="L6" s="2">
        <v>44707.34</v>
      </c>
      <c r="M6" s="2">
        <v>2209.17</v>
      </c>
      <c r="N6" s="5">
        <v>4.7100000000000003E-2</v>
      </c>
      <c r="O6" s="3">
        <v>4.2</v>
      </c>
      <c r="P6" s="8" t="s">
        <v>24</v>
      </c>
    </row>
    <row r="7" spans="1:16" x14ac:dyDescent="0.35">
      <c r="A7" s="7">
        <v>5</v>
      </c>
      <c r="B7" s="4" t="s">
        <v>25</v>
      </c>
      <c r="C7" s="4" t="s">
        <v>26</v>
      </c>
      <c r="D7" s="1">
        <v>487</v>
      </c>
      <c r="E7" s="1">
        <v>466</v>
      </c>
      <c r="F7" s="2">
        <v>42938.66</v>
      </c>
      <c r="G7" s="2">
        <v>19322.400000000001</v>
      </c>
      <c r="H7" s="2">
        <v>1095.75</v>
      </c>
      <c r="I7" s="2">
        <v>3029</v>
      </c>
      <c r="J7" s="2">
        <v>8024.94</v>
      </c>
      <c r="K7" s="2">
        <v>175.32</v>
      </c>
      <c r="L7" s="2">
        <v>31647.41</v>
      </c>
      <c r="M7" s="2">
        <v>11291.25</v>
      </c>
      <c r="N7" s="5">
        <v>0.26300000000000001</v>
      </c>
      <c r="O7" s="3">
        <v>3.9</v>
      </c>
      <c r="P7" s="8" t="s">
        <v>27</v>
      </c>
    </row>
    <row r="8" spans="1:16" x14ac:dyDescent="0.35">
      <c r="A8" s="7">
        <v>6</v>
      </c>
      <c r="B8" s="4" t="s">
        <v>28</v>
      </c>
      <c r="C8" s="4" t="s">
        <v>23</v>
      </c>
      <c r="D8" s="1">
        <v>274</v>
      </c>
      <c r="E8" s="1">
        <v>255</v>
      </c>
      <c r="F8" s="2">
        <v>41082.6</v>
      </c>
      <c r="G8" s="2">
        <v>23417.08</v>
      </c>
      <c r="H8" s="2">
        <v>616.5</v>
      </c>
      <c r="I8" s="2">
        <v>2550</v>
      </c>
      <c r="J8" s="2">
        <v>7129.62</v>
      </c>
      <c r="K8" s="2">
        <v>246.6</v>
      </c>
      <c r="L8" s="2">
        <v>33959.800000000003</v>
      </c>
      <c r="M8" s="2">
        <v>7122.8</v>
      </c>
      <c r="N8" s="5">
        <v>0.1734</v>
      </c>
      <c r="O8" s="3">
        <v>4.21</v>
      </c>
      <c r="P8" s="8" t="s">
        <v>27</v>
      </c>
    </row>
    <row r="9" spans="1:16" x14ac:dyDescent="0.35">
      <c r="A9" s="7">
        <v>7</v>
      </c>
      <c r="B9" s="4" t="s">
        <v>29</v>
      </c>
      <c r="C9" s="4" t="s">
        <v>30</v>
      </c>
      <c r="D9" s="1">
        <v>38</v>
      </c>
      <c r="E9" s="1">
        <v>38</v>
      </c>
      <c r="F9" s="2">
        <v>38907.32</v>
      </c>
      <c r="G9" s="2">
        <v>16341.07</v>
      </c>
      <c r="H9" s="2">
        <v>38</v>
      </c>
      <c r="I9" s="2">
        <v>152</v>
      </c>
      <c r="J9" s="2">
        <v>1404.63</v>
      </c>
      <c r="K9" s="2">
        <v>13.68</v>
      </c>
      <c r="L9" s="2">
        <v>17949.38</v>
      </c>
      <c r="M9" s="2">
        <v>20957.939999999999</v>
      </c>
      <c r="N9" s="5">
        <v>0.53869999999999996</v>
      </c>
      <c r="O9" s="3">
        <v>2.68</v>
      </c>
      <c r="P9" s="8" t="s">
        <v>24</v>
      </c>
    </row>
    <row r="10" spans="1:16" x14ac:dyDescent="0.35">
      <c r="A10" s="7">
        <v>8</v>
      </c>
      <c r="B10" s="4" t="s">
        <v>31</v>
      </c>
      <c r="C10" s="4" t="s">
        <v>32</v>
      </c>
      <c r="D10" s="1">
        <v>63</v>
      </c>
      <c r="E10" s="1">
        <v>63</v>
      </c>
      <c r="F10" s="2">
        <v>37733.9</v>
      </c>
      <c r="G10" s="2">
        <v>16980.259999999998</v>
      </c>
      <c r="H10" s="2">
        <v>63</v>
      </c>
      <c r="I10" s="2">
        <v>252</v>
      </c>
      <c r="J10" s="2">
        <v>3991.91</v>
      </c>
      <c r="K10" s="2">
        <v>22.68</v>
      </c>
      <c r="L10" s="2">
        <v>21309.85</v>
      </c>
      <c r="M10" s="2">
        <v>16424.05</v>
      </c>
      <c r="N10" s="5">
        <v>0.43530000000000002</v>
      </c>
      <c r="O10" s="3">
        <v>4.5599999999999996</v>
      </c>
      <c r="P10" s="8" t="s">
        <v>18</v>
      </c>
    </row>
    <row r="11" spans="1:16" x14ac:dyDescent="0.35">
      <c r="A11" s="7">
        <v>9</v>
      </c>
      <c r="B11" s="4" t="s">
        <v>33</v>
      </c>
      <c r="C11" s="4" t="s">
        <v>34</v>
      </c>
      <c r="D11" s="1">
        <v>323</v>
      </c>
      <c r="E11" s="1">
        <v>306</v>
      </c>
      <c r="F11" s="2">
        <v>37683.42</v>
      </c>
      <c r="G11" s="2">
        <v>15827.04</v>
      </c>
      <c r="H11" s="2">
        <v>323</v>
      </c>
      <c r="I11" s="2">
        <v>1224</v>
      </c>
      <c r="J11" s="2">
        <v>2274.5100000000002</v>
      </c>
      <c r="K11" s="2">
        <v>116.28</v>
      </c>
      <c r="L11" s="2">
        <v>19764.830000000002</v>
      </c>
      <c r="M11" s="2">
        <v>17918.59</v>
      </c>
      <c r="N11" s="5">
        <v>0.47549999999999998</v>
      </c>
      <c r="O11" s="3">
        <v>4.1900000000000004</v>
      </c>
      <c r="P11" s="8" t="s">
        <v>18</v>
      </c>
    </row>
    <row r="12" spans="1:16" x14ac:dyDescent="0.35">
      <c r="A12" s="7">
        <v>10</v>
      </c>
      <c r="B12" s="4" t="s">
        <v>35</v>
      </c>
      <c r="C12" s="4" t="s">
        <v>36</v>
      </c>
      <c r="D12" s="1">
        <v>527</v>
      </c>
      <c r="E12" s="1">
        <v>431</v>
      </c>
      <c r="F12" s="2">
        <v>37608.9</v>
      </c>
      <c r="G12" s="2">
        <v>16924.009999999998</v>
      </c>
      <c r="H12" s="2">
        <v>2635</v>
      </c>
      <c r="I12" s="2">
        <v>4310</v>
      </c>
      <c r="J12" s="2">
        <v>7211.86</v>
      </c>
      <c r="K12" s="2">
        <v>189.72</v>
      </c>
      <c r="L12" s="2">
        <v>31270.59</v>
      </c>
      <c r="M12" s="2">
        <v>6338.31</v>
      </c>
      <c r="N12" s="5">
        <v>0.16850000000000001</v>
      </c>
      <c r="O12" s="3">
        <v>4.0199999999999996</v>
      </c>
      <c r="P12" s="8" t="s">
        <v>27</v>
      </c>
    </row>
    <row r="13" spans="1:16" x14ac:dyDescent="0.35">
      <c r="A13" s="7">
        <v>11</v>
      </c>
      <c r="B13" s="4" t="s">
        <v>37</v>
      </c>
      <c r="C13" s="4" t="s">
        <v>34</v>
      </c>
      <c r="D13" s="1">
        <v>194</v>
      </c>
      <c r="E13" s="1">
        <v>194</v>
      </c>
      <c r="F13" s="2">
        <v>31786.82</v>
      </c>
      <c r="G13" s="2">
        <v>13350.46</v>
      </c>
      <c r="H13" s="2">
        <v>194</v>
      </c>
      <c r="I13" s="2">
        <v>776</v>
      </c>
      <c r="J13" s="2">
        <v>3557.27</v>
      </c>
      <c r="K13" s="2">
        <v>69.84</v>
      </c>
      <c r="L13" s="2">
        <v>17947.57</v>
      </c>
      <c r="M13" s="2">
        <v>13839.25</v>
      </c>
      <c r="N13" s="5">
        <v>0.43540000000000001</v>
      </c>
      <c r="O13" s="3">
        <v>3.78</v>
      </c>
      <c r="P13" s="8" t="s">
        <v>27</v>
      </c>
    </row>
    <row r="14" spans="1:16" x14ac:dyDescent="0.35">
      <c r="A14" s="7">
        <v>12</v>
      </c>
      <c r="B14" s="4" t="s">
        <v>38</v>
      </c>
      <c r="C14" s="4" t="s">
        <v>34</v>
      </c>
      <c r="D14" s="1">
        <v>123</v>
      </c>
      <c r="E14" s="1">
        <v>122</v>
      </c>
      <c r="F14" s="2">
        <v>31623.81</v>
      </c>
      <c r="G14" s="2">
        <v>13282</v>
      </c>
      <c r="H14" s="2">
        <v>123</v>
      </c>
      <c r="I14" s="2">
        <v>488</v>
      </c>
      <c r="J14" s="2">
        <v>1983.76</v>
      </c>
      <c r="K14" s="2">
        <v>44.28</v>
      </c>
      <c r="L14" s="2">
        <v>15921.04</v>
      </c>
      <c r="M14" s="2">
        <v>15702.77</v>
      </c>
      <c r="N14" s="5">
        <v>0.4965</v>
      </c>
      <c r="O14" s="3">
        <v>3.72</v>
      </c>
      <c r="P14" s="8" t="s">
        <v>27</v>
      </c>
    </row>
    <row r="15" spans="1:16" x14ac:dyDescent="0.35">
      <c r="A15" s="7">
        <v>13</v>
      </c>
      <c r="B15" s="4" t="s">
        <v>39</v>
      </c>
      <c r="C15" s="4" t="s">
        <v>34</v>
      </c>
      <c r="D15" s="1">
        <v>143</v>
      </c>
      <c r="E15" s="1">
        <v>142</v>
      </c>
      <c r="F15" s="2">
        <v>30467.5</v>
      </c>
      <c r="G15" s="2">
        <v>12796.35</v>
      </c>
      <c r="H15" s="2">
        <v>143</v>
      </c>
      <c r="I15" s="2">
        <v>568</v>
      </c>
      <c r="J15" s="2">
        <v>2323.2399999999998</v>
      </c>
      <c r="K15" s="2">
        <v>51.48</v>
      </c>
      <c r="L15" s="2">
        <v>15882.07</v>
      </c>
      <c r="M15" s="2">
        <v>14585.43</v>
      </c>
      <c r="N15" s="5">
        <v>0.47869999999999996</v>
      </c>
      <c r="O15" s="3">
        <v>4.08</v>
      </c>
      <c r="P15" s="8" t="s">
        <v>18</v>
      </c>
    </row>
    <row r="16" spans="1:16" x14ac:dyDescent="0.35">
      <c r="A16" s="7">
        <v>14</v>
      </c>
      <c r="B16" s="4" t="s">
        <v>40</v>
      </c>
      <c r="C16" s="4" t="s">
        <v>26</v>
      </c>
      <c r="D16" s="1">
        <v>154</v>
      </c>
      <c r="E16" s="1">
        <v>150</v>
      </c>
      <c r="F16" s="2">
        <v>29997.360000000001</v>
      </c>
      <c r="G16" s="2">
        <v>13498.81</v>
      </c>
      <c r="H16" s="2">
        <v>346.5</v>
      </c>
      <c r="I16" s="2">
        <v>975</v>
      </c>
      <c r="J16" s="2">
        <v>3319.4</v>
      </c>
      <c r="K16" s="2">
        <v>55.44</v>
      </c>
      <c r="L16" s="2">
        <v>18195.150000000001</v>
      </c>
      <c r="M16" s="2">
        <v>11802.21</v>
      </c>
      <c r="N16" s="5">
        <v>0.39340000000000003</v>
      </c>
      <c r="O16" s="3">
        <v>4.38</v>
      </c>
      <c r="P16" s="8" t="s">
        <v>18</v>
      </c>
    </row>
    <row r="17" spans="1:16" x14ac:dyDescent="0.35">
      <c r="A17" s="7">
        <v>15</v>
      </c>
      <c r="B17" s="4" t="s">
        <v>41</v>
      </c>
      <c r="C17" s="4" t="s">
        <v>34</v>
      </c>
      <c r="D17" s="1">
        <v>45</v>
      </c>
      <c r="E17" s="1">
        <v>45</v>
      </c>
      <c r="F17" s="2">
        <v>29024.48</v>
      </c>
      <c r="G17" s="2">
        <v>12190.28</v>
      </c>
      <c r="H17" s="2">
        <v>45</v>
      </c>
      <c r="I17" s="2">
        <v>180</v>
      </c>
      <c r="J17" s="2">
        <v>1425.21</v>
      </c>
      <c r="K17" s="2">
        <v>16.2</v>
      </c>
      <c r="L17" s="2">
        <v>13856.69</v>
      </c>
      <c r="M17" s="2">
        <v>15167.79</v>
      </c>
      <c r="N17" s="5">
        <v>0.52259999999999995</v>
      </c>
      <c r="O17" s="3">
        <v>4.09</v>
      </c>
      <c r="P17" s="8" t="s">
        <v>18</v>
      </c>
    </row>
    <row r="18" spans="1:16" x14ac:dyDescent="0.35">
      <c r="A18" s="7">
        <v>16</v>
      </c>
      <c r="B18" s="4" t="s">
        <v>42</v>
      </c>
      <c r="C18" s="4" t="s">
        <v>21</v>
      </c>
      <c r="D18" s="1">
        <v>20</v>
      </c>
      <c r="E18" s="1">
        <v>19</v>
      </c>
      <c r="F18" s="2">
        <v>28291.99</v>
      </c>
      <c r="G18" s="2">
        <v>16126.43</v>
      </c>
      <c r="H18" s="2">
        <v>45</v>
      </c>
      <c r="I18" s="2">
        <v>190</v>
      </c>
      <c r="J18" s="2">
        <v>788.22</v>
      </c>
      <c r="K18" s="2">
        <v>18</v>
      </c>
      <c r="L18" s="2">
        <v>17167.650000000001</v>
      </c>
      <c r="M18" s="2">
        <v>11124.34</v>
      </c>
      <c r="N18" s="5">
        <v>0.39319999999999999</v>
      </c>
      <c r="O18" s="3">
        <v>4.26</v>
      </c>
      <c r="P18" s="8" t="s">
        <v>18</v>
      </c>
    </row>
    <row r="19" spans="1:16" x14ac:dyDescent="0.35">
      <c r="A19" s="7">
        <v>17</v>
      </c>
      <c r="B19" s="4" t="s">
        <v>43</v>
      </c>
      <c r="C19" s="4" t="s">
        <v>44</v>
      </c>
      <c r="D19" s="1">
        <v>484</v>
      </c>
      <c r="E19" s="1">
        <v>352</v>
      </c>
      <c r="F19" s="2">
        <v>26577.22</v>
      </c>
      <c r="G19" s="2">
        <v>11959.75</v>
      </c>
      <c r="H19" s="2">
        <v>2420</v>
      </c>
      <c r="I19" s="2">
        <v>3520</v>
      </c>
      <c r="J19" s="2">
        <v>7624.04</v>
      </c>
      <c r="K19" s="2">
        <v>174.24</v>
      </c>
      <c r="L19" s="2">
        <v>25698.03</v>
      </c>
      <c r="M19" s="2">
        <v>879.19</v>
      </c>
      <c r="N19" s="5">
        <v>3.3099999999999997E-2</v>
      </c>
      <c r="O19" s="3">
        <v>3.95</v>
      </c>
      <c r="P19" s="8" t="s">
        <v>24</v>
      </c>
    </row>
    <row r="20" spans="1:16" x14ac:dyDescent="0.35">
      <c r="A20" s="7">
        <v>18</v>
      </c>
      <c r="B20" s="4" t="s">
        <v>45</v>
      </c>
      <c r="C20" s="4" t="s">
        <v>46</v>
      </c>
      <c r="D20" s="1">
        <v>13</v>
      </c>
      <c r="E20" s="1">
        <v>13</v>
      </c>
      <c r="F20" s="2">
        <v>25034</v>
      </c>
      <c r="G20" s="2">
        <v>10013.6</v>
      </c>
      <c r="H20" s="2">
        <v>29.25</v>
      </c>
      <c r="I20" s="2">
        <v>84.5</v>
      </c>
      <c r="J20" s="2">
        <v>1596.15</v>
      </c>
      <c r="K20" s="2">
        <v>1.3</v>
      </c>
      <c r="L20" s="2">
        <v>11724.8</v>
      </c>
      <c r="M20" s="2">
        <v>13309.2</v>
      </c>
      <c r="N20" s="5">
        <v>0.53159999999999996</v>
      </c>
      <c r="O20" s="3">
        <v>4.3099999999999996</v>
      </c>
      <c r="P20" s="8" t="s">
        <v>18</v>
      </c>
    </row>
    <row r="21" spans="1:16" x14ac:dyDescent="0.35">
      <c r="A21" s="7">
        <v>19</v>
      </c>
      <c r="B21" s="4" t="s">
        <v>47</v>
      </c>
      <c r="C21" s="4" t="s">
        <v>34</v>
      </c>
      <c r="D21" s="1">
        <v>225</v>
      </c>
      <c r="E21" s="1">
        <v>171</v>
      </c>
      <c r="F21" s="2">
        <v>23943</v>
      </c>
      <c r="G21" s="2">
        <v>10056.06</v>
      </c>
      <c r="H21" s="2">
        <v>225</v>
      </c>
      <c r="I21" s="2">
        <v>684</v>
      </c>
      <c r="J21" s="2">
        <v>3930.78</v>
      </c>
      <c r="K21" s="2">
        <v>81</v>
      </c>
      <c r="L21" s="2">
        <v>14976.84</v>
      </c>
      <c r="M21" s="2">
        <v>8966.16</v>
      </c>
      <c r="N21" s="5">
        <v>0.37450000000000006</v>
      </c>
      <c r="O21" s="3">
        <v>3.87</v>
      </c>
      <c r="P21" s="8" t="s">
        <v>27</v>
      </c>
    </row>
    <row r="22" spans="1:16" x14ac:dyDescent="0.35">
      <c r="A22" s="7">
        <v>20</v>
      </c>
      <c r="B22" s="4" t="s">
        <v>48</v>
      </c>
      <c r="C22" s="4" t="s">
        <v>17</v>
      </c>
      <c r="D22" s="1">
        <v>259</v>
      </c>
      <c r="E22" s="1">
        <v>258</v>
      </c>
      <c r="F22" s="2">
        <v>22627.23</v>
      </c>
      <c r="G22" s="2">
        <v>9503.44</v>
      </c>
      <c r="H22" s="2">
        <v>259</v>
      </c>
      <c r="I22" s="2">
        <v>1032</v>
      </c>
      <c r="J22" s="2">
        <v>3929.55</v>
      </c>
      <c r="K22" s="2">
        <v>93.24</v>
      </c>
      <c r="L22" s="2">
        <v>14817.23</v>
      </c>
      <c r="M22" s="2">
        <v>7810</v>
      </c>
      <c r="N22" s="5">
        <v>0.34520000000000001</v>
      </c>
      <c r="O22" s="3">
        <v>4.08</v>
      </c>
      <c r="P22" s="8" t="s">
        <v>18</v>
      </c>
    </row>
    <row r="23" spans="1:16" x14ac:dyDescent="0.35">
      <c r="A23" s="7">
        <v>21</v>
      </c>
      <c r="B23" s="4" t="s">
        <v>49</v>
      </c>
      <c r="C23" s="4" t="s">
        <v>21</v>
      </c>
      <c r="D23" s="1">
        <v>17</v>
      </c>
      <c r="E23" s="1">
        <v>16</v>
      </c>
      <c r="F23" s="2">
        <v>21739.9</v>
      </c>
      <c r="G23" s="2">
        <v>12391.74</v>
      </c>
      <c r="H23" s="2">
        <v>38.25</v>
      </c>
      <c r="I23" s="2">
        <v>160</v>
      </c>
      <c r="J23" s="2">
        <v>671.12</v>
      </c>
      <c r="K23" s="2">
        <v>15.3</v>
      </c>
      <c r="L23" s="2">
        <v>13276.41</v>
      </c>
      <c r="M23" s="2">
        <v>8463.49</v>
      </c>
      <c r="N23" s="5">
        <v>0.38929999999999998</v>
      </c>
      <c r="O23" s="3">
        <v>4.12</v>
      </c>
      <c r="P23" s="8" t="s">
        <v>18</v>
      </c>
    </row>
    <row r="24" spans="1:16" x14ac:dyDescent="0.35">
      <c r="A24" s="7">
        <v>22</v>
      </c>
      <c r="B24" s="4" t="s">
        <v>50</v>
      </c>
      <c r="C24" s="4" t="s">
        <v>21</v>
      </c>
      <c r="D24" s="1">
        <v>17</v>
      </c>
      <c r="E24" s="1">
        <v>17</v>
      </c>
      <c r="F24" s="2">
        <v>21499.59</v>
      </c>
      <c r="G24" s="2">
        <v>12254.77</v>
      </c>
      <c r="H24" s="2">
        <v>38.25</v>
      </c>
      <c r="I24" s="2">
        <v>170</v>
      </c>
      <c r="J24" s="2">
        <v>684.85</v>
      </c>
      <c r="K24" s="2">
        <v>15.3</v>
      </c>
      <c r="L24" s="2">
        <v>13163.17</v>
      </c>
      <c r="M24" s="2">
        <v>8336.42</v>
      </c>
      <c r="N24" s="5">
        <v>0.38770000000000004</v>
      </c>
      <c r="O24" s="3">
        <v>4</v>
      </c>
      <c r="P24" s="8" t="s">
        <v>18</v>
      </c>
    </row>
    <row r="25" spans="1:16" x14ac:dyDescent="0.35">
      <c r="A25" s="7">
        <v>23</v>
      </c>
      <c r="B25" s="4" t="s">
        <v>51</v>
      </c>
      <c r="C25" s="4" t="s">
        <v>44</v>
      </c>
      <c r="D25" s="1">
        <v>391</v>
      </c>
      <c r="E25" s="1">
        <v>310</v>
      </c>
      <c r="F25" s="2">
        <v>21390.69</v>
      </c>
      <c r="G25" s="2">
        <v>9625.81</v>
      </c>
      <c r="H25" s="2">
        <v>1955</v>
      </c>
      <c r="I25" s="2">
        <v>3100</v>
      </c>
      <c r="J25" s="2">
        <v>7224.49</v>
      </c>
      <c r="K25" s="2">
        <v>140.76</v>
      </c>
      <c r="L25" s="2">
        <v>22046.06</v>
      </c>
      <c r="M25" s="2">
        <v>-655.37</v>
      </c>
      <c r="N25" s="5">
        <v>-3.0600000000000002E-2</v>
      </c>
      <c r="O25" s="3">
        <v>4.13</v>
      </c>
      <c r="P25" s="8" t="s">
        <v>24</v>
      </c>
    </row>
    <row r="26" spans="1:16" x14ac:dyDescent="0.35">
      <c r="A26" s="7">
        <v>24</v>
      </c>
      <c r="B26" s="4" t="s">
        <v>52</v>
      </c>
      <c r="C26" s="4" t="s">
        <v>44</v>
      </c>
      <c r="D26" s="1">
        <v>388</v>
      </c>
      <c r="E26" s="1">
        <v>291</v>
      </c>
      <c r="F26" s="2">
        <v>21056.799999999999</v>
      </c>
      <c r="G26" s="2">
        <v>9475.56</v>
      </c>
      <c r="H26" s="2">
        <v>1940</v>
      </c>
      <c r="I26" s="2">
        <v>2910</v>
      </c>
      <c r="J26" s="2">
        <v>6927.6</v>
      </c>
      <c r="K26" s="2">
        <v>139.68</v>
      </c>
      <c r="L26" s="2">
        <v>21392.84</v>
      </c>
      <c r="M26" s="2">
        <v>-336.04</v>
      </c>
      <c r="N26" s="5">
        <v>-1.6E-2</v>
      </c>
      <c r="O26" s="3">
        <v>3.92</v>
      </c>
      <c r="P26" s="8" t="s">
        <v>24</v>
      </c>
    </row>
    <row r="27" spans="1:16" x14ac:dyDescent="0.35">
      <c r="A27" s="7">
        <v>25</v>
      </c>
      <c r="B27" s="4" t="s">
        <v>53</v>
      </c>
      <c r="C27" s="4" t="s">
        <v>34</v>
      </c>
      <c r="D27" s="1">
        <v>146</v>
      </c>
      <c r="E27" s="1">
        <v>144</v>
      </c>
      <c r="F27" s="2">
        <v>20593.22</v>
      </c>
      <c r="G27" s="2">
        <v>8649.15</v>
      </c>
      <c r="H27" s="2">
        <v>146</v>
      </c>
      <c r="I27" s="2">
        <v>576</v>
      </c>
      <c r="J27" s="2">
        <v>2622.61</v>
      </c>
      <c r="K27" s="2">
        <v>52.56</v>
      </c>
      <c r="L27" s="2">
        <v>12046.32</v>
      </c>
      <c r="M27" s="2">
        <v>8546.9</v>
      </c>
      <c r="N27" s="5">
        <v>0.41499999999999998</v>
      </c>
      <c r="O27" s="3">
        <v>3.99</v>
      </c>
      <c r="P27" s="8" t="s">
        <v>27</v>
      </c>
    </row>
    <row r="28" spans="1:16" x14ac:dyDescent="0.35">
      <c r="A28" s="7">
        <v>26</v>
      </c>
      <c r="B28" s="4" t="s">
        <v>54</v>
      </c>
      <c r="C28" s="4" t="s">
        <v>44</v>
      </c>
      <c r="D28" s="1">
        <v>118</v>
      </c>
      <c r="E28" s="1">
        <v>114</v>
      </c>
      <c r="F28" s="2">
        <v>20495.560000000001</v>
      </c>
      <c r="G28" s="2">
        <v>9223</v>
      </c>
      <c r="H28" s="2">
        <v>590</v>
      </c>
      <c r="I28" s="2">
        <v>1140</v>
      </c>
      <c r="J28" s="2">
        <v>5390.7</v>
      </c>
      <c r="K28" s="2">
        <v>42.48</v>
      </c>
      <c r="L28" s="2">
        <v>16386.18</v>
      </c>
      <c r="M28" s="2">
        <v>4109.38</v>
      </c>
      <c r="N28" s="5">
        <v>0.20050000000000001</v>
      </c>
      <c r="O28" s="3">
        <v>4.1900000000000004</v>
      </c>
      <c r="P28" s="8" t="s">
        <v>27</v>
      </c>
    </row>
    <row r="29" spans="1:16" x14ac:dyDescent="0.35">
      <c r="A29" s="7">
        <v>27</v>
      </c>
      <c r="B29" s="4" t="s">
        <v>55</v>
      </c>
      <c r="C29" s="4" t="s">
        <v>44</v>
      </c>
      <c r="D29" s="1">
        <v>373</v>
      </c>
      <c r="E29" s="1">
        <v>287</v>
      </c>
      <c r="F29" s="2">
        <v>20387.2</v>
      </c>
      <c r="G29" s="2">
        <v>9174.24</v>
      </c>
      <c r="H29" s="2">
        <v>1865</v>
      </c>
      <c r="I29" s="2">
        <v>2870</v>
      </c>
      <c r="J29" s="2">
        <v>6881.03</v>
      </c>
      <c r="K29" s="2">
        <v>134.28</v>
      </c>
      <c r="L29" s="2">
        <v>20924.55</v>
      </c>
      <c r="M29" s="2">
        <v>-537.35</v>
      </c>
      <c r="N29" s="5">
        <v>-2.64E-2</v>
      </c>
      <c r="O29" s="3">
        <v>3.87</v>
      </c>
      <c r="P29" s="8" t="s">
        <v>24</v>
      </c>
    </row>
    <row r="30" spans="1:16" x14ac:dyDescent="0.35">
      <c r="A30" s="7">
        <v>28</v>
      </c>
      <c r="B30" s="4" t="s">
        <v>56</v>
      </c>
      <c r="C30" s="4" t="s">
        <v>57</v>
      </c>
      <c r="D30" s="1">
        <v>10</v>
      </c>
      <c r="E30" s="1">
        <v>10</v>
      </c>
      <c r="F30" s="2">
        <v>19999.900000000001</v>
      </c>
      <c r="G30" s="2">
        <v>8999.9599999999991</v>
      </c>
      <c r="H30" s="2">
        <v>22.5</v>
      </c>
      <c r="I30" s="2">
        <v>65</v>
      </c>
      <c r="J30" s="2">
        <v>341.44</v>
      </c>
      <c r="K30" s="2">
        <v>3.6</v>
      </c>
      <c r="L30" s="2">
        <v>9432.5</v>
      </c>
      <c r="M30" s="2">
        <v>10567.4</v>
      </c>
      <c r="N30" s="5">
        <v>0.52839999999999998</v>
      </c>
      <c r="O30" s="3">
        <v>1.2</v>
      </c>
      <c r="P30" s="8" t="s">
        <v>24</v>
      </c>
    </row>
    <row r="31" spans="1:16" x14ac:dyDescent="0.35">
      <c r="A31" s="7">
        <v>29</v>
      </c>
      <c r="B31" s="4" t="s">
        <v>58</v>
      </c>
      <c r="C31" s="4" t="s">
        <v>57</v>
      </c>
      <c r="D31" s="1">
        <v>35</v>
      </c>
      <c r="E31" s="1">
        <v>35</v>
      </c>
      <c r="F31" s="2">
        <v>19965</v>
      </c>
      <c r="G31" s="2">
        <v>8984.25</v>
      </c>
      <c r="H31" s="2">
        <v>78.75</v>
      </c>
      <c r="I31" s="2">
        <v>227.5</v>
      </c>
      <c r="J31" s="2">
        <v>2263.5100000000002</v>
      </c>
      <c r="K31" s="2">
        <v>12.6</v>
      </c>
      <c r="L31" s="2">
        <v>11566.61</v>
      </c>
      <c r="M31" s="2">
        <v>8398.39</v>
      </c>
      <c r="N31" s="5">
        <v>0.42070000000000002</v>
      </c>
      <c r="O31" s="3">
        <v>2.74</v>
      </c>
      <c r="P31" s="8" t="s">
        <v>24</v>
      </c>
    </row>
    <row r="32" spans="1:16" x14ac:dyDescent="0.35">
      <c r="A32" s="7">
        <v>30</v>
      </c>
      <c r="B32" s="4" t="s">
        <v>59</v>
      </c>
      <c r="C32" s="4" t="s">
        <v>34</v>
      </c>
      <c r="D32" s="1">
        <v>117</v>
      </c>
      <c r="E32" s="1">
        <v>117</v>
      </c>
      <c r="F32" s="2">
        <v>19009.400000000001</v>
      </c>
      <c r="G32" s="2">
        <v>7983.95</v>
      </c>
      <c r="H32" s="2">
        <v>117</v>
      </c>
      <c r="I32" s="2">
        <v>468</v>
      </c>
      <c r="J32" s="2">
        <v>1940.57</v>
      </c>
      <c r="K32" s="2">
        <v>42.12</v>
      </c>
      <c r="L32" s="2">
        <v>10551.64</v>
      </c>
      <c r="M32" s="2">
        <v>8457.76</v>
      </c>
      <c r="N32" s="5">
        <v>0.44490000000000002</v>
      </c>
      <c r="O32" s="3">
        <v>4.09</v>
      </c>
      <c r="P32" s="8" t="s">
        <v>18</v>
      </c>
    </row>
    <row r="33" spans="1:16" x14ac:dyDescent="0.35">
      <c r="A33" s="7">
        <v>31</v>
      </c>
      <c r="B33" s="4" t="s">
        <v>60</v>
      </c>
      <c r="C33" s="4" t="s">
        <v>17</v>
      </c>
      <c r="D33" s="1">
        <v>156</v>
      </c>
      <c r="E33" s="1">
        <v>155</v>
      </c>
      <c r="F33" s="2">
        <v>18889.439999999999</v>
      </c>
      <c r="G33" s="2">
        <v>7933.56</v>
      </c>
      <c r="H33" s="2">
        <v>156</v>
      </c>
      <c r="I33" s="2">
        <v>620</v>
      </c>
      <c r="J33" s="2">
        <v>5436.81</v>
      </c>
      <c r="K33" s="2">
        <v>56.16</v>
      </c>
      <c r="L33" s="2">
        <v>14202.53</v>
      </c>
      <c r="M33" s="2">
        <v>4686.91</v>
      </c>
      <c r="N33" s="5">
        <v>0.24809999999999999</v>
      </c>
      <c r="O33" s="3">
        <v>4.12</v>
      </c>
      <c r="P33" s="8" t="s">
        <v>27</v>
      </c>
    </row>
    <row r="34" spans="1:16" x14ac:dyDescent="0.35">
      <c r="A34" s="7">
        <v>32</v>
      </c>
      <c r="B34" s="4" t="s">
        <v>61</v>
      </c>
      <c r="C34" s="4" t="s">
        <v>34</v>
      </c>
      <c r="D34" s="1">
        <v>32</v>
      </c>
      <c r="E34" s="1">
        <v>32</v>
      </c>
      <c r="F34" s="2">
        <v>18262.96</v>
      </c>
      <c r="G34" s="2">
        <v>7670.44</v>
      </c>
      <c r="H34" s="2">
        <v>32</v>
      </c>
      <c r="I34" s="2">
        <v>128</v>
      </c>
      <c r="J34" s="2">
        <v>675.21</v>
      </c>
      <c r="K34" s="2">
        <v>11.52</v>
      </c>
      <c r="L34" s="2">
        <v>8517.17</v>
      </c>
      <c r="M34" s="2">
        <v>9745.7900000000009</v>
      </c>
      <c r="N34" s="5">
        <v>0.53359999999999996</v>
      </c>
      <c r="O34" s="3">
        <v>4.0599999999999996</v>
      </c>
      <c r="P34" s="8" t="s">
        <v>18</v>
      </c>
    </row>
    <row r="35" spans="1:16" x14ac:dyDescent="0.35">
      <c r="A35" s="7">
        <v>33</v>
      </c>
      <c r="B35" s="4" t="s">
        <v>62</v>
      </c>
      <c r="C35" s="4" t="s">
        <v>32</v>
      </c>
      <c r="D35" s="1">
        <v>108</v>
      </c>
      <c r="E35" s="1">
        <v>108</v>
      </c>
      <c r="F35" s="2">
        <v>17643.919999999998</v>
      </c>
      <c r="G35" s="2">
        <v>7939.76</v>
      </c>
      <c r="H35" s="2">
        <v>108</v>
      </c>
      <c r="I35" s="2">
        <v>432</v>
      </c>
      <c r="J35" s="2">
        <v>2453.23</v>
      </c>
      <c r="K35" s="2">
        <v>38.880000000000003</v>
      </c>
      <c r="L35" s="2">
        <v>10971.87</v>
      </c>
      <c r="M35" s="2">
        <v>6672.05</v>
      </c>
      <c r="N35" s="5">
        <v>0.37819999999999998</v>
      </c>
      <c r="O35" s="3">
        <v>3.85</v>
      </c>
      <c r="P35" s="8" t="s">
        <v>27</v>
      </c>
    </row>
    <row r="36" spans="1:16" x14ac:dyDescent="0.35">
      <c r="A36" s="7">
        <v>34</v>
      </c>
      <c r="B36" s="4" t="s">
        <v>63</v>
      </c>
      <c r="C36" s="4" t="s">
        <v>64</v>
      </c>
      <c r="D36" s="1">
        <v>24</v>
      </c>
      <c r="E36" s="1">
        <v>24</v>
      </c>
      <c r="F36" s="2">
        <v>16731.79</v>
      </c>
      <c r="G36" s="2">
        <v>9537.1200000000008</v>
      </c>
      <c r="H36" s="2">
        <v>24</v>
      </c>
      <c r="I36" s="2">
        <v>96</v>
      </c>
      <c r="J36" s="2">
        <v>771.17</v>
      </c>
      <c r="K36" s="2">
        <v>8.64</v>
      </c>
      <c r="L36" s="2">
        <v>10436.93</v>
      </c>
      <c r="M36" s="2">
        <v>6294.86</v>
      </c>
      <c r="N36" s="5">
        <v>0.37619999999999998</v>
      </c>
      <c r="O36" s="3">
        <v>2.87</v>
      </c>
      <c r="P36" s="8" t="s">
        <v>24</v>
      </c>
    </row>
    <row r="37" spans="1:16" x14ac:dyDescent="0.35">
      <c r="A37" s="7">
        <v>35</v>
      </c>
      <c r="B37" s="4" t="s">
        <v>65</v>
      </c>
      <c r="C37" s="4" t="s">
        <v>66</v>
      </c>
      <c r="D37" s="1">
        <v>93</v>
      </c>
      <c r="E37" s="1">
        <v>64</v>
      </c>
      <c r="F37" s="2">
        <v>16216</v>
      </c>
      <c r="G37" s="2">
        <v>9243.1200000000008</v>
      </c>
      <c r="H37" s="2">
        <v>93</v>
      </c>
      <c r="I37" s="2">
        <v>256</v>
      </c>
      <c r="J37" s="2">
        <v>2326.2199999999998</v>
      </c>
      <c r="K37" s="2">
        <v>83.7</v>
      </c>
      <c r="L37" s="2">
        <v>12002.04</v>
      </c>
      <c r="M37" s="2">
        <v>4213.96</v>
      </c>
      <c r="N37" s="5">
        <v>0.25989999999999996</v>
      </c>
      <c r="O37" s="3">
        <v>3.53</v>
      </c>
      <c r="P37" s="8" t="s">
        <v>27</v>
      </c>
    </row>
    <row r="38" spans="1:16" x14ac:dyDescent="0.35">
      <c r="A38" s="7">
        <v>36</v>
      </c>
      <c r="B38" s="4" t="s">
        <v>67</v>
      </c>
      <c r="C38" s="4" t="s">
        <v>21</v>
      </c>
      <c r="D38" s="1">
        <v>25</v>
      </c>
      <c r="E38" s="1">
        <v>23</v>
      </c>
      <c r="F38" s="2">
        <v>15785</v>
      </c>
      <c r="G38" s="2">
        <v>8997.4500000000007</v>
      </c>
      <c r="H38" s="2">
        <v>56.25</v>
      </c>
      <c r="I38" s="2">
        <v>230</v>
      </c>
      <c r="J38" s="2">
        <v>1605.04</v>
      </c>
      <c r="K38" s="2">
        <v>22.5</v>
      </c>
      <c r="L38" s="2">
        <v>10911.24</v>
      </c>
      <c r="M38" s="2">
        <v>4873.76</v>
      </c>
      <c r="N38" s="5">
        <v>0.30879999999999996</v>
      </c>
      <c r="O38" s="3">
        <v>3.71</v>
      </c>
      <c r="P38" s="8" t="s">
        <v>27</v>
      </c>
    </row>
    <row r="39" spans="1:16" x14ac:dyDescent="0.35">
      <c r="A39" s="7">
        <v>37</v>
      </c>
      <c r="B39" s="4" t="s">
        <v>68</v>
      </c>
      <c r="C39" s="4" t="s">
        <v>23</v>
      </c>
      <c r="D39" s="1">
        <v>183</v>
      </c>
      <c r="E39" s="1">
        <v>156</v>
      </c>
      <c r="F39" s="2">
        <v>15439.25</v>
      </c>
      <c r="G39" s="2">
        <v>8800.3700000000008</v>
      </c>
      <c r="H39" s="2">
        <v>411.75</v>
      </c>
      <c r="I39" s="2">
        <v>1560</v>
      </c>
      <c r="J39" s="2">
        <v>2970.47</v>
      </c>
      <c r="K39" s="2">
        <v>164.7</v>
      </c>
      <c r="L39" s="2">
        <v>13907.29</v>
      </c>
      <c r="M39" s="2">
        <v>1531.96</v>
      </c>
      <c r="N39" s="5">
        <v>9.9199999999999997E-2</v>
      </c>
      <c r="O39" s="3">
        <v>3.46</v>
      </c>
      <c r="P39" s="8" t="s">
        <v>24</v>
      </c>
    </row>
    <row r="40" spans="1:16" x14ac:dyDescent="0.35">
      <c r="A40" s="7">
        <v>38</v>
      </c>
      <c r="B40" s="4" t="s">
        <v>69</v>
      </c>
      <c r="C40" s="4" t="s">
        <v>32</v>
      </c>
      <c r="D40" s="1">
        <v>119</v>
      </c>
      <c r="E40" s="1">
        <v>119</v>
      </c>
      <c r="F40" s="2">
        <v>15159.81</v>
      </c>
      <c r="G40" s="2">
        <v>6821.91</v>
      </c>
      <c r="H40" s="2">
        <v>119</v>
      </c>
      <c r="I40" s="2">
        <v>476</v>
      </c>
      <c r="J40" s="2">
        <v>2242.37</v>
      </c>
      <c r="K40" s="2">
        <v>42.84</v>
      </c>
      <c r="L40" s="2">
        <v>9702.1200000000008</v>
      </c>
      <c r="M40" s="2">
        <v>5457.69</v>
      </c>
      <c r="N40" s="5">
        <v>0.36</v>
      </c>
      <c r="O40" s="3">
        <v>4.2699999999999996</v>
      </c>
      <c r="P40" s="8" t="s">
        <v>18</v>
      </c>
    </row>
    <row r="41" spans="1:16" x14ac:dyDescent="0.35">
      <c r="A41" s="7">
        <v>39</v>
      </c>
      <c r="B41" s="4" t="s">
        <v>70</v>
      </c>
      <c r="C41" s="4" t="s">
        <v>23</v>
      </c>
      <c r="D41" s="1">
        <v>103</v>
      </c>
      <c r="E41" s="1">
        <v>57</v>
      </c>
      <c r="F41" s="2">
        <v>15111.82</v>
      </c>
      <c r="G41" s="2">
        <v>8613.74</v>
      </c>
      <c r="H41" s="2">
        <v>231.75</v>
      </c>
      <c r="I41" s="2">
        <v>570</v>
      </c>
      <c r="J41" s="2">
        <v>2958.79</v>
      </c>
      <c r="K41" s="2">
        <v>92.7</v>
      </c>
      <c r="L41" s="2">
        <v>12466.98</v>
      </c>
      <c r="M41" s="2">
        <v>2644.84</v>
      </c>
      <c r="N41" s="5">
        <v>0.17499999999999999</v>
      </c>
      <c r="O41" s="3">
        <v>3.95</v>
      </c>
      <c r="P41" s="8" t="s">
        <v>27</v>
      </c>
    </row>
    <row r="42" spans="1:16" x14ac:dyDescent="0.35">
      <c r="A42" s="7">
        <v>40</v>
      </c>
      <c r="B42" s="4" t="s">
        <v>71</v>
      </c>
      <c r="C42" s="4" t="s">
        <v>23</v>
      </c>
      <c r="D42" s="1">
        <v>5</v>
      </c>
      <c r="E42" s="1">
        <v>5</v>
      </c>
      <c r="F42" s="2">
        <v>14999.45</v>
      </c>
      <c r="G42" s="2">
        <v>8549.69</v>
      </c>
      <c r="H42" s="2">
        <v>11.25</v>
      </c>
      <c r="I42" s="2">
        <v>50</v>
      </c>
      <c r="J42" s="2">
        <v>201.11</v>
      </c>
      <c r="K42" s="2">
        <v>4.5</v>
      </c>
      <c r="L42" s="2">
        <v>8816.5499999999993</v>
      </c>
      <c r="M42" s="2">
        <v>6182.9</v>
      </c>
      <c r="N42" s="5">
        <v>0.41220000000000001</v>
      </c>
      <c r="O42" s="3">
        <v>4.8</v>
      </c>
      <c r="P42" s="8" t="s">
        <v>18</v>
      </c>
    </row>
    <row r="43" spans="1:16" x14ac:dyDescent="0.35">
      <c r="A43" s="7">
        <v>41</v>
      </c>
      <c r="B43" s="4" t="s">
        <v>72</v>
      </c>
      <c r="C43" s="4" t="s">
        <v>44</v>
      </c>
      <c r="D43" s="1">
        <v>148</v>
      </c>
      <c r="E43" s="1">
        <v>142</v>
      </c>
      <c r="F43" s="2">
        <v>14869.03</v>
      </c>
      <c r="G43" s="2">
        <v>6691.06</v>
      </c>
      <c r="H43" s="2">
        <v>740</v>
      </c>
      <c r="I43" s="2">
        <v>1420</v>
      </c>
      <c r="J43" s="2">
        <v>5910.38</v>
      </c>
      <c r="K43" s="2">
        <v>53.28</v>
      </c>
      <c r="L43" s="2">
        <v>14814.72</v>
      </c>
      <c r="M43" s="2">
        <v>54.31</v>
      </c>
      <c r="N43" s="5">
        <v>3.7000000000000002E-3</v>
      </c>
      <c r="O43" s="3">
        <v>4.22</v>
      </c>
      <c r="P43" s="8" t="s">
        <v>24</v>
      </c>
    </row>
    <row r="44" spans="1:16" x14ac:dyDescent="0.35">
      <c r="A44" s="7">
        <v>42</v>
      </c>
      <c r="B44" s="4" t="s">
        <v>73</v>
      </c>
      <c r="C44" s="4" t="s">
        <v>66</v>
      </c>
      <c r="D44" s="1">
        <v>53</v>
      </c>
      <c r="E44" s="1">
        <v>48</v>
      </c>
      <c r="F44" s="2">
        <v>14818.43</v>
      </c>
      <c r="G44" s="2">
        <v>8446.51</v>
      </c>
      <c r="H44" s="2">
        <v>53</v>
      </c>
      <c r="I44" s="2">
        <v>192</v>
      </c>
      <c r="J44" s="2">
        <v>1148.28</v>
      </c>
      <c r="K44" s="2">
        <v>47.7</v>
      </c>
      <c r="L44" s="2">
        <v>9887.49</v>
      </c>
      <c r="M44" s="2">
        <v>4930.9399999999996</v>
      </c>
      <c r="N44" s="5">
        <v>0.33279999999999998</v>
      </c>
      <c r="O44" s="3">
        <v>4.32</v>
      </c>
      <c r="P44" s="8" t="s">
        <v>18</v>
      </c>
    </row>
    <row r="45" spans="1:16" x14ac:dyDescent="0.35">
      <c r="A45" s="7">
        <v>43</v>
      </c>
      <c r="B45" s="4" t="s">
        <v>74</v>
      </c>
      <c r="C45" s="4" t="s">
        <v>36</v>
      </c>
      <c r="D45" s="1">
        <v>62</v>
      </c>
      <c r="E45" s="1">
        <v>58</v>
      </c>
      <c r="F45" s="2">
        <v>14772</v>
      </c>
      <c r="G45" s="2">
        <v>6647.4</v>
      </c>
      <c r="H45" s="2">
        <v>310</v>
      </c>
      <c r="I45" s="2">
        <v>580</v>
      </c>
      <c r="J45" s="2">
        <v>3501.08</v>
      </c>
      <c r="K45" s="2">
        <v>22.32</v>
      </c>
      <c r="L45" s="2">
        <v>11060.8</v>
      </c>
      <c r="M45" s="2">
        <v>3711.2</v>
      </c>
      <c r="N45" s="5">
        <v>0.25120000000000003</v>
      </c>
      <c r="O45" s="3">
        <v>3.98</v>
      </c>
      <c r="P45" s="8" t="s">
        <v>27</v>
      </c>
    </row>
    <row r="46" spans="1:16" x14ac:dyDescent="0.35">
      <c r="A46" s="7">
        <v>44</v>
      </c>
      <c r="B46" s="4" t="s">
        <v>75</v>
      </c>
      <c r="C46" s="4" t="s">
        <v>76</v>
      </c>
      <c r="D46" s="1">
        <v>7</v>
      </c>
      <c r="E46" s="1">
        <v>7</v>
      </c>
      <c r="F46" s="2">
        <v>14770</v>
      </c>
      <c r="G46" s="2">
        <v>8418.9</v>
      </c>
      <c r="H46" s="2">
        <v>35</v>
      </c>
      <c r="I46" s="2">
        <v>70</v>
      </c>
      <c r="J46" s="2">
        <v>368.11</v>
      </c>
      <c r="K46" s="2">
        <v>2.52</v>
      </c>
      <c r="L46" s="2">
        <v>8894.5300000000007</v>
      </c>
      <c r="M46" s="2">
        <v>5875.47</v>
      </c>
      <c r="N46" s="5">
        <v>0.39779999999999999</v>
      </c>
      <c r="O46" s="3">
        <v>4.8600000000000003</v>
      </c>
      <c r="P46" s="8" t="s">
        <v>18</v>
      </c>
    </row>
    <row r="47" spans="1:16" x14ac:dyDescent="0.35">
      <c r="A47" s="7">
        <v>45</v>
      </c>
      <c r="B47" s="4" t="s">
        <v>77</v>
      </c>
      <c r="C47" s="4" t="s">
        <v>78</v>
      </c>
      <c r="D47" s="1">
        <v>19</v>
      </c>
      <c r="E47" s="1">
        <v>19</v>
      </c>
      <c r="F47" s="2">
        <v>14590</v>
      </c>
      <c r="G47" s="2">
        <v>8316.2999999999993</v>
      </c>
      <c r="H47" s="2">
        <v>42.75</v>
      </c>
      <c r="I47" s="2">
        <v>123.5</v>
      </c>
      <c r="J47" s="2">
        <v>1132.55</v>
      </c>
      <c r="K47" s="2">
        <v>6.84</v>
      </c>
      <c r="L47" s="2">
        <v>9621.94</v>
      </c>
      <c r="M47" s="2">
        <v>4968.0600000000004</v>
      </c>
      <c r="N47" s="5">
        <v>0.34049999999999997</v>
      </c>
      <c r="O47" s="3">
        <v>4.37</v>
      </c>
      <c r="P47" s="8" t="s">
        <v>18</v>
      </c>
    </row>
    <row r="48" spans="1:16" x14ac:dyDescent="0.35">
      <c r="A48" s="7">
        <v>46</v>
      </c>
      <c r="B48" s="4" t="s">
        <v>79</v>
      </c>
      <c r="C48" s="4" t="s">
        <v>44</v>
      </c>
      <c r="D48" s="1">
        <v>141</v>
      </c>
      <c r="E48" s="1">
        <v>129</v>
      </c>
      <c r="F48" s="2">
        <v>14492.14</v>
      </c>
      <c r="G48" s="2">
        <v>6521.46</v>
      </c>
      <c r="H48" s="2">
        <v>705</v>
      </c>
      <c r="I48" s="2">
        <v>1290</v>
      </c>
      <c r="J48" s="2">
        <v>5517.22</v>
      </c>
      <c r="K48" s="2">
        <v>50.76</v>
      </c>
      <c r="L48" s="2">
        <v>14084.44</v>
      </c>
      <c r="M48" s="2">
        <v>407.7</v>
      </c>
      <c r="N48" s="5">
        <v>2.81E-2</v>
      </c>
      <c r="O48" s="3">
        <v>4.13</v>
      </c>
      <c r="P48" s="8" t="s">
        <v>24</v>
      </c>
    </row>
    <row r="49" spans="1:16" x14ac:dyDescent="0.35">
      <c r="A49" s="7">
        <v>47</v>
      </c>
      <c r="B49" s="4" t="s">
        <v>80</v>
      </c>
      <c r="C49" s="4" t="s">
        <v>81</v>
      </c>
      <c r="D49" s="1">
        <v>165</v>
      </c>
      <c r="E49" s="1">
        <v>156</v>
      </c>
      <c r="F49" s="2">
        <v>14484.89</v>
      </c>
      <c r="G49" s="2">
        <v>6518.2</v>
      </c>
      <c r="H49" s="2">
        <v>371.25</v>
      </c>
      <c r="I49" s="2">
        <v>1014</v>
      </c>
      <c r="J49" s="2">
        <v>2621.8</v>
      </c>
      <c r="K49" s="2">
        <v>59.4</v>
      </c>
      <c r="L49" s="2">
        <v>10584.65</v>
      </c>
      <c r="M49" s="2">
        <v>3900.24</v>
      </c>
      <c r="N49" s="5">
        <v>0.26929999999999998</v>
      </c>
      <c r="O49" s="3">
        <v>3.82</v>
      </c>
      <c r="P49" s="8" t="s">
        <v>27</v>
      </c>
    </row>
    <row r="50" spans="1:16" x14ac:dyDescent="0.35">
      <c r="A50" s="7">
        <v>48</v>
      </c>
      <c r="B50" s="4" t="s">
        <v>82</v>
      </c>
      <c r="C50" s="4" t="s">
        <v>83</v>
      </c>
      <c r="D50" s="1">
        <v>55</v>
      </c>
      <c r="E50" s="1">
        <v>54</v>
      </c>
      <c r="F50" s="2">
        <v>14483.31</v>
      </c>
      <c r="G50" s="2">
        <v>6082.99</v>
      </c>
      <c r="H50" s="2">
        <v>55</v>
      </c>
      <c r="I50" s="2">
        <v>351</v>
      </c>
      <c r="J50" s="2">
        <v>3652.62</v>
      </c>
      <c r="K50" s="2">
        <v>19.8</v>
      </c>
      <c r="L50" s="2">
        <v>10161.41</v>
      </c>
      <c r="M50" s="2">
        <v>4321.8999999999996</v>
      </c>
      <c r="N50" s="5">
        <v>0.2984</v>
      </c>
      <c r="O50" s="3">
        <v>4.4000000000000004</v>
      </c>
      <c r="P50" s="8" t="s">
        <v>18</v>
      </c>
    </row>
    <row r="51" spans="1:16" x14ac:dyDescent="0.35">
      <c r="A51" s="7">
        <v>49</v>
      </c>
      <c r="B51" s="4" t="s">
        <v>84</v>
      </c>
      <c r="C51" s="4" t="s">
        <v>17</v>
      </c>
      <c r="D51" s="1">
        <v>231</v>
      </c>
      <c r="E51" s="1">
        <v>225</v>
      </c>
      <c r="F51" s="2">
        <v>13866.69</v>
      </c>
      <c r="G51" s="2">
        <v>5824.01</v>
      </c>
      <c r="H51" s="2">
        <v>231</v>
      </c>
      <c r="I51" s="2">
        <v>900</v>
      </c>
      <c r="J51" s="2">
        <v>3742.79</v>
      </c>
      <c r="K51" s="2">
        <v>83.16</v>
      </c>
      <c r="L51" s="2">
        <v>10780.96</v>
      </c>
      <c r="M51" s="2">
        <v>3085.73</v>
      </c>
      <c r="N51" s="5">
        <v>0.2225</v>
      </c>
      <c r="O51" s="3">
        <v>3.88</v>
      </c>
      <c r="P51" s="8" t="s">
        <v>27</v>
      </c>
    </row>
    <row r="52" spans="1:16" x14ac:dyDescent="0.35">
      <c r="A52" s="7">
        <v>50</v>
      </c>
      <c r="B52" s="4" t="s">
        <v>85</v>
      </c>
      <c r="C52" s="4" t="s">
        <v>17</v>
      </c>
      <c r="D52" s="1">
        <v>90</v>
      </c>
      <c r="E52" s="1">
        <v>84</v>
      </c>
      <c r="F52" s="2">
        <v>13839</v>
      </c>
      <c r="G52" s="2">
        <v>5812.38</v>
      </c>
      <c r="H52" s="2">
        <v>90</v>
      </c>
      <c r="I52" s="2">
        <v>336</v>
      </c>
      <c r="J52" s="2">
        <v>1532.22</v>
      </c>
      <c r="K52" s="2">
        <v>32.4</v>
      </c>
      <c r="L52" s="2">
        <v>7803</v>
      </c>
      <c r="M52" s="2">
        <v>6036</v>
      </c>
      <c r="N52" s="5">
        <v>0.43619999999999998</v>
      </c>
      <c r="O52" s="3">
        <v>4.0999999999999996</v>
      </c>
      <c r="P52" s="8" t="s">
        <v>18</v>
      </c>
    </row>
    <row r="53" spans="1:16" x14ac:dyDescent="0.35">
      <c r="A53" s="7">
        <v>51</v>
      </c>
      <c r="B53" s="4" t="s">
        <v>86</v>
      </c>
      <c r="C53" s="4" t="s">
        <v>87</v>
      </c>
      <c r="D53" s="1">
        <v>47</v>
      </c>
      <c r="E53" s="1">
        <v>45</v>
      </c>
      <c r="F53" s="2">
        <v>13685.71</v>
      </c>
      <c r="G53" s="2">
        <v>6158.57</v>
      </c>
      <c r="H53" s="2">
        <v>105.75</v>
      </c>
      <c r="I53" s="2">
        <v>292.5</v>
      </c>
      <c r="J53" s="2">
        <v>1935.45</v>
      </c>
      <c r="K53" s="2">
        <v>16.920000000000002</v>
      </c>
      <c r="L53" s="2">
        <v>8509.19</v>
      </c>
      <c r="M53" s="2">
        <v>5176.5200000000004</v>
      </c>
      <c r="N53" s="5">
        <v>0.37819999999999998</v>
      </c>
      <c r="O53" s="3">
        <v>4.3499999999999996</v>
      </c>
      <c r="P53" s="8" t="s">
        <v>18</v>
      </c>
    </row>
    <row r="54" spans="1:16" x14ac:dyDescent="0.35">
      <c r="A54" s="7">
        <v>52</v>
      </c>
      <c r="B54" s="4" t="s">
        <v>88</v>
      </c>
      <c r="C54" s="4" t="s">
        <v>23</v>
      </c>
      <c r="D54" s="1">
        <v>80</v>
      </c>
      <c r="E54" s="1">
        <v>74</v>
      </c>
      <c r="F54" s="2">
        <v>13680</v>
      </c>
      <c r="G54" s="2">
        <v>7797.6</v>
      </c>
      <c r="H54" s="2">
        <v>180</v>
      </c>
      <c r="I54" s="2">
        <v>740</v>
      </c>
      <c r="J54" s="2">
        <v>1273.81</v>
      </c>
      <c r="K54" s="2">
        <v>72</v>
      </c>
      <c r="L54" s="2">
        <v>10063.41</v>
      </c>
      <c r="M54" s="2">
        <v>3616.59</v>
      </c>
      <c r="N54" s="5">
        <v>0.26440000000000002</v>
      </c>
      <c r="O54" s="3">
        <v>4.09</v>
      </c>
      <c r="P54" s="8" t="s">
        <v>18</v>
      </c>
    </row>
    <row r="55" spans="1:16" x14ac:dyDescent="0.35">
      <c r="A55" s="7">
        <v>53</v>
      </c>
      <c r="B55" s="4" t="s">
        <v>89</v>
      </c>
      <c r="C55" s="4" t="s">
        <v>90</v>
      </c>
      <c r="D55" s="1">
        <v>56</v>
      </c>
      <c r="E55" s="1">
        <v>55</v>
      </c>
      <c r="F55" s="2">
        <v>13550</v>
      </c>
      <c r="G55" s="2">
        <v>6097.5</v>
      </c>
      <c r="H55" s="2">
        <v>126</v>
      </c>
      <c r="I55" s="2">
        <v>357.5</v>
      </c>
      <c r="J55" s="2">
        <v>2688.5</v>
      </c>
      <c r="K55" s="2">
        <v>20.16</v>
      </c>
      <c r="L55" s="2">
        <v>9289.66</v>
      </c>
      <c r="M55" s="2">
        <v>4260.34</v>
      </c>
      <c r="N55" s="5">
        <v>0.31440000000000001</v>
      </c>
      <c r="O55" s="3">
        <v>4.21</v>
      </c>
      <c r="P55" s="8" t="s">
        <v>18</v>
      </c>
    </row>
    <row r="56" spans="1:16" x14ac:dyDescent="0.35">
      <c r="A56" s="7">
        <v>54</v>
      </c>
      <c r="B56" s="4" t="s">
        <v>91</v>
      </c>
      <c r="C56" s="4" t="s">
        <v>92</v>
      </c>
      <c r="D56" s="1">
        <v>8</v>
      </c>
      <c r="E56" s="1">
        <v>1</v>
      </c>
      <c r="F56" s="2">
        <v>13440</v>
      </c>
      <c r="G56" s="2">
        <v>7660.8</v>
      </c>
      <c r="H56" s="2">
        <v>8</v>
      </c>
      <c r="I56" s="2">
        <v>4</v>
      </c>
      <c r="J56" s="2">
        <v>224.08</v>
      </c>
      <c r="K56" s="2">
        <v>7.2</v>
      </c>
      <c r="L56" s="2">
        <v>7904.08</v>
      </c>
      <c r="M56" s="2">
        <v>5535.92</v>
      </c>
      <c r="N56" s="5">
        <v>0.41189999999999999</v>
      </c>
      <c r="O56" s="3">
        <v>1</v>
      </c>
      <c r="P56" s="8" t="s">
        <v>24</v>
      </c>
    </row>
    <row r="57" spans="1:16" x14ac:dyDescent="0.35">
      <c r="A57" s="7">
        <v>55</v>
      </c>
      <c r="B57" s="4" t="s">
        <v>93</v>
      </c>
      <c r="C57" s="4" t="s">
        <v>78</v>
      </c>
      <c r="D57" s="1">
        <v>7</v>
      </c>
      <c r="E57" s="1">
        <v>7</v>
      </c>
      <c r="F57" s="2">
        <v>13193</v>
      </c>
      <c r="G57" s="2">
        <v>7520.01</v>
      </c>
      <c r="H57" s="2">
        <v>15.75</v>
      </c>
      <c r="I57" s="2">
        <v>45.5</v>
      </c>
      <c r="J57" s="2">
        <v>432.64</v>
      </c>
      <c r="K57" s="2">
        <v>2.52</v>
      </c>
      <c r="L57" s="2">
        <v>8016.42</v>
      </c>
      <c r="M57" s="2">
        <v>5176.58</v>
      </c>
      <c r="N57" s="5">
        <v>0.39240000000000003</v>
      </c>
      <c r="O57" s="3">
        <v>4.29</v>
      </c>
      <c r="P57" s="8" t="s">
        <v>18</v>
      </c>
    </row>
    <row r="58" spans="1:16" x14ac:dyDescent="0.35">
      <c r="A58" s="7">
        <v>56</v>
      </c>
      <c r="B58" s="4" t="s">
        <v>94</v>
      </c>
      <c r="C58" s="4" t="s">
        <v>57</v>
      </c>
      <c r="D58" s="1">
        <v>56</v>
      </c>
      <c r="E58" s="1">
        <v>56</v>
      </c>
      <c r="F58" s="2">
        <v>13139.8</v>
      </c>
      <c r="G58" s="2">
        <v>5912.91</v>
      </c>
      <c r="H58" s="2">
        <v>126</v>
      </c>
      <c r="I58" s="2">
        <v>364</v>
      </c>
      <c r="J58" s="2">
        <v>1607.33</v>
      </c>
      <c r="K58" s="2">
        <v>20.16</v>
      </c>
      <c r="L58" s="2">
        <v>8030.4</v>
      </c>
      <c r="M58" s="2">
        <v>5109.3999999999996</v>
      </c>
      <c r="N58" s="5">
        <v>0.38880000000000003</v>
      </c>
      <c r="O58" s="3">
        <v>4.41</v>
      </c>
      <c r="P58" s="8" t="s">
        <v>18</v>
      </c>
    </row>
    <row r="59" spans="1:16" x14ac:dyDescent="0.35">
      <c r="A59" s="7">
        <v>57</v>
      </c>
      <c r="B59" s="4" t="s">
        <v>95</v>
      </c>
      <c r="C59" s="4" t="s">
        <v>96</v>
      </c>
      <c r="D59" s="1">
        <v>26</v>
      </c>
      <c r="E59" s="1">
        <v>26</v>
      </c>
      <c r="F59" s="2">
        <v>12992.65</v>
      </c>
      <c r="G59" s="2">
        <v>7405.81</v>
      </c>
      <c r="H59" s="2">
        <v>26</v>
      </c>
      <c r="I59" s="2">
        <v>169</v>
      </c>
      <c r="J59" s="2">
        <v>532.74</v>
      </c>
      <c r="K59" s="2">
        <v>23.4</v>
      </c>
      <c r="L59" s="2">
        <v>8156.95</v>
      </c>
      <c r="M59" s="2">
        <v>4835.7</v>
      </c>
      <c r="N59" s="5">
        <v>0.37219999999999998</v>
      </c>
      <c r="O59" s="3">
        <v>3.5</v>
      </c>
      <c r="P59" s="8" t="s">
        <v>27</v>
      </c>
    </row>
    <row r="60" spans="1:16" x14ac:dyDescent="0.35">
      <c r="A60" s="7">
        <v>58</v>
      </c>
      <c r="B60" s="4" t="s">
        <v>97</v>
      </c>
      <c r="C60" s="4" t="s">
        <v>98</v>
      </c>
      <c r="D60" s="1">
        <v>70</v>
      </c>
      <c r="E60" s="1">
        <v>49</v>
      </c>
      <c r="F60" s="2">
        <v>12947.09</v>
      </c>
      <c r="G60" s="2">
        <v>5826.19</v>
      </c>
      <c r="H60" s="2">
        <v>350</v>
      </c>
      <c r="I60" s="2">
        <v>490</v>
      </c>
      <c r="J60" s="2">
        <v>4024.85</v>
      </c>
      <c r="K60" s="2">
        <v>25.2</v>
      </c>
      <c r="L60" s="2">
        <v>10716.24</v>
      </c>
      <c r="M60" s="2">
        <v>2230.85</v>
      </c>
      <c r="N60" s="5">
        <v>0.17230000000000001</v>
      </c>
      <c r="O60" s="3">
        <v>3.44</v>
      </c>
      <c r="P60" s="8" t="s">
        <v>27</v>
      </c>
    </row>
    <row r="61" spans="1:16" x14ac:dyDescent="0.35">
      <c r="A61" s="7">
        <v>59</v>
      </c>
      <c r="B61" s="4" t="s">
        <v>99</v>
      </c>
      <c r="C61" s="4" t="s">
        <v>32</v>
      </c>
      <c r="D61" s="1">
        <v>90</v>
      </c>
      <c r="E61" s="1">
        <v>90</v>
      </c>
      <c r="F61" s="2">
        <v>12914.1</v>
      </c>
      <c r="G61" s="2">
        <v>5811.34</v>
      </c>
      <c r="H61" s="2">
        <v>90</v>
      </c>
      <c r="I61" s="2">
        <v>360</v>
      </c>
      <c r="J61" s="2">
        <v>1522.68</v>
      </c>
      <c r="K61" s="2">
        <v>32.4</v>
      </c>
      <c r="L61" s="2">
        <v>7816.42</v>
      </c>
      <c r="M61" s="2">
        <v>5097.68</v>
      </c>
      <c r="N61" s="5">
        <v>0.3947</v>
      </c>
      <c r="O61" s="3">
        <v>4.1500000000000004</v>
      </c>
      <c r="P61" s="8" t="s">
        <v>18</v>
      </c>
    </row>
    <row r="62" spans="1:16" x14ac:dyDescent="0.35">
      <c r="A62" s="7">
        <v>60</v>
      </c>
      <c r="B62" s="4" t="s">
        <v>100</v>
      </c>
      <c r="C62" s="4" t="s">
        <v>57</v>
      </c>
      <c r="D62" s="1">
        <v>89</v>
      </c>
      <c r="E62" s="1">
        <v>89</v>
      </c>
      <c r="F62" s="2">
        <v>12819.3</v>
      </c>
      <c r="G62" s="2">
        <v>5768.68</v>
      </c>
      <c r="H62" s="2">
        <v>200.25</v>
      </c>
      <c r="I62" s="2">
        <v>578.5</v>
      </c>
      <c r="J62" s="2">
        <v>1890.05</v>
      </c>
      <c r="K62" s="2">
        <v>32.04</v>
      </c>
      <c r="L62" s="2">
        <v>8469.52</v>
      </c>
      <c r="M62" s="2">
        <v>4349.78</v>
      </c>
      <c r="N62" s="5">
        <v>0.33929999999999999</v>
      </c>
      <c r="O62" s="3">
        <v>4.33</v>
      </c>
      <c r="P62" s="8" t="s">
        <v>18</v>
      </c>
    </row>
    <row r="63" spans="1:16" x14ac:dyDescent="0.35">
      <c r="A63" s="7">
        <v>61</v>
      </c>
      <c r="B63" s="4" t="s">
        <v>101</v>
      </c>
      <c r="C63" s="4" t="s">
        <v>102</v>
      </c>
      <c r="D63" s="1">
        <v>15</v>
      </c>
      <c r="E63" s="1">
        <v>12</v>
      </c>
      <c r="F63" s="2">
        <v>12788</v>
      </c>
      <c r="G63" s="2">
        <v>7289.16</v>
      </c>
      <c r="H63" s="2">
        <v>33.75</v>
      </c>
      <c r="I63" s="2">
        <v>78</v>
      </c>
      <c r="J63" s="2">
        <v>358.53</v>
      </c>
      <c r="K63" s="2">
        <v>5.4</v>
      </c>
      <c r="L63" s="2">
        <v>7764.84</v>
      </c>
      <c r="M63" s="2">
        <v>5023.16</v>
      </c>
      <c r="N63" s="5">
        <v>0.39280000000000004</v>
      </c>
      <c r="O63" s="3">
        <v>3.33</v>
      </c>
      <c r="P63" s="8" t="s">
        <v>27</v>
      </c>
    </row>
    <row r="64" spans="1:16" x14ac:dyDescent="0.35">
      <c r="A64" s="7">
        <v>62</v>
      </c>
      <c r="B64" s="4" t="s">
        <v>103</v>
      </c>
      <c r="C64" s="4" t="s">
        <v>104</v>
      </c>
      <c r="D64" s="1">
        <v>106</v>
      </c>
      <c r="E64" s="1">
        <v>100</v>
      </c>
      <c r="F64" s="2">
        <v>12636.9</v>
      </c>
      <c r="G64" s="2">
        <v>5307.5</v>
      </c>
      <c r="H64" s="2">
        <v>106</v>
      </c>
      <c r="I64" s="2">
        <v>400</v>
      </c>
      <c r="J64" s="2">
        <v>1626.97</v>
      </c>
      <c r="K64" s="2">
        <v>38.159999999999997</v>
      </c>
      <c r="L64" s="2">
        <v>7478.63</v>
      </c>
      <c r="M64" s="2">
        <v>5158.2700000000004</v>
      </c>
      <c r="N64" s="5">
        <v>0.40820000000000001</v>
      </c>
      <c r="O64" s="3">
        <v>4.41</v>
      </c>
      <c r="P64" s="8" t="s">
        <v>18</v>
      </c>
    </row>
    <row r="65" spans="1:16" x14ac:dyDescent="0.35">
      <c r="A65" s="7">
        <v>63</v>
      </c>
      <c r="B65" s="4" t="s">
        <v>105</v>
      </c>
      <c r="C65" s="4" t="s">
        <v>17</v>
      </c>
      <c r="D65" s="1">
        <v>10</v>
      </c>
      <c r="E65" s="1">
        <v>10</v>
      </c>
      <c r="F65" s="2">
        <v>12546.5</v>
      </c>
      <c r="G65" s="2">
        <v>5269.53</v>
      </c>
      <c r="H65" s="2">
        <v>10</v>
      </c>
      <c r="I65" s="2">
        <v>40</v>
      </c>
      <c r="J65" s="2">
        <v>280.70999999999998</v>
      </c>
      <c r="K65" s="2">
        <v>3.6</v>
      </c>
      <c r="L65" s="2">
        <v>5603.84</v>
      </c>
      <c r="M65" s="2">
        <v>6942.66</v>
      </c>
      <c r="N65" s="5">
        <v>0.5534</v>
      </c>
      <c r="O65" s="3">
        <v>4.3</v>
      </c>
      <c r="P65" s="8" t="s">
        <v>18</v>
      </c>
    </row>
    <row r="66" spans="1:16" x14ac:dyDescent="0.35">
      <c r="A66" s="7">
        <v>64</v>
      </c>
      <c r="B66" s="4" t="s">
        <v>106</v>
      </c>
      <c r="C66" s="4" t="s">
        <v>34</v>
      </c>
      <c r="D66" s="1">
        <v>160</v>
      </c>
      <c r="E66" s="1">
        <v>158</v>
      </c>
      <c r="F66" s="2">
        <v>12475</v>
      </c>
      <c r="G66" s="2">
        <v>5239.5</v>
      </c>
      <c r="H66" s="2">
        <v>160</v>
      </c>
      <c r="I66" s="2">
        <v>632</v>
      </c>
      <c r="J66" s="2">
        <v>2505.5300000000002</v>
      </c>
      <c r="K66" s="2">
        <v>57.6</v>
      </c>
      <c r="L66" s="2">
        <v>8594.6299999999992</v>
      </c>
      <c r="M66" s="2">
        <v>3880.37</v>
      </c>
      <c r="N66" s="5">
        <v>0.31109999999999999</v>
      </c>
      <c r="O66" s="3">
        <v>3.85</v>
      </c>
      <c r="P66" s="8" t="s">
        <v>27</v>
      </c>
    </row>
    <row r="67" spans="1:16" x14ac:dyDescent="0.35">
      <c r="A67" s="7">
        <v>65</v>
      </c>
      <c r="B67" s="4" t="s">
        <v>107</v>
      </c>
      <c r="C67" s="4" t="s">
        <v>23</v>
      </c>
      <c r="D67" s="1">
        <v>87</v>
      </c>
      <c r="E67" s="1">
        <v>77</v>
      </c>
      <c r="F67" s="2">
        <v>12329.8</v>
      </c>
      <c r="G67" s="2">
        <v>7027.99</v>
      </c>
      <c r="H67" s="2">
        <v>195.75</v>
      </c>
      <c r="I67" s="2">
        <v>770</v>
      </c>
      <c r="J67" s="2">
        <v>1625.54</v>
      </c>
      <c r="K67" s="2">
        <v>78.3</v>
      </c>
      <c r="L67" s="2">
        <v>9697.58</v>
      </c>
      <c r="M67" s="2">
        <v>2632.22</v>
      </c>
      <c r="N67" s="5">
        <v>0.21350000000000002</v>
      </c>
      <c r="O67" s="3">
        <v>3.62</v>
      </c>
      <c r="P67" s="8" t="s">
        <v>27</v>
      </c>
    </row>
    <row r="68" spans="1:16" x14ac:dyDescent="0.35">
      <c r="A68" s="7">
        <v>66</v>
      </c>
      <c r="B68" s="4" t="s">
        <v>108</v>
      </c>
      <c r="C68" s="4" t="s">
        <v>23</v>
      </c>
      <c r="D68" s="1">
        <v>139</v>
      </c>
      <c r="E68" s="1">
        <v>114</v>
      </c>
      <c r="F68" s="2">
        <v>12306.81</v>
      </c>
      <c r="G68" s="2">
        <v>7014.88</v>
      </c>
      <c r="H68" s="2">
        <v>312.75</v>
      </c>
      <c r="I68" s="2">
        <v>1140</v>
      </c>
      <c r="J68" s="2">
        <v>2102.15</v>
      </c>
      <c r="K68" s="2">
        <v>125.1</v>
      </c>
      <c r="L68" s="2">
        <v>10694.88</v>
      </c>
      <c r="M68" s="2">
        <v>1611.93</v>
      </c>
      <c r="N68" s="5">
        <v>0.13100000000000001</v>
      </c>
      <c r="O68" s="3">
        <v>4.01</v>
      </c>
      <c r="P68" s="8" t="s">
        <v>27</v>
      </c>
    </row>
    <row r="69" spans="1:16" x14ac:dyDescent="0.35">
      <c r="A69" s="7">
        <v>67</v>
      </c>
      <c r="B69" s="4" t="s">
        <v>109</v>
      </c>
      <c r="C69" s="4" t="s">
        <v>104</v>
      </c>
      <c r="D69" s="1">
        <v>33</v>
      </c>
      <c r="E69" s="1">
        <v>33</v>
      </c>
      <c r="F69" s="2">
        <v>12086.26</v>
      </c>
      <c r="G69" s="2">
        <v>5076.2299999999996</v>
      </c>
      <c r="H69" s="2">
        <v>33</v>
      </c>
      <c r="I69" s="2">
        <v>132</v>
      </c>
      <c r="J69" s="2">
        <v>742.83</v>
      </c>
      <c r="K69" s="2">
        <v>11.88</v>
      </c>
      <c r="L69" s="2">
        <v>5995.94</v>
      </c>
      <c r="M69" s="2">
        <v>6090.32</v>
      </c>
      <c r="N69" s="5">
        <v>0.50390000000000001</v>
      </c>
      <c r="O69" s="3">
        <v>4.3600000000000003</v>
      </c>
      <c r="P69" s="8" t="s">
        <v>18</v>
      </c>
    </row>
    <row r="70" spans="1:16" x14ac:dyDescent="0.35">
      <c r="A70" s="7">
        <v>68</v>
      </c>
      <c r="B70" s="4" t="s">
        <v>110</v>
      </c>
      <c r="C70" s="4" t="s">
        <v>34</v>
      </c>
      <c r="D70" s="1">
        <v>104</v>
      </c>
      <c r="E70" s="1">
        <v>102</v>
      </c>
      <c r="F70" s="2">
        <v>11907.2</v>
      </c>
      <c r="G70" s="2">
        <v>5001.0200000000004</v>
      </c>
      <c r="H70" s="2">
        <v>104</v>
      </c>
      <c r="I70" s="2">
        <v>408</v>
      </c>
      <c r="J70" s="2">
        <v>1567.43</v>
      </c>
      <c r="K70" s="2">
        <v>37.44</v>
      </c>
      <c r="L70" s="2">
        <v>7117.89</v>
      </c>
      <c r="M70" s="2">
        <v>4789.3100000000004</v>
      </c>
      <c r="N70" s="5">
        <v>0.4022</v>
      </c>
      <c r="O70" s="3">
        <v>3.59</v>
      </c>
      <c r="P70" s="8" t="s">
        <v>27</v>
      </c>
    </row>
    <row r="71" spans="1:16" x14ac:dyDescent="0.35">
      <c r="A71" s="7">
        <v>69</v>
      </c>
      <c r="B71" s="4" t="s">
        <v>111</v>
      </c>
      <c r="C71" s="4" t="s">
        <v>34</v>
      </c>
      <c r="D71" s="1">
        <v>13</v>
      </c>
      <c r="E71" s="1">
        <v>13</v>
      </c>
      <c r="F71" s="2">
        <v>11885.05</v>
      </c>
      <c r="G71" s="2">
        <v>4991.72</v>
      </c>
      <c r="H71" s="2">
        <v>13</v>
      </c>
      <c r="I71" s="2">
        <v>52</v>
      </c>
      <c r="J71" s="2">
        <v>362.96</v>
      </c>
      <c r="K71" s="2">
        <v>4.68</v>
      </c>
      <c r="L71" s="2">
        <v>5424.36</v>
      </c>
      <c r="M71" s="2">
        <v>6460.69</v>
      </c>
      <c r="N71" s="5">
        <v>0.54359999999999997</v>
      </c>
      <c r="O71" s="3">
        <v>3.92</v>
      </c>
      <c r="P71" s="8" t="s">
        <v>27</v>
      </c>
    </row>
    <row r="72" spans="1:16" x14ac:dyDescent="0.35">
      <c r="A72" s="7">
        <v>70</v>
      </c>
      <c r="B72" s="4" t="s">
        <v>112</v>
      </c>
      <c r="C72" s="4" t="s">
        <v>32</v>
      </c>
      <c r="D72" s="1">
        <v>120</v>
      </c>
      <c r="E72" s="1">
        <v>120</v>
      </c>
      <c r="F72" s="2">
        <v>11868.42</v>
      </c>
      <c r="G72" s="2">
        <v>5340.79</v>
      </c>
      <c r="H72" s="2">
        <v>120</v>
      </c>
      <c r="I72" s="2">
        <v>480</v>
      </c>
      <c r="J72" s="2">
        <v>1956.54</v>
      </c>
      <c r="K72" s="2">
        <v>43.2</v>
      </c>
      <c r="L72" s="2">
        <v>7940.53</v>
      </c>
      <c r="M72" s="2">
        <v>3927.89</v>
      </c>
      <c r="N72" s="5">
        <v>0.33100000000000002</v>
      </c>
      <c r="O72" s="3">
        <v>4.24</v>
      </c>
      <c r="P72" s="8" t="s">
        <v>18</v>
      </c>
    </row>
    <row r="73" spans="1:16" x14ac:dyDescent="0.35">
      <c r="A73" s="7">
        <v>71</v>
      </c>
      <c r="B73" s="4" t="s">
        <v>113</v>
      </c>
      <c r="C73" s="4" t="s">
        <v>17</v>
      </c>
      <c r="D73" s="1">
        <v>22</v>
      </c>
      <c r="E73" s="1">
        <v>22</v>
      </c>
      <c r="F73" s="2">
        <v>11840.3</v>
      </c>
      <c r="G73" s="2">
        <v>4972.93</v>
      </c>
      <c r="H73" s="2">
        <v>22</v>
      </c>
      <c r="I73" s="2">
        <v>88</v>
      </c>
      <c r="J73" s="2">
        <v>611.20000000000005</v>
      </c>
      <c r="K73" s="2">
        <v>7.92</v>
      </c>
      <c r="L73" s="2">
        <v>5702.05</v>
      </c>
      <c r="M73" s="2">
        <v>6138.25</v>
      </c>
      <c r="N73" s="5">
        <v>0.51840000000000008</v>
      </c>
      <c r="O73" s="3">
        <v>3.68</v>
      </c>
      <c r="P73" s="8" t="s">
        <v>27</v>
      </c>
    </row>
    <row r="74" spans="1:16" x14ac:dyDescent="0.35">
      <c r="A74" s="7">
        <v>72</v>
      </c>
      <c r="B74" s="4" t="s">
        <v>114</v>
      </c>
      <c r="C74" s="4" t="s">
        <v>17</v>
      </c>
      <c r="D74" s="1">
        <v>65</v>
      </c>
      <c r="E74" s="1">
        <v>64</v>
      </c>
      <c r="F74" s="2">
        <v>11823.5</v>
      </c>
      <c r="G74" s="2">
        <v>4965.87</v>
      </c>
      <c r="H74" s="2">
        <v>65</v>
      </c>
      <c r="I74" s="2">
        <v>256</v>
      </c>
      <c r="J74" s="2">
        <v>1450.46</v>
      </c>
      <c r="K74" s="2">
        <v>23.4</v>
      </c>
      <c r="L74" s="2">
        <v>6760.73</v>
      </c>
      <c r="M74" s="2">
        <v>5062.7700000000004</v>
      </c>
      <c r="N74" s="5">
        <v>0.42820000000000003</v>
      </c>
      <c r="O74" s="3">
        <v>4.3899999999999997</v>
      </c>
      <c r="P74" s="8" t="s">
        <v>18</v>
      </c>
    </row>
    <row r="75" spans="1:16" x14ac:dyDescent="0.35">
      <c r="A75" s="7">
        <v>73</v>
      </c>
      <c r="B75" s="4" t="s">
        <v>115</v>
      </c>
      <c r="C75" s="4" t="s">
        <v>116</v>
      </c>
      <c r="D75" s="1">
        <v>38</v>
      </c>
      <c r="E75" s="1">
        <v>37</v>
      </c>
      <c r="F75" s="2">
        <v>11663.5</v>
      </c>
      <c r="G75" s="2">
        <v>4898.67</v>
      </c>
      <c r="H75" s="2">
        <v>38</v>
      </c>
      <c r="I75" s="2">
        <v>148</v>
      </c>
      <c r="J75" s="2">
        <v>805.84</v>
      </c>
      <c r="K75" s="2">
        <v>13.68</v>
      </c>
      <c r="L75" s="2">
        <v>5904.19</v>
      </c>
      <c r="M75" s="2">
        <v>5759.31</v>
      </c>
      <c r="N75" s="5">
        <v>0.49380000000000002</v>
      </c>
      <c r="O75" s="3">
        <v>4.45</v>
      </c>
      <c r="P75" s="8" t="s">
        <v>18</v>
      </c>
    </row>
    <row r="76" spans="1:16" x14ac:dyDescent="0.35">
      <c r="A76" s="7">
        <v>74</v>
      </c>
      <c r="B76" s="4" t="s">
        <v>117</v>
      </c>
      <c r="C76" s="4" t="s">
        <v>23</v>
      </c>
      <c r="D76" s="1">
        <v>127</v>
      </c>
      <c r="E76" s="1">
        <v>111</v>
      </c>
      <c r="F76" s="2">
        <v>11240.96</v>
      </c>
      <c r="G76" s="2">
        <v>6407.35</v>
      </c>
      <c r="H76" s="2">
        <v>285.75</v>
      </c>
      <c r="I76" s="2">
        <v>1110</v>
      </c>
      <c r="J76" s="2">
        <v>1577.25</v>
      </c>
      <c r="K76" s="2">
        <v>114.3</v>
      </c>
      <c r="L76" s="2">
        <v>9494.65</v>
      </c>
      <c r="M76" s="2">
        <v>1746.31</v>
      </c>
      <c r="N76" s="5">
        <v>0.15539999999999998</v>
      </c>
      <c r="O76" s="3">
        <v>3.29</v>
      </c>
      <c r="P76" s="8" t="s">
        <v>27</v>
      </c>
    </row>
    <row r="77" spans="1:16" x14ac:dyDescent="0.35">
      <c r="A77" s="7">
        <v>75</v>
      </c>
      <c r="B77" s="4" t="s">
        <v>118</v>
      </c>
      <c r="C77" s="4" t="s">
        <v>34</v>
      </c>
      <c r="D77" s="1">
        <v>52</v>
      </c>
      <c r="E77" s="1">
        <v>52</v>
      </c>
      <c r="F77" s="2">
        <v>10916.6</v>
      </c>
      <c r="G77" s="2">
        <v>4584.97</v>
      </c>
      <c r="H77" s="2">
        <v>52</v>
      </c>
      <c r="I77" s="2">
        <v>208</v>
      </c>
      <c r="J77" s="2">
        <v>1022.68</v>
      </c>
      <c r="K77" s="2">
        <v>18.72</v>
      </c>
      <c r="L77" s="2">
        <v>5886.37</v>
      </c>
      <c r="M77" s="2">
        <v>5030.2299999999996</v>
      </c>
      <c r="N77" s="5">
        <v>0.46079999999999999</v>
      </c>
      <c r="O77" s="3">
        <v>3.25</v>
      </c>
      <c r="P77" s="8" t="s">
        <v>27</v>
      </c>
    </row>
    <row r="78" spans="1:16" x14ac:dyDescent="0.35">
      <c r="A78" s="7">
        <v>76</v>
      </c>
      <c r="B78" s="4" t="s">
        <v>119</v>
      </c>
      <c r="C78" s="4" t="s">
        <v>87</v>
      </c>
      <c r="D78" s="1">
        <v>183</v>
      </c>
      <c r="E78" s="1">
        <v>160</v>
      </c>
      <c r="F78" s="2">
        <v>10870.1</v>
      </c>
      <c r="G78" s="2">
        <v>4891.54</v>
      </c>
      <c r="H78" s="2">
        <v>411.75</v>
      </c>
      <c r="I78" s="2">
        <v>1040</v>
      </c>
      <c r="J78" s="2">
        <v>3388.87</v>
      </c>
      <c r="K78" s="2">
        <v>65.88</v>
      </c>
      <c r="L78" s="2">
        <v>9798.0400000000009</v>
      </c>
      <c r="M78" s="2">
        <v>1072.06</v>
      </c>
      <c r="N78" s="5">
        <v>9.8599999999999993E-2</v>
      </c>
      <c r="O78" s="3">
        <v>4</v>
      </c>
      <c r="P78" s="8" t="s">
        <v>24</v>
      </c>
    </row>
    <row r="79" spans="1:16" x14ac:dyDescent="0.35">
      <c r="A79" s="7">
        <v>77</v>
      </c>
      <c r="B79" s="4" t="s">
        <v>120</v>
      </c>
      <c r="C79" s="4" t="s">
        <v>66</v>
      </c>
      <c r="D79" s="1">
        <v>53</v>
      </c>
      <c r="E79" s="1">
        <v>46</v>
      </c>
      <c r="F79" s="2">
        <v>10854.12</v>
      </c>
      <c r="G79" s="2">
        <v>6186.85</v>
      </c>
      <c r="H79" s="2">
        <v>53</v>
      </c>
      <c r="I79" s="2">
        <v>184</v>
      </c>
      <c r="J79" s="2">
        <v>1136.67</v>
      </c>
      <c r="K79" s="2">
        <v>47.7</v>
      </c>
      <c r="L79" s="2">
        <v>7608.22</v>
      </c>
      <c r="M79" s="2">
        <v>3245.9</v>
      </c>
      <c r="N79" s="5">
        <v>0.29899999999999999</v>
      </c>
      <c r="O79" s="3">
        <v>4.45</v>
      </c>
      <c r="P79" s="8" t="s">
        <v>18</v>
      </c>
    </row>
    <row r="80" spans="1:16" x14ac:dyDescent="0.35">
      <c r="A80" s="7">
        <v>78</v>
      </c>
      <c r="B80" s="4" t="s">
        <v>121</v>
      </c>
      <c r="C80" s="4" t="s">
        <v>32</v>
      </c>
      <c r="D80" s="1">
        <v>51</v>
      </c>
      <c r="E80" s="1">
        <v>50</v>
      </c>
      <c r="F80" s="2">
        <v>10829.73</v>
      </c>
      <c r="G80" s="2">
        <v>4873.38</v>
      </c>
      <c r="H80" s="2">
        <v>51</v>
      </c>
      <c r="I80" s="2">
        <v>200</v>
      </c>
      <c r="J80" s="2">
        <v>1385.95</v>
      </c>
      <c r="K80" s="2">
        <v>18.36</v>
      </c>
      <c r="L80" s="2">
        <v>6528.69</v>
      </c>
      <c r="M80" s="2">
        <v>4301.04</v>
      </c>
      <c r="N80" s="5">
        <v>0.3972</v>
      </c>
      <c r="O80" s="3">
        <v>4.42</v>
      </c>
      <c r="P80" s="8" t="s">
        <v>18</v>
      </c>
    </row>
    <row r="81" spans="1:16" x14ac:dyDescent="0.35">
      <c r="A81" s="7">
        <v>79</v>
      </c>
      <c r="B81" s="4" t="s">
        <v>122</v>
      </c>
      <c r="C81" s="4" t="s">
        <v>123</v>
      </c>
      <c r="D81" s="1">
        <v>107</v>
      </c>
      <c r="E81" s="1">
        <v>106</v>
      </c>
      <c r="F81" s="2">
        <v>10803.72</v>
      </c>
      <c r="G81" s="2">
        <v>4321.49</v>
      </c>
      <c r="H81" s="2">
        <v>107</v>
      </c>
      <c r="I81" s="2">
        <v>424</v>
      </c>
      <c r="J81" s="2">
        <v>2048.5</v>
      </c>
      <c r="K81" s="2">
        <v>38.520000000000003</v>
      </c>
      <c r="L81" s="2">
        <v>6939.51</v>
      </c>
      <c r="M81" s="2">
        <v>3864.21</v>
      </c>
      <c r="N81" s="5">
        <v>0.35770000000000002</v>
      </c>
      <c r="O81" s="3">
        <v>3.75</v>
      </c>
      <c r="P81" s="8" t="s">
        <v>27</v>
      </c>
    </row>
    <row r="82" spans="1:16" x14ac:dyDescent="0.35">
      <c r="A82" s="7">
        <v>80</v>
      </c>
      <c r="B82" s="4" t="s">
        <v>124</v>
      </c>
      <c r="C82" s="4" t="s">
        <v>57</v>
      </c>
      <c r="D82" s="1">
        <v>9</v>
      </c>
      <c r="E82" s="1">
        <v>9</v>
      </c>
      <c r="F82" s="2">
        <v>10799.1</v>
      </c>
      <c r="G82" s="2">
        <v>4859.6000000000004</v>
      </c>
      <c r="H82" s="2">
        <v>20.25</v>
      </c>
      <c r="I82" s="2">
        <v>58.5</v>
      </c>
      <c r="J82" s="2">
        <v>350.44</v>
      </c>
      <c r="K82" s="2">
        <v>3.24</v>
      </c>
      <c r="L82" s="2">
        <v>5292.03</v>
      </c>
      <c r="M82" s="2">
        <v>5507.07</v>
      </c>
      <c r="N82" s="5">
        <v>0.51</v>
      </c>
      <c r="O82" s="3">
        <v>4.63</v>
      </c>
      <c r="P82" s="8" t="s">
        <v>18</v>
      </c>
    </row>
    <row r="83" spans="1:16" x14ac:dyDescent="0.35">
      <c r="A83" s="7">
        <v>81</v>
      </c>
      <c r="B83" s="4" t="s">
        <v>125</v>
      </c>
      <c r="C83" s="4" t="s">
        <v>44</v>
      </c>
      <c r="D83" s="1">
        <v>113</v>
      </c>
      <c r="E83" s="1">
        <v>97</v>
      </c>
      <c r="F83" s="2">
        <v>10759.3</v>
      </c>
      <c r="G83" s="2">
        <v>4841.6899999999996</v>
      </c>
      <c r="H83" s="2">
        <v>565</v>
      </c>
      <c r="I83" s="2">
        <v>970</v>
      </c>
      <c r="J83" s="2">
        <v>4460.53</v>
      </c>
      <c r="K83" s="2">
        <v>40.68</v>
      </c>
      <c r="L83" s="2">
        <v>10877.9</v>
      </c>
      <c r="M83" s="2">
        <v>-118.6</v>
      </c>
      <c r="N83" s="5">
        <v>-1.1000000000000001E-2</v>
      </c>
      <c r="O83" s="3">
        <v>4.0199999999999996</v>
      </c>
      <c r="P83" s="8" t="s">
        <v>24</v>
      </c>
    </row>
    <row r="84" spans="1:16" x14ac:dyDescent="0.35">
      <c r="A84" s="7">
        <v>82</v>
      </c>
      <c r="B84" s="4" t="s">
        <v>126</v>
      </c>
      <c r="C84" s="4" t="s">
        <v>32</v>
      </c>
      <c r="D84" s="1">
        <v>46</v>
      </c>
      <c r="E84" s="1">
        <v>46</v>
      </c>
      <c r="F84" s="2">
        <v>10709.54</v>
      </c>
      <c r="G84" s="2">
        <v>4819.29</v>
      </c>
      <c r="H84" s="2">
        <v>46</v>
      </c>
      <c r="I84" s="2">
        <v>184</v>
      </c>
      <c r="J84" s="2">
        <v>969.79</v>
      </c>
      <c r="K84" s="2">
        <v>16.559999999999999</v>
      </c>
      <c r="L84" s="2">
        <v>6035.64</v>
      </c>
      <c r="M84" s="2">
        <v>4673.8999999999996</v>
      </c>
      <c r="N84" s="5">
        <v>0.43640000000000001</v>
      </c>
      <c r="O84" s="3">
        <v>4.3899999999999997</v>
      </c>
      <c r="P84" s="8" t="s">
        <v>18</v>
      </c>
    </row>
    <row r="85" spans="1:16" x14ac:dyDescent="0.35">
      <c r="A85" s="7">
        <v>83</v>
      </c>
      <c r="B85" s="4" t="s">
        <v>127</v>
      </c>
      <c r="C85" s="4" t="s">
        <v>128</v>
      </c>
      <c r="D85" s="1">
        <v>10</v>
      </c>
      <c r="E85" s="1">
        <v>10</v>
      </c>
      <c r="F85" s="2">
        <v>10540</v>
      </c>
      <c r="G85" s="2">
        <v>6007.8</v>
      </c>
      <c r="H85" s="2">
        <v>50</v>
      </c>
      <c r="I85" s="2">
        <v>100</v>
      </c>
      <c r="J85" s="2">
        <v>770.98</v>
      </c>
      <c r="K85" s="2">
        <v>3.6</v>
      </c>
      <c r="L85" s="2">
        <v>6932.38</v>
      </c>
      <c r="M85" s="2">
        <v>3607.62</v>
      </c>
      <c r="N85" s="5">
        <v>0.34229999999999999</v>
      </c>
      <c r="O85" s="3">
        <v>4.7300000000000004</v>
      </c>
      <c r="P85" s="8" t="s">
        <v>18</v>
      </c>
    </row>
    <row r="86" spans="1:16" x14ac:dyDescent="0.35">
      <c r="A86" s="7">
        <v>84</v>
      </c>
      <c r="B86" s="4" t="s">
        <v>129</v>
      </c>
      <c r="C86" s="4" t="s">
        <v>92</v>
      </c>
      <c r="D86" s="1">
        <v>6</v>
      </c>
      <c r="E86" s="1">
        <v>2</v>
      </c>
      <c r="F86" s="2">
        <v>10460</v>
      </c>
      <c r="G86" s="2">
        <v>5962.2</v>
      </c>
      <c r="H86" s="2">
        <v>6</v>
      </c>
      <c r="I86" s="2">
        <v>8</v>
      </c>
      <c r="J86" s="2">
        <v>173.12</v>
      </c>
      <c r="K86" s="2">
        <v>5.4</v>
      </c>
      <c r="L86" s="2">
        <v>6154.72</v>
      </c>
      <c r="M86" s="2">
        <v>4305.28</v>
      </c>
      <c r="N86" s="5">
        <v>0.41159999999999997</v>
      </c>
      <c r="O86" s="3">
        <v>1.33</v>
      </c>
      <c r="P86" s="8" t="s">
        <v>24</v>
      </c>
    </row>
    <row r="87" spans="1:16" x14ac:dyDescent="0.35">
      <c r="A87" s="7">
        <v>85</v>
      </c>
      <c r="B87" s="4" t="s">
        <v>130</v>
      </c>
      <c r="C87" s="4" t="s">
        <v>17</v>
      </c>
      <c r="D87" s="1">
        <v>122</v>
      </c>
      <c r="E87" s="1">
        <v>119</v>
      </c>
      <c r="F87" s="2">
        <v>10368.780000000001</v>
      </c>
      <c r="G87" s="2">
        <v>4354.8900000000003</v>
      </c>
      <c r="H87" s="2">
        <v>122</v>
      </c>
      <c r="I87" s="2">
        <v>476</v>
      </c>
      <c r="J87" s="2">
        <v>2035.55</v>
      </c>
      <c r="K87" s="2">
        <v>43.92</v>
      </c>
      <c r="L87" s="2">
        <v>7032.36</v>
      </c>
      <c r="M87" s="2">
        <v>3336.42</v>
      </c>
      <c r="N87" s="5">
        <v>0.32179999999999997</v>
      </c>
      <c r="O87" s="3">
        <v>3.79</v>
      </c>
      <c r="P87" s="8" t="s">
        <v>27</v>
      </c>
    </row>
    <row r="88" spans="1:16" x14ac:dyDescent="0.35">
      <c r="A88" s="7">
        <v>86</v>
      </c>
      <c r="B88" s="4" t="s">
        <v>131</v>
      </c>
      <c r="C88" s="4" t="s">
        <v>34</v>
      </c>
      <c r="D88" s="1">
        <v>37</v>
      </c>
      <c r="E88" s="1">
        <v>37</v>
      </c>
      <c r="F88" s="2">
        <v>10330.77</v>
      </c>
      <c r="G88" s="2">
        <v>4338.92</v>
      </c>
      <c r="H88" s="2">
        <v>37</v>
      </c>
      <c r="I88" s="2">
        <v>148</v>
      </c>
      <c r="J88" s="2">
        <v>608.89</v>
      </c>
      <c r="K88" s="2">
        <v>13.32</v>
      </c>
      <c r="L88" s="2">
        <v>5146.13</v>
      </c>
      <c r="M88" s="2">
        <v>5184.6400000000003</v>
      </c>
      <c r="N88" s="5">
        <v>0.50190000000000001</v>
      </c>
      <c r="O88" s="3">
        <v>3.78</v>
      </c>
      <c r="P88" s="8" t="s">
        <v>27</v>
      </c>
    </row>
    <row r="89" spans="1:16" x14ac:dyDescent="0.35">
      <c r="A89" s="7">
        <v>87</v>
      </c>
      <c r="B89" s="4" t="s">
        <v>132</v>
      </c>
      <c r="C89" s="4" t="s">
        <v>26</v>
      </c>
      <c r="D89" s="1">
        <v>111</v>
      </c>
      <c r="E89" s="1">
        <v>106</v>
      </c>
      <c r="F89" s="2">
        <v>10304.959999999999</v>
      </c>
      <c r="G89" s="2">
        <v>4637.2299999999996</v>
      </c>
      <c r="H89" s="2">
        <v>249.75</v>
      </c>
      <c r="I89" s="2">
        <v>689</v>
      </c>
      <c r="J89" s="2">
        <v>1855.49</v>
      </c>
      <c r="K89" s="2">
        <v>39.96</v>
      </c>
      <c r="L89" s="2">
        <v>7471.43</v>
      </c>
      <c r="M89" s="2">
        <v>2833.53</v>
      </c>
      <c r="N89" s="5">
        <v>0.27500000000000002</v>
      </c>
      <c r="O89" s="3">
        <v>3.3</v>
      </c>
      <c r="P89" s="8" t="s">
        <v>27</v>
      </c>
    </row>
    <row r="90" spans="1:16" x14ac:dyDescent="0.35">
      <c r="A90" s="7">
        <v>88</v>
      </c>
      <c r="B90" s="4" t="s">
        <v>133</v>
      </c>
      <c r="C90" s="4" t="s">
        <v>76</v>
      </c>
      <c r="D90" s="1">
        <v>13</v>
      </c>
      <c r="E90" s="1">
        <v>13</v>
      </c>
      <c r="F90" s="2">
        <v>10075</v>
      </c>
      <c r="G90" s="2">
        <v>5742.75</v>
      </c>
      <c r="H90" s="2">
        <v>65</v>
      </c>
      <c r="I90" s="2">
        <v>130</v>
      </c>
      <c r="J90" s="2">
        <v>993.04</v>
      </c>
      <c r="K90" s="2">
        <v>4.68</v>
      </c>
      <c r="L90" s="2">
        <v>6935.47</v>
      </c>
      <c r="M90" s="2">
        <v>3139.53</v>
      </c>
      <c r="N90" s="5">
        <v>0.31159999999999999</v>
      </c>
      <c r="O90" s="3">
        <v>4.38</v>
      </c>
      <c r="P90" s="8" t="s">
        <v>18</v>
      </c>
    </row>
    <row r="91" spans="1:16" x14ac:dyDescent="0.35">
      <c r="A91" s="7">
        <v>89</v>
      </c>
      <c r="B91" s="4" t="s">
        <v>134</v>
      </c>
      <c r="C91" s="4" t="s">
        <v>34</v>
      </c>
      <c r="D91" s="1">
        <v>39</v>
      </c>
      <c r="E91" s="1">
        <v>39</v>
      </c>
      <c r="F91" s="2">
        <v>10028.709999999999</v>
      </c>
      <c r="G91" s="2">
        <v>4212.0600000000004</v>
      </c>
      <c r="H91" s="2">
        <v>39</v>
      </c>
      <c r="I91" s="2">
        <v>156</v>
      </c>
      <c r="J91" s="2">
        <v>721.21</v>
      </c>
      <c r="K91" s="2">
        <v>14.04</v>
      </c>
      <c r="L91" s="2">
        <v>5142.3100000000004</v>
      </c>
      <c r="M91" s="2">
        <v>4886.3999999999996</v>
      </c>
      <c r="N91" s="5">
        <v>0.48719999999999997</v>
      </c>
      <c r="O91" s="3">
        <v>3.67</v>
      </c>
      <c r="P91" s="8" t="s">
        <v>27</v>
      </c>
    </row>
    <row r="92" spans="1:16" x14ac:dyDescent="0.35">
      <c r="A92" s="7">
        <v>90</v>
      </c>
      <c r="B92" s="4" t="s">
        <v>135</v>
      </c>
      <c r="C92" s="4" t="s">
        <v>32</v>
      </c>
      <c r="D92" s="1">
        <v>40</v>
      </c>
      <c r="E92" s="1">
        <v>37</v>
      </c>
      <c r="F92" s="2">
        <v>10016</v>
      </c>
      <c r="G92" s="2">
        <v>4507.2</v>
      </c>
      <c r="H92" s="2">
        <v>40</v>
      </c>
      <c r="I92" s="2">
        <v>148</v>
      </c>
      <c r="J92" s="2">
        <v>2735.31</v>
      </c>
      <c r="K92" s="2">
        <v>14.4</v>
      </c>
      <c r="L92" s="2">
        <v>7444.91</v>
      </c>
      <c r="M92" s="2">
        <v>2571.09</v>
      </c>
      <c r="N92" s="5">
        <v>0.25670000000000004</v>
      </c>
      <c r="O92" s="3">
        <v>4.2300000000000004</v>
      </c>
      <c r="P92" s="8" t="s">
        <v>18</v>
      </c>
    </row>
    <row r="93" spans="1:16" x14ac:dyDescent="0.35">
      <c r="A93" s="7">
        <v>91</v>
      </c>
      <c r="B93" s="4" t="s">
        <v>136</v>
      </c>
      <c r="C93" s="4" t="s">
        <v>30</v>
      </c>
      <c r="D93" s="1">
        <v>89</v>
      </c>
      <c r="E93" s="1">
        <v>88</v>
      </c>
      <c r="F93" s="2">
        <v>10006.85</v>
      </c>
      <c r="G93" s="2">
        <v>4202.88</v>
      </c>
      <c r="H93" s="2">
        <v>89</v>
      </c>
      <c r="I93" s="2">
        <v>352</v>
      </c>
      <c r="J93" s="2">
        <v>1477.72</v>
      </c>
      <c r="K93" s="2">
        <v>32.04</v>
      </c>
      <c r="L93" s="2">
        <v>6153.64</v>
      </c>
      <c r="M93" s="2">
        <v>3853.21</v>
      </c>
      <c r="N93" s="5">
        <v>0.3851</v>
      </c>
      <c r="O93" s="3">
        <v>4.18</v>
      </c>
      <c r="P93" s="8" t="s">
        <v>18</v>
      </c>
    </row>
    <row r="94" spans="1:16" x14ac:dyDescent="0.35">
      <c r="A94" s="7">
        <v>92</v>
      </c>
      <c r="B94" s="4" t="s">
        <v>137</v>
      </c>
      <c r="C94" s="4" t="s">
        <v>138</v>
      </c>
      <c r="D94" s="1">
        <v>5</v>
      </c>
      <c r="E94" s="1">
        <v>5</v>
      </c>
      <c r="F94" s="2">
        <v>9990</v>
      </c>
      <c r="G94" s="2">
        <v>4495.5</v>
      </c>
      <c r="H94" s="2">
        <v>25</v>
      </c>
      <c r="I94" s="2">
        <v>50</v>
      </c>
      <c r="J94" s="2">
        <v>152.49</v>
      </c>
      <c r="K94" s="2">
        <v>1.8</v>
      </c>
      <c r="L94" s="2">
        <v>4724.79</v>
      </c>
      <c r="M94" s="2">
        <v>5265.21</v>
      </c>
      <c r="N94" s="5">
        <v>0.52700000000000002</v>
      </c>
      <c r="O94" s="3">
        <v>5</v>
      </c>
      <c r="P94" s="8" t="s">
        <v>18</v>
      </c>
    </row>
    <row r="95" spans="1:16" x14ac:dyDescent="0.35">
      <c r="A95" s="7">
        <v>93</v>
      </c>
      <c r="B95" s="4" t="s">
        <v>139</v>
      </c>
      <c r="C95" s="4" t="s">
        <v>26</v>
      </c>
      <c r="D95" s="1">
        <v>70</v>
      </c>
      <c r="E95" s="1">
        <v>69</v>
      </c>
      <c r="F95" s="2">
        <v>9950.5</v>
      </c>
      <c r="G95" s="2">
        <v>4477.72</v>
      </c>
      <c r="H95" s="2">
        <v>157.5</v>
      </c>
      <c r="I95" s="2">
        <v>448.5</v>
      </c>
      <c r="J95" s="2">
        <v>1775.36</v>
      </c>
      <c r="K95" s="2">
        <v>25.2</v>
      </c>
      <c r="L95" s="2">
        <v>6884.28</v>
      </c>
      <c r="M95" s="2">
        <v>3066.22</v>
      </c>
      <c r="N95" s="5">
        <v>0.30809999999999998</v>
      </c>
      <c r="O95" s="3">
        <v>4.2</v>
      </c>
      <c r="P95" s="8" t="s">
        <v>18</v>
      </c>
    </row>
    <row r="96" spans="1:16" x14ac:dyDescent="0.35">
      <c r="A96" s="7">
        <v>94</v>
      </c>
      <c r="B96" s="4" t="s">
        <v>140</v>
      </c>
      <c r="C96" s="4" t="s">
        <v>17</v>
      </c>
      <c r="D96" s="1">
        <v>150</v>
      </c>
      <c r="E96" s="1">
        <v>144</v>
      </c>
      <c r="F96" s="2">
        <v>9862.5</v>
      </c>
      <c r="G96" s="2">
        <v>4142.25</v>
      </c>
      <c r="H96" s="2">
        <v>150</v>
      </c>
      <c r="I96" s="2">
        <v>576</v>
      </c>
      <c r="J96" s="2">
        <v>3910.15</v>
      </c>
      <c r="K96" s="2">
        <v>54</v>
      </c>
      <c r="L96" s="2">
        <v>8832.4</v>
      </c>
      <c r="M96" s="2">
        <v>1030.0999999999999</v>
      </c>
      <c r="N96" s="5">
        <v>0.10439999999999999</v>
      </c>
      <c r="O96" s="3">
        <v>3.91</v>
      </c>
      <c r="P96" s="8" t="s">
        <v>27</v>
      </c>
    </row>
    <row r="97" spans="1:16" x14ac:dyDescent="0.35">
      <c r="A97" s="7">
        <v>95</v>
      </c>
      <c r="B97" s="4" t="s">
        <v>141</v>
      </c>
      <c r="C97" s="4" t="s">
        <v>87</v>
      </c>
      <c r="D97" s="1">
        <v>57</v>
      </c>
      <c r="E97" s="1">
        <v>52</v>
      </c>
      <c r="F97" s="2">
        <v>9857.86</v>
      </c>
      <c r="G97" s="2">
        <v>4436.04</v>
      </c>
      <c r="H97" s="2">
        <v>128.25</v>
      </c>
      <c r="I97" s="2">
        <v>338</v>
      </c>
      <c r="J97" s="2">
        <v>1190.83</v>
      </c>
      <c r="K97" s="2">
        <v>20.52</v>
      </c>
      <c r="L97" s="2">
        <v>6113.64</v>
      </c>
      <c r="M97" s="2">
        <v>3744.22</v>
      </c>
      <c r="N97" s="5">
        <v>0.37979999999999997</v>
      </c>
      <c r="O97" s="3">
        <v>4.53</v>
      </c>
      <c r="P97" s="8" t="s">
        <v>18</v>
      </c>
    </row>
    <row r="98" spans="1:16" x14ac:dyDescent="0.35">
      <c r="A98" s="7">
        <v>96</v>
      </c>
      <c r="B98" s="4" t="s">
        <v>142</v>
      </c>
      <c r="C98" s="4" t="s">
        <v>57</v>
      </c>
      <c r="D98" s="1">
        <v>83</v>
      </c>
      <c r="E98" s="1">
        <v>82</v>
      </c>
      <c r="F98" s="2">
        <v>9735.9</v>
      </c>
      <c r="G98" s="2">
        <v>4381.16</v>
      </c>
      <c r="H98" s="2">
        <v>186.75</v>
      </c>
      <c r="I98" s="2">
        <v>533</v>
      </c>
      <c r="J98" s="2">
        <v>1844.4</v>
      </c>
      <c r="K98" s="2">
        <v>29.88</v>
      </c>
      <c r="L98" s="2">
        <v>6975.19</v>
      </c>
      <c r="M98" s="2">
        <v>2760.71</v>
      </c>
      <c r="N98" s="5">
        <v>0.28360000000000002</v>
      </c>
      <c r="O98" s="3">
        <v>4.0599999999999996</v>
      </c>
      <c r="P98" s="8" t="s">
        <v>18</v>
      </c>
    </row>
    <row r="99" spans="1:16" x14ac:dyDescent="0.35">
      <c r="A99" s="7">
        <v>97</v>
      </c>
      <c r="B99" s="4" t="s">
        <v>143</v>
      </c>
      <c r="C99" s="4" t="s">
        <v>17</v>
      </c>
      <c r="D99" s="1">
        <v>7</v>
      </c>
      <c r="E99" s="1">
        <v>7</v>
      </c>
      <c r="F99" s="2">
        <v>9669.0499999999993</v>
      </c>
      <c r="G99" s="2">
        <v>4061</v>
      </c>
      <c r="H99" s="2">
        <v>7</v>
      </c>
      <c r="I99" s="2">
        <v>28</v>
      </c>
      <c r="J99" s="2">
        <v>319.64</v>
      </c>
      <c r="K99" s="2">
        <v>2.52</v>
      </c>
      <c r="L99" s="2">
        <v>4418.16</v>
      </c>
      <c r="M99" s="2">
        <v>5250.89</v>
      </c>
      <c r="N99" s="5">
        <v>0.54310000000000003</v>
      </c>
      <c r="O99" s="3">
        <v>3.29</v>
      </c>
      <c r="P99" s="8" t="s">
        <v>27</v>
      </c>
    </row>
    <row r="100" spans="1:16" x14ac:dyDescent="0.35">
      <c r="A100" s="7">
        <v>98</v>
      </c>
      <c r="B100" s="4" t="s">
        <v>144</v>
      </c>
      <c r="C100" s="4" t="s">
        <v>87</v>
      </c>
      <c r="D100" s="1">
        <v>58</v>
      </c>
      <c r="E100" s="1">
        <v>55</v>
      </c>
      <c r="F100" s="2">
        <v>9666.41</v>
      </c>
      <c r="G100" s="2">
        <v>4349.88</v>
      </c>
      <c r="H100" s="2">
        <v>130.5</v>
      </c>
      <c r="I100" s="2">
        <v>357.5</v>
      </c>
      <c r="J100" s="2">
        <v>1758.76</v>
      </c>
      <c r="K100" s="2">
        <v>20.88</v>
      </c>
      <c r="L100" s="2">
        <v>6617.52</v>
      </c>
      <c r="M100" s="2">
        <v>3048.89</v>
      </c>
      <c r="N100" s="5">
        <v>0.31540000000000001</v>
      </c>
      <c r="O100" s="3">
        <v>4</v>
      </c>
      <c r="P100" s="8" t="s">
        <v>18</v>
      </c>
    </row>
    <row r="101" spans="1:16" x14ac:dyDescent="0.35">
      <c r="A101" s="7">
        <v>99</v>
      </c>
      <c r="B101" s="4" t="s">
        <v>145</v>
      </c>
      <c r="C101" s="4" t="s">
        <v>36</v>
      </c>
      <c r="D101" s="1">
        <v>101</v>
      </c>
      <c r="E101" s="1">
        <v>100</v>
      </c>
      <c r="F101" s="2">
        <v>9646.2000000000007</v>
      </c>
      <c r="G101" s="2">
        <v>4340.79</v>
      </c>
      <c r="H101" s="2">
        <v>505</v>
      </c>
      <c r="I101" s="2">
        <v>1000</v>
      </c>
      <c r="J101" s="2">
        <v>2380.92</v>
      </c>
      <c r="K101" s="2">
        <v>36.36</v>
      </c>
      <c r="L101" s="2">
        <v>8263.07</v>
      </c>
      <c r="M101" s="2">
        <v>1383.13</v>
      </c>
      <c r="N101" s="5">
        <v>0.1434</v>
      </c>
      <c r="O101" s="3">
        <v>4.38</v>
      </c>
      <c r="P101" s="8" t="s">
        <v>27</v>
      </c>
    </row>
    <row r="102" spans="1:16" x14ac:dyDescent="0.35">
      <c r="A102" s="7">
        <v>100</v>
      </c>
      <c r="B102" s="4" t="s">
        <v>146</v>
      </c>
      <c r="C102" s="4" t="s">
        <v>32</v>
      </c>
      <c r="D102" s="1">
        <v>97</v>
      </c>
      <c r="E102" s="1">
        <v>97</v>
      </c>
      <c r="F102" s="2">
        <v>9627.65</v>
      </c>
      <c r="G102" s="2">
        <v>4332.4399999999996</v>
      </c>
      <c r="H102" s="2">
        <v>97</v>
      </c>
      <c r="I102" s="2">
        <v>388</v>
      </c>
      <c r="J102" s="2">
        <v>1762.72</v>
      </c>
      <c r="K102" s="2">
        <v>34.92</v>
      </c>
      <c r="L102" s="2">
        <v>6615.08</v>
      </c>
      <c r="M102" s="2">
        <v>3012.57</v>
      </c>
      <c r="N102" s="5">
        <v>0.31290000000000001</v>
      </c>
      <c r="O102" s="3">
        <v>4.2699999999999996</v>
      </c>
      <c r="P102" s="8" t="s">
        <v>18</v>
      </c>
    </row>
    <row r="103" spans="1:16" x14ac:dyDescent="0.35">
      <c r="A103" s="7">
        <v>101</v>
      </c>
      <c r="B103" s="4" t="s">
        <v>147</v>
      </c>
      <c r="C103" s="4" t="s">
        <v>148</v>
      </c>
      <c r="D103" s="1">
        <v>6</v>
      </c>
      <c r="E103" s="1">
        <v>6</v>
      </c>
      <c r="F103" s="2">
        <v>9594</v>
      </c>
      <c r="G103" s="2">
        <v>4029.48</v>
      </c>
      <c r="H103" s="2">
        <v>13.5</v>
      </c>
      <c r="I103" s="2">
        <v>39</v>
      </c>
      <c r="J103" s="2">
        <v>458.68</v>
      </c>
      <c r="K103" s="2">
        <v>2.16</v>
      </c>
      <c r="L103" s="2">
        <v>4542.82</v>
      </c>
      <c r="M103" s="2">
        <v>5051.18</v>
      </c>
      <c r="N103" s="5">
        <v>0.52649999999999997</v>
      </c>
      <c r="O103" s="3">
        <v>1.83</v>
      </c>
      <c r="P103" s="8" t="s">
        <v>24</v>
      </c>
    </row>
    <row r="104" spans="1:16" x14ac:dyDescent="0.35">
      <c r="A104" s="7">
        <v>102</v>
      </c>
      <c r="B104" s="4" t="s">
        <v>149</v>
      </c>
      <c r="C104" s="4" t="s">
        <v>26</v>
      </c>
      <c r="D104" s="1">
        <v>62</v>
      </c>
      <c r="E104" s="1">
        <v>54</v>
      </c>
      <c r="F104" s="2">
        <v>9523.7999999999993</v>
      </c>
      <c r="G104" s="2">
        <v>4285.71</v>
      </c>
      <c r="H104" s="2">
        <v>139.5</v>
      </c>
      <c r="I104" s="2">
        <v>351</v>
      </c>
      <c r="J104" s="2">
        <v>1440</v>
      </c>
      <c r="K104" s="2">
        <v>22.32</v>
      </c>
      <c r="L104" s="2">
        <v>6238.53</v>
      </c>
      <c r="M104" s="2">
        <v>3285.27</v>
      </c>
      <c r="N104" s="5">
        <v>0.34499999999999997</v>
      </c>
      <c r="O104" s="3">
        <v>4.16</v>
      </c>
      <c r="P104" s="8" t="s">
        <v>18</v>
      </c>
    </row>
    <row r="105" spans="1:16" x14ac:dyDescent="0.35">
      <c r="A105" s="7">
        <v>103</v>
      </c>
      <c r="B105" s="4" t="s">
        <v>150</v>
      </c>
      <c r="C105" s="4" t="s">
        <v>34</v>
      </c>
      <c r="D105" s="1">
        <v>11</v>
      </c>
      <c r="E105" s="1">
        <v>11</v>
      </c>
      <c r="F105" s="2">
        <v>9463.1</v>
      </c>
      <c r="G105" s="2">
        <v>3974.5</v>
      </c>
      <c r="H105" s="2">
        <v>11</v>
      </c>
      <c r="I105" s="2">
        <v>44</v>
      </c>
      <c r="J105" s="2">
        <v>218.27</v>
      </c>
      <c r="K105" s="2">
        <v>3.96</v>
      </c>
      <c r="L105" s="2">
        <v>4251.7299999999996</v>
      </c>
      <c r="M105" s="2">
        <v>5211.37</v>
      </c>
      <c r="N105" s="5">
        <v>0.55069999999999997</v>
      </c>
      <c r="O105" s="3">
        <v>4.45</v>
      </c>
      <c r="P105" s="8" t="s">
        <v>18</v>
      </c>
    </row>
    <row r="106" spans="1:16" x14ac:dyDescent="0.35">
      <c r="A106" s="7">
        <v>104</v>
      </c>
      <c r="B106" s="4" t="s">
        <v>151</v>
      </c>
      <c r="C106" s="4" t="s">
        <v>96</v>
      </c>
      <c r="D106" s="1">
        <v>16</v>
      </c>
      <c r="E106" s="1">
        <v>16</v>
      </c>
      <c r="F106" s="2">
        <v>9441.94</v>
      </c>
      <c r="G106" s="2">
        <v>5381.91</v>
      </c>
      <c r="H106" s="2">
        <v>16</v>
      </c>
      <c r="I106" s="2">
        <v>104</v>
      </c>
      <c r="J106" s="2">
        <v>334.09</v>
      </c>
      <c r="K106" s="2">
        <v>14.4</v>
      </c>
      <c r="L106" s="2">
        <v>5850.4</v>
      </c>
      <c r="M106" s="2">
        <v>3591.54</v>
      </c>
      <c r="N106" s="5">
        <v>0.38040000000000002</v>
      </c>
      <c r="O106" s="3">
        <v>4.75</v>
      </c>
      <c r="P106" s="8" t="s">
        <v>18</v>
      </c>
    </row>
    <row r="107" spans="1:16" x14ac:dyDescent="0.35">
      <c r="A107" s="7">
        <v>105</v>
      </c>
      <c r="B107" s="4" t="s">
        <v>152</v>
      </c>
      <c r="C107" s="4" t="s">
        <v>96</v>
      </c>
      <c r="D107" s="1">
        <v>48</v>
      </c>
      <c r="E107" s="1">
        <v>48</v>
      </c>
      <c r="F107" s="2">
        <v>9425.7800000000007</v>
      </c>
      <c r="G107" s="2">
        <v>5372.69</v>
      </c>
      <c r="H107" s="2">
        <v>48</v>
      </c>
      <c r="I107" s="2">
        <v>312</v>
      </c>
      <c r="J107" s="2">
        <v>805.61</v>
      </c>
      <c r="K107" s="2">
        <v>43.2</v>
      </c>
      <c r="L107" s="2">
        <v>6581.5</v>
      </c>
      <c r="M107" s="2">
        <v>2844.28</v>
      </c>
      <c r="N107" s="5">
        <v>0.30180000000000001</v>
      </c>
      <c r="O107" s="3">
        <v>3.79</v>
      </c>
      <c r="P107" s="8" t="s">
        <v>27</v>
      </c>
    </row>
    <row r="108" spans="1:16" x14ac:dyDescent="0.35">
      <c r="A108" s="7">
        <v>106</v>
      </c>
      <c r="B108" s="4" t="s">
        <v>153</v>
      </c>
      <c r="C108" s="4" t="s">
        <v>98</v>
      </c>
      <c r="D108" s="1">
        <v>55</v>
      </c>
      <c r="E108" s="1">
        <v>53</v>
      </c>
      <c r="F108" s="2">
        <v>9421.4500000000007</v>
      </c>
      <c r="G108" s="2">
        <v>4239.6499999999996</v>
      </c>
      <c r="H108" s="2">
        <v>275</v>
      </c>
      <c r="I108" s="2">
        <v>530</v>
      </c>
      <c r="J108" s="2">
        <v>2389.4499999999998</v>
      </c>
      <c r="K108" s="2">
        <v>19.8</v>
      </c>
      <c r="L108" s="2">
        <v>7453.9</v>
      </c>
      <c r="M108" s="2">
        <v>1967.55</v>
      </c>
      <c r="N108" s="5">
        <v>0.20879999999999999</v>
      </c>
      <c r="O108" s="3">
        <v>3.28</v>
      </c>
      <c r="P108" s="8" t="s">
        <v>27</v>
      </c>
    </row>
    <row r="109" spans="1:16" x14ac:dyDescent="0.35">
      <c r="A109" s="7">
        <v>107</v>
      </c>
      <c r="B109" s="4" t="s">
        <v>154</v>
      </c>
      <c r="C109" s="4" t="s">
        <v>21</v>
      </c>
      <c r="D109" s="1">
        <v>3</v>
      </c>
      <c r="E109" s="1">
        <v>3</v>
      </c>
      <c r="F109" s="2">
        <v>9399.9699999999993</v>
      </c>
      <c r="G109" s="2">
        <v>5357.98</v>
      </c>
      <c r="H109" s="2">
        <v>6.75</v>
      </c>
      <c r="I109" s="2">
        <v>30</v>
      </c>
      <c r="J109" s="2">
        <v>379.49</v>
      </c>
      <c r="K109" s="2">
        <v>2.7</v>
      </c>
      <c r="L109" s="2">
        <v>5776.92</v>
      </c>
      <c r="M109" s="2">
        <v>3623.05</v>
      </c>
      <c r="N109" s="5">
        <v>0.38539999999999996</v>
      </c>
      <c r="O109" s="3">
        <v>4.67</v>
      </c>
      <c r="P109" s="8" t="s">
        <v>18</v>
      </c>
    </row>
    <row r="110" spans="1:16" x14ac:dyDescent="0.35">
      <c r="A110" s="7">
        <v>108</v>
      </c>
      <c r="B110" s="4" t="s">
        <v>155</v>
      </c>
      <c r="C110" s="4" t="s">
        <v>64</v>
      </c>
      <c r="D110" s="1">
        <v>9</v>
      </c>
      <c r="E110" s="1">
        <v>9</v>
      </c>
      <c r="F110" s="2">
        <v>9354.91</v>
      </c>
      <c r="G110" s="2">
        <v>5332.3</v>
      </c>
      <c r="H110" s="2">
        <v>9</v>
      </c>
      <c r="I110" s="2">
        <v>36</v>
      </c>
      <c r="J110" s="2">
        <v>281.51</v>
      </c>
      <c r="K110" s="2">
        <v>3.24</v>
      </c>
      <c r="L110" s="2">
        <v>5662.05</v>
      </c>
      <c r="M110" s="2">
        <v>3692.86</v>
      </c>
      <c r="N110" s="5">
        <v>0.39479999999999998</v>
      </c>
      <c r="O110" s="3">
        <v>4.33</v>
      </c>
      <c r="P110" s="8" t="s">
        <v>18</v>
      </c>
    </row>
    <row r="111" spans="1:16" x14ac:dyDescent="0.35">
      <c r="A111" s="7">
        <v>109</v>
      </c>
      <c r="B111" s="4" t="s">
        <v>156</v>
      </c>
      <c r="C111" s="4" t="s">
        <v>157</v>
      </c>
      <c r="D111" s="1">
        <v>77</v>
      </c>
      <c r="E111" s="1">
        <v>75</v>
      </c>
      <c r="F111" s="2">
        <v>9153</v>
      </c>
      <c r="G111" s="2">
        <v>3661.2</v>
      </c>
      <c r="H111" s="2">
        <v>77</v>
      </c>
      <c r="I111" s="2">
        <v>300</v>
      </c>
      <c r="J111" s="2">
        <v>1598.93</v>
      </c>
      <c r="K111" s="2">
        <v>7.7</v>
      </c>
      <c r="L111" s="2">
        <v>5644.83</v>
      </c>
      <c r="M111" s="2">
        <v>3508.17</v>
      </c>
      <c r="N111" s="5">
        <v>0.38329999999999997</v>
      </c>
      <c r="O111" s="3">
        <v>4.4400000000000004</v>
      </c>
      <c r="P111" s="8" t="s">
        <v>18</v>
      </c>
    </row>
    <row r="112" spans="1:16" x14ac:dyDescent="0.35">
      <c r="A112" s="7">
        <v>110</v>
      </c>
      <c r="B112" s="4" t="s">
        <v>158</v>
      </c>
      <c r="C112" s="4" t="s">
        <v>23</v>
      </c>
      <c r="D112" s="1">
        <v>12</v>
      </c>
      <c r="E112" s="1">
        <v>11</v>
      </c>
      <c r="F112" s="2">
        <v>9144.1</v>
      </c>
      <c r="G112" s="2">
        <v>5212.1400000000003</v>
      </c>
      <c r="H112" s="2">
        <v>27</v>
      </c>
      <c r="I112" s="2">
        <v>110</v>
      </c>
      <c r="J112" s="2">
        <v>557.57000000000005</v>
      </c>
      <c r="K112" s="2">
        <v>10.8</v>
      </c>
      <c r="L112" s="2">
        <v>5917.51</v>
      </c>
      <c r="M112" s="2">
        <v>3226.59</v>
      </c>
      <c r="N112" s="5">
        <v>0.35289999999999999</v>
      </c>
      <c r="O112" s="3">
        <v>3.33</v>
      </c>
      <c r="P112" s="8" t="s">
        <v>27</v>
      </c>
    </row>
    <row r="113" spans="1:16" x14ac:dyDescent="0.35">
      <c r="A113" s="7">
        <v>111</v>
      </c>
      <c r="B113" s="4" t="s">
        <v>159</v>
      </c>
      <c r="C113" s="4" t="s">
        <v>160</v>
      </c>
      <c r="D113" s="1">
        <v>22</v>
      </c>
      <c r="E113" s="1">
        <v>21</v>
      </c>
      <c r="F113" s="2">
        <v>9111</v>
      </c>
      <c r="G113" s="2">
        <v>4099.95</v>
      </c>
      <c r="H113" s="2">
        <v>22</v>
      </c>
      <c r="I113" s="2">
        <v>84</v>
      </c>
      <c r="J113" s="2">
        <v>599.48</v>
      </c>
      <c r="K113" s="2">
        <v>7.92</v>
      </c>
      <c r="L113" s="2">
        <v>4813.3500000000004</v>
      </c>
      <c r="M113" s="2">
        <v>4297.6499999999996</v>
      </c>
      <c r="N113" s="5">
        <v>0.47170000000000001</v>
      </c>
      <c r="O113" s="3">
        <v>4.7300000000000004</v>
      </c>
      <c r="P113" s="8" t="s">
        <v>18</v>
      </c>
    </row>
    <row r="114" spans="1:16" x14ac:dyDescent="0.35">
      <c r="A114" s="7">
        <v>112</v>
      </c>
      <c r="B114" s="4" t="s">
        <v>161</v>
      </c>
      <c r="C114" s="4" t="s">
        <v>17</v>
      </c>
      <c r="D114" s="1">
        <v>17</v>
      </c>
      <c r="E114" s="1">
        <v>17</v>
      </c>
      <c r="F114" s="2">
        <v>9094.7999999999993</v>
      </c>
      <c r="G114" s="2">
        <v>3819.82</v>
      </c>
      <c r="H114" s="2">
        <v>17</v>
      </c>
      <c r="I114" s="2">
        <v>68</v>
      </c>
      <c r="J114" s="2">
        <v>504.34</v>
      </c>
      <c r="K114" s="2">
        <v>6.12</v>
      </c>
      <c r="L114" s="2">
        <v>4415.28</v>
      </c>
      <c r="M114" s="2">
        <v>4679.5200000000004</v>
      </c>
      <c r="N114" s="5">
        <v>0.51450000000000007</v>
      </c>
      <c r="O114" s="3">
        <v>4.53</v>
      </c>
      <c r="P114" s="8" t="s">
        <v>18</v>
      </c>
    </row>
    <row r="115" spans="1:16" x14ac:dyDescent="0.35">
      <c r="A115" s="7">
        <v>113</v>
      </c>
      <c r="B115" s="4" t="s">
        <v>162</v>
      </c>
      <c r="C115" s="4" t="s">
        <v>148</v>
      </c>
      <c r="D115" s="1">
        <v>30</v>
      </c>
      <c r="E115" s="1">
        <v>26</v>
      </c>
      <c r="F115" s="2">
        <v>9070</v>
      </c>
      <c r="G115" s="2">
        <v>3809.4</v>
      </c>
      <c r="H115" s="2">
        <v>67.5</v>
      </c>
      <c r="I115" s="2">
        <v>169</v>
      </c>
      <c r="J115" s="2">
        <v>525.77</v>
      </c>
      <c r="K115" s="2">
        <v>10.8</v>
      </c>
      <c r="L115" s="2">
        <v>4582.47</v>
      </c>
      <c r="M115" s="2">
        <v>4487.53</v>
      </c>
      <c r="N115" s="5">
        <v>0.49479999999999996</v>
      </c>
      <c r="O115" s="3">
        <v>4.37</v>
      </c>
      <c r="P115" s="8" t="s">
        <v>18</v>
      </c>
    </row>
    <row r="116" spans="1:16" x14ac:dyDescent="0.35">
      <c r="A116" s="7">
        <v>114</v>
      </c>
      <c r="B116" s="4" t="s">
        <v>163</v>
      </c>
      <c r="C116" s="4" t="s">
        <v>32</v>
      </c>
      <c r="D116" s="1">
        <v>62</v>
      </c>
      <c r="E116" s="1">
        <v>61</v>
      </c>
      <c r="F116" s="2">
        <v>9043.3700000000008</v>
      </c>
      <c r="G116" s="2">
        <v>4069.52</v>
      </c>
      <c r="H116" s="2">
        <v>62</v>
      </c>
      <c r="I116" s="2">
        <v>244</v>
      </c>
      <c r="J116" s="2">
        <v>982.13</v>
      </c>
      <c r="K116" s="2">
        <v>22.32</v>
      </c>
      <c r="L116" s="2">
        <v>5379.97</v>
      </c>
      <c r="M116" s="2">
        <v>3663.4</v>
      </c>
      <c r="N116" s="5">
        <v>0.40509999999999996</v>
      </c>
      <c r="O116" s="3">
        <v>3.73</v>
      </c>
      <c r="P116" s="8" t="s">
        <v>27</v>
      </c>
    </row>
    <row r="117" spans="1:16" x14ac:dyDescent="0.35">
      <c r="A117" s="7">
        <v>115</v>
      </c>
      <c r="B117" s="4" t="s">
        <v>164</v>
      </c>
      <c r="C117" s="4" t="s">
        <v>148</v>
      </c>
      <c r="D117" s="1">
        <v>84</v>
      </c>
      <c r="E117" s="1">
        <v>77</v>
      </c>
      <c r="F117" s="2">
        <v>8949.1</v>
      </c>
      <c r="G117" s="2">
        <v>3758.62</v>
      </c>
      <c r="H117" s="2">
        <v>189</v>
      </c>
      <c r="I117" s="2">
        <v>500.5</v>
      </c>
      <c r="J117" s="2">
        <v>1314.65</v>
      </c>
      <c r="K117" s="2">
        <v>30.24</v>
      </c>
      <c r="L117" s="2">
        <v>5793.01</v>
      </c>
      <c r="M117" s="2">
        <v>3156.09</v>
      </c>
      <c r="N117" s="5">
        <v>0.35270000000000001</v>
      </c>
      <c r="O117" s="3">
        <v>4.1399999999999997</v>
      </c>
      <c r="P117" s="8" t="s">
        <v>18</v>
      </c>
    </row>
    <row r="118" spans="1:16" x14ac:dyDescent="0.35">
      <c r="A118" s="7">
        <v>116</v>
      </c>
      <c r="B118" s="4" t="s">
        <v>165</v>
      </c>
      <c r="C118" s="4" t="s">
        <v>34</v>
      </c>
      <c r="D118" s="1">
        <v>15</v>
      </c>
      <c r="E118" s="1">
        <v>15</v>
      </c>
      <c r="F118" s="2">
        <v>8813.8799999999992</v>
      </c>
      <c r="G118" s="2">
        <v>3701.83</v>
      </c>
      <c r="H118" s="2">
        <v>15</v>
      </c>
      <c r="I118" s="2">
        <v>60</v>
      </c>
      <c r="J118" s="2">
        <v>277.75</v>
      </c>
      <c r="K118" s="2">
        <v>5.4</v>
      </c>
      <c r="L118" s="2">
        <v>4059.98</v>
      </c>
      <c r="M118" s="2">
        <v>4753.8999999999996</v>
      </c>
      <c r="N118" s="5">
        <v>0.53939999999999999</v>
      </c>
      <c r="O118" s="3">
        <v>3.2</v>
      </c>
      <c r="P118" s="8" t="s">
        <v>27</v>
      </c>
    </row>
    <row r="119" spans="1:16" x14ac:dyDescent="0.35">
      <c r="A119" s="7">
        <v>117</v>
      </c>
      <c r="B119" s="4" t="s">
        <v>166</v>
      </c>
      <c r="C119" s="4" t="s">
        <v>26</v>
      </c>
      <c r="D119" s="1">
        <v>44</v>
      </c>
      <c r="E119" s="1">
        <v>43</v>
      </c>
      <c r="F119" s="2">
        <v>8801.75</v>
      </c>
      <c r="G119" s="2">
        <v>3960.79</v>
      </c>
      <c r="H119" s="2">
        <v>99</v>
      </c>
      <c r="I119" s="2">
        <v>279.5</v>
      </c>
      <c r="J119" s="2">
        <v>940.66</v>
      </c>
      <c r="K119" s="2">
        <v>15.84</v>
      </c>
      <c r="L119" s="2">
        <v>5295.79</v>
      </c>
      <c r="M119" s="2">
        <v>3505.96</v>
      </c>
      <c r="N119" s="5">
        <v>0.39829999999999999</v>
      </c>
      <c r="O119" s="3">
        <v>4.3899999999999997</v>
      </c>
      <c r="P119" s="8" t="s">
        <v>18</v>
      </c>
    </row>
    <row r="120" spans="1:16" x14ac:dyDescent="0.35">
      <c r="A120" s="7">
        <v>118</v>
      </c>
      <c r="B120" s="4" t="s">
        <v>167</v>
      </c>
      <c r="C120" s="4" t="s">
        <v>17</v>
      </c>
      <c r="D120" s="1">
        <v>18</v>
      </c>
      <c r="E120" s="1">
        <v>18</v>
      </c>
      <c r="F120" s="2">
        <v>8691.43</v>
      </c>
      <c r="G120" s="2">
        <v>3650.4</v>
      </c>
      <c r="H120" s="2">
        <v>18</v>
      </c>
      <c r="I120" s="2">
        <v>72</v>
      </c>
      <c r="J120" s="2">
        <v>318.42</v>
      </c>
      <c r="K120" s="2">
        <v>6.48</v>
      </c>
      <c r="L120" s="2">
        <v>4065.3</v>
      </c>
      <c r="M120" s="2">
        <v>4626.13</v>
      </c>
      <c r="N120" s="5">
        <v>0.5323</v>
      </c>
      <c r="O120" s="3">
        <v>4.26</v>
      </c>
      <c r="P120" s="8" t="s">
        <v>18</v>
      </c>
    </row>
    <row r="121" spans="1:16" x14ac:dyDescent="0.35">
      <c r="A121" s="7">
        <v>119</v>
      </c>
      <c r="B121" s="4" t="s">
        <v>168</v>
      </c>
      <c r="C121" s="4" t="s">
        <v>46</v>
      </c>
      <c r="D121" s="1">
        <v>8</v>
      </c>
      <c r="E121" s="1">
        <v>8</v>
      </c>
      <c r="F121" s="2">
        <v>8659.7199999999993</v>
      </c>
      <c r="G121" s="2">
        <v>3463.89</v>
      </c>
      <c r="H121" s="2">
        <v>18</v>
      </c>
      <c r="I121" s="2">
        <v>52</v>
      </c>
      <c r="J121" s="2">
        <v>182.34</v>
      </c>
      <c r="K121" s="2">
        <v>0.8</v>
      </c>
      <c r="L121" s="2">
        <v>3717.03</v>
      </c>
      <c r="M121" s="2">
        <v>4942.6899999999996</v>
      </c>
      <c r="N121" s="5">
        <v>0.57079999999999997</v>
      </c>
      <c r="O121" s="3">
        <v>4.43</v>
      </c>
      <c r="P121" s="8" t="s">
        <v>18</v>
      </c>
    </row>
    <row r="122" spans="1:16" x14ac:dyDescent="0.35">
      <c r="A122" s="7">
        <v>120</v>
      </c>
      <c r="B122" s="4" t="s">
        <v>169</v>
      </c>
      <c r="C122" s="4" t="s">
        <v>26</v>
      </c>
      <c r="D122" s="1">
        <v>60</v>
      </c>
      <c r="E122" s="1">
        <v>57</v>
      </c>
      <c r="F122" s="2">
        <v>8520</v>
      </c>
      <c r="G122" s="2">
        <v>3834</v>
      </c>
      <c r="H122" s="2">
        <v>135</v>
      </c>
      <c r="I122" s="2">
        <v>370.5</v>
      </c>
      <c r="J122" s="2">
        <v>2281.62</v>
      </c>
      <c r="K122" s="2">
        <v>21.6</v>
      </c>
      <c r="L122" s="2">
        <v>6642.72</v>
      </c>
      <c r="M122" s="2">
        <v>1877.28</v>
      </c>
      <c r="N122" s="5">
        <v>0.22030000000000002</v>
      </c>
      <c r="O122" s="3">
        <v>3.98</v>
      </c>
      <c r="P122" s="8" t="s">
        <v>27</v>
      </c>
    </row>
    <row r="123" spans="1:16" x14ac:dyDescent="0.35">
      <c r="A123" s="7">
        <v>121</v>
      </c>
      <c r="B123" s="4" t="s">
        <v>170</v>
      </c>
      <c r="C123" s="4" t="s">
        <v>26</v>
      </c>
      <c r="D123" s="1">
        <v>57</v>
      </c>
      <c r="E123" s="1">
        <v>54</v>
      </c>
      <c r="F123" s="2">
        <v>8504.2999999999993</v>
      </c>
      <c r="G123" s="2">
        <v>3826.93</v>
      </c>
      <c r="H123" s="2">
        <v>128.25</v>
      </c>
      <c r="I123" s="2">
        <v>351</v>
      </c>
      <c r="J123" s="2">
        <v>951.59</v>
      </c>
      <c r="K123" s="2">
        <v>20.52</v>
      </c>
      <c r="L123" s="2">
        <v>5278.29</v>
      </c>
      <c r="M123" s="2">
        <v>3226.01</v>
      </c>
      <c r="N123" s="5">
        <v>0.37929999999999997</v>
      </c>
      <c r="O123" s="3">
        <v>4.33</v>
      </c>
      <c r="P123" s="8" t="s">
        <v>18</v>
      </c>
    </row>
    <row r="124" spans="1:16" x14ac:dyDescent="0.35">
      <c r="A124" s="7">
        <v>122</v>
      </c>
      <c r="B124" s="4" t="s">
        <v>171</v>
      </c>
      <c r="C124" s="4" t="s">
        <v>17</v>
      </c>
      <c r="D124" s="1">
        <v>26</v>
      </c>
      <c r="E124" s="1">
        <v>26</v>
      </c>
      <c r="F124" s="2">
        <v>8473.2900000000009</v>
      </c>
      <c r="G124" s="2">
        <v>3558.78</v>
      </c>
      <c r="H124" s="2">
        <v>26</v>
      </c>
      <c r="I124" s="2">
        <v>104</v>
      </c>
      <c r="J124" s="2">
        <v>813.54</v>
      </c>
      <c r="K124" s="2">
        <v>9.36</v>
      </c>
      <c r="L124" s="2">
        <v>4511.68</v>
      </c>
      <c r="M124" s="2">
        <v>3961.61</v>
      </c>
      <c r="N124" s="5">
        <v>0.46750000000000003</v>
      </c>
      <c r="O124" s="3">
        <v>4.12</v>
      </c>
      <c r="P124" s="8" t="s">
        <v>18</v>
      </c>
    </row>
    <row r="125" spans="1:16" x14ac:dyDescent="0.35">
      <c r="A125" s="7">
        <v>123</v>
      </c>
      <c r="B125" s="4" t="s">
        <v>172</v>
      </c>
      <c r="C125" s="4" t="s">
        <v>30</v>
      </c>
      <c r="D125" s="1">
        <v>48</v>
      </c>
      <c r="E125" s="1">
        <v>47</v>
      </c>
      <c r="F125" s="2">
        <v>8435.56</v>
      </c>
      <c r="G125" s="2">
        <v>3542.94</v>
      </c>
      <c r="H125" s="2">
        <v>48</v>
      </c>
      <c r="I125" s="2">
        <v>188</v>
      </c>
      <c r="J125" s="2">
        <v>1476.84</v>
      </c>
      <c r="K125" s="2">
        <v>17.28</v>
      </c>
      <c r="L125" s="2">
        <v>5273.06</v>
      </c>
      <c r="M125" s="2">
        <v>3162.5</v>
      </c>
      <c r="N125" s="5">
        <v>0.37490000000000001</v>
      </c>
      <c r="O125" s="3">
        <v>4.13</v>
      </c>
      <c r="P125" s="8" t="s">
        <v>18</v>
      </c>
    </row>
    <row r="126" spans="1:16" x14ac:dyDescent="0.35">
      <c r="A126" s="7">
        <v>124</v>
      </c>
      <c r="B126" s="4" t="s">
        <v>173</v>
      </c>
      <c r="C126" s="4" t="s">
        <v>17</v>
      </c>
      <c r="D126" s="1">
        <v>7</v>
      </c>
      <c r="E126" s="1">
        <v>6</v>
      </c>
      <c r="F126" s="2">
        <v>8399.2999999999993</v>
      </c>
      <c r="G126" s="2">
        <v>3527.71</v>
      </c>
      <c r="H126" s="2">
        <v>7</v>
      </c>
      <c r="I126" s="2">
        <v>24</v>
      </c>
      <c r="J126" s="2">
        <v>226.96</v>
      </c>
      <c r="K126" s="2">
        <v>2.52</v>
      </c>
      <c r="L126" s="2">
        <v>3788.19</v>
      </c>
      <c r="M126" s="2">
        <v>4611.1099999999997</v>
      </c>
      <c r="N126" s="5">
        <v>0.54899999999999993</v>
      </c>
      <c r="O126" s="3">
        <v>4.8600000000000003</v>
      </c>
      <c r="P126" s="8" t="s">
        <v>18</v>
      </c>
    </row>
    <row r="127" spans="1:16" x14ac:dyDescent="0.35">
      <c r="A127" s="7">
        <v>125</v>
      </c>
      <c r="B127" s="4" t="s">
        <v>174</v>
      </c>
      <c r="C127" s="4" t="s">
        <v>98</v>
      </c>
      <c r="D127" s="1">
        <v>54</v>
      </c>
      <c r="E127" s="1">
        <v>30</v>
      </c>
      <c r="F127" s="2">
        <v>8348</v>
      </c>
      <c r="G127" s="2">
        <v>3756.6</v>
      </c>
      <c r="H127" s="2">
        <v>270</v>
      </c>
      <c r="I127" s="2">
        <v>300</v>
      </c>
      <c r="J127" s="2">
        <v>1914.53</v>
      </c>
      <c r="K127" s="2">
        <v>19.440000000000001</v>
      </c>
      <c r="L127" s="2">
        <v>6260.57</v>
      </c>
      <c r="M127" s="2">
        <v>2087.4299999999998</v>
      </c>
      <c r="N127" s="5">
        <v>0.25009999999999999</v>
      </c>
      <c r="O127" s="3">
        <v>3.22</v>
      </c>
      <c r="P127" s="8" t="s">
        <v>27</v>
      </c>
    </row>
    <row r="128" spans="1:16" x14ac:dyDescent="0.35">
      <c r="A128" s="7">
        <v>126</v>
      </c>
      <c r="B128" s="4" t="s">
        <v>175</v>
      </c>
      <c r="C128" s="4" t="s">
        <v>32</v>
      </c>
      <c r="D128" s="1">
        <v>46</v>
      </c>
      <c r="E128" s="1">
        <v>45</v>
      </c>
      <c r="F128" s="2">
        <v>8314.16</v>
      </c>
      <c r="G128" s="2">
        <v>3741.37</v>
      </c>
      <c r="H128" s="2">
        <v>46</v>
      </c>
      <c r="I128" s="2">
        <v>180</v>
      </c>
      <c r="J128" s="2">
        <v>813.18</v>
      </c>
      <c r="K128" s="2">
        <v>16.559999999999999</v>
      </c>
      <c r="L128" s="2">
        <v>4797.1099999999997</v>
      </c>
      <c r="M128" s="2">
        <v>3517.05</v>
      </c>
      <c r="N128" s="5">
        <v>0.42299999999999999</v>
      </c>
      <c r="O128" s="3">
        <v>4.3</v>
      </c>
      <c r="P128" s="8" t="s">
        <v>18</v>
      </c>
    </row>
    <row r="129" spans="1:16" x14ac:dyDescent="0.35">
      <c r="A129" s="7">
        <v>127</v>
      </c>
      <c r="B129" s="4" t="s">
        <v>176</v>
      </c>
      <c r="C129" s="4" t="s">
        <v>17</v>
      </c>
      <c r="D129" s="1">
        <v>15</v>
      </c>
      <c r="E129" s="1">
        <v>15</v>
      </c>
      <c r="F129" s="2">
        <v>8250</v>
      </c>
      <c r="G129" s="2">
        <v>3465</v>
      </c>
      <c r="H129" s="2">
        <v>15</v>
      </c>
      <c r="I129" s="2">
        <v>60</v>
      </c>
      <c r="J129" s="2">
        <v>1964.16</v>
      </c>
      <c r="K129" s="2">
        <v>5.4</v>
      </c>
      <c r="L129" s="2">
        <v>5509.56</v>
      </c>
      <c r="M129" s="2">
        <v>2740.44</v>
      </c>
      <c r="N129" s="5">
        <v>0.3322</v>
      </c>
      <c r="O129" s="3">
        <v>4.33</v>
      </c>
      <c r="P129" s="8" t="s">
        <v>18</v>
      </c>
    </row>
    <row r="130" spans="1:16" x14ac:dyDescent="0.35">
      <c r="A130" s="7">
        <v>128</v>
      </c>
      <c r="B130" s="4" t="s">
        <v>177</v>
      </c>
      <c r="C130" s="4" t="s">
        <v>57</v>
      </c>
      <c r="D130" s="1">
        <v>74</v>
      </c>
      <c r="E130" s="1">
        <v>74</v>
      </c>
      <c r="F130" s="2">
        <v>8247.6</v>
      </c>
      <c r="G130" s="2">
        <v>3711.42</v>
      </c>
      <c r="H130" s="2">
        <v>166.5</v>
      </c>
      <c r="I130" s="2">
        <v>481</v>
      </c>
      <c r="J130" s="2">
        <v>1482.89</v>
      </c>
      <c r="K130" s="2">
        <v>26.64</v>
      </c>
      <c r="L130" s="2">
        <v>5868.45</v>
      </c>
      <c r="M130" s="2">
        <v>2379.15</v>
      </c>
      <c r="N130" s="5">
        <v>0.28850000000000003</v>
      </c>
      <c r="O130" s="3">
        <v>4.5599999999999996</v>
      </c>
      <c r="P130" s="8" t="s">
        <v>18</v>
      </c>
    </row>
    <row r="131" spans="1:16" x14ac:dyDescent="0.35">
      <c r="A131" s="7">
        <v>129</v>
      </c>
      <c r="B131" s="4" t="s">
        <v>178</v>
      </c>
      <c r="C131" s="4" t="s">
        <v>83</v>
      </c>
      <c r="D131" s="1">
        <v>32</v>
      </c>
      <c r="E131" s="1">
        <v>32</v>
      </c>
      <c r="F131" s="2">
        <v>8237.68</v>
      </c>
      <c r="G131" s="2">
        <v>3459.83</v>
      </c>
      <c r="H131" s="2">
        <v>32</v>
      </c>
      <c r="I131" s="2">
        <v>208</v>
      </c>
      <c r="J131" s="2">
        <v>1890.49</v>
      </c>
      <c r="K131" s="2">
        <v>11.52</v>
      </c>
      <c r="L131" s="2">
        <v>5601.84</v>
      </c>
      <c r="M131" s="2">
        <v>2635.84</v>
      </c>
      <c r="N131" s="5">
        <v>0.32</v>
      </c>
      <c r="O131" s="3">
        <v>3.91</v>
      </c>
      <c r="P131" s="8" t="s">
        <v>27</v>
      </c>
    </row>
    <row r="132" spans="1:16" x14ac:dyDescent="0.35">
      <c r="A132" s="7">
        <v>130</v>
      </c>
      <c r="B132" s="4" t="s">
        <v>179</v>
      </c>
      <c r="C132" s="4" t="s">
        <v>87</v>
      </c>
      <c r="D132" s="1">
        <v>60</v>
      </c>
      <c r="E132" s="1">
        <v>32</v>
      </c>
      <c r="F132" s="2">
        <v>8150</v>
      </c>
      <c r="G132" s="2">
        <v>3667.5</v>
      </c>
      <c r="H132" s="2">
        <v>135</v>
      </c>
      <c r="I132" s="2">
        <v>208</v>
      </c>
      <c r="J132" s="2">
        <v>1132.8</v>
      </c>
      <c r="K132" s="2">
        <v>21.6</v>
      </c>
      <c r="L132" s="2">
        <v>5164.8999999999996</v>
      </c>
      <c r="M132" s="2">
        <v>2985.1</v>
      </c>
      <c r="N132" s="5">
        <v>0.36630000000000001</v>
      </c>
      <c r="O132" s="3">
        <v>3.59</v>
      </c>
      <c r="P132" s="8" t="s">
        <v>27</v>
      </c>
    </row>
    <row r="133" spans="1:16" x14ac:dyDescent="0.35">
      <c r="A133" s="7">
        <v>131</v>
      </c>
      <c r="B133" s="4" t="s">
        <v>180</v>
      </c>
      <c r="C133" s="4" t="s">
        <v>87</v>
      </c>
      <c r="D133" s="1">
        <v>20</v>
      </c>
      <c r="E133" s="1">
        <v>20</v>
      </c>
      <c r="F133" s="2">
        <v>8127</v>
      </c>
      <c r="G133" s="2">
        <v>3657.15</v>
      </c>
      <c r="H133" s="2">
        <v>45</v>
      </c>
      <c r="I133" s="2">
        <v>130</v>
      </c>
      <c r="J133" s="2">
        <v>638.71</v>
      </c>
      <c r="K133" s="2">
        <v>7.2</v>
      </c>
      <c r="L133" s="2">
        <v>4478.0600000000004</v>
      </c>
      <c r="M133" s="2">
        <v>3648.94</v>
      </c>
      <c r="N133" s="5">
        <v>0.44900000000000001</v>
      </c>
      <c r="O133" s="3">
        <v>4</v>
      </c>
      <c r="P133" s="8" t="s">
        <v>18</v>
      </c>
    </row>
    <row r="134" spans="1:16" x14ac:dyDescent="0.35">
      <c r="A134" s="7">
        <v>132</v>
      </c>
      <c r="B134" s="4" t="s">
        <v>181</v>
      </c>
      <c r="C134" s="4" t="s">
        <v>23</v>
      </c>
      <c r="D134" s="1">
        <v>14</v>
      </c>
      <c r="E134" s="1">
        <v>14</v>
      </c>
      <c r="F134" s="2">
        <v>8123.78</v>
      </c>
      <c r="G134" s="2">
        <v>4630.55</v>
      </c>
      <c r="H134" s="2">
        <v>31.5</v>
      </c>
      <c r="I134" s="2">
        <v>140</v>
      </c>
      <c r="J134" s="2">
        <v>388.61</v>
      </c>
      <c r="K134" s="2">
        <v>12.6</v>
      </c>
      <c r="L134" s="2">
        <v>5203.26</v>
      </c>
      <c r="M134" s="2">
        <v>2920.52</v>
      </c>
      <c r="N134" s="5">
        <v>0.35950000000000004</v>
      </c>
      <c r="O134" s="3">
        <v>4.46</v>
      </c>
      <c r="P134" s="8" t="s">
        <v>18</v>
      </c>
    </row>
    <row r="135" spans="1:16" x14ac:dyDescent="0.35">
      <c r="A135" s="7">
        <v>133</v>
      </c>
      <c r="B135" s="4" t="s">
        <v>182</v>
      </c>
      <c r="C135" s="4" t="s">
        <v>17</v>
      </c>
      <c r="D135" s="1">
        <v>71</v>
      </c>
      <c r="E135" s="1">
        <v>66</v>
      </c>
      <c r="F135" s="2">
        <v>8100</v>
      </c>
      <c r="G135" s="2">
        <v>3402</v>
      </c>
      <c r="H135" s="2">
        <v>71</v>
      </c>
      <c r="I135" s="2">
        <v>264</v>
      </c>
      <c r="J135" s="2">
        <v>1964.69</v>
      </c>
      <c r="K135" s="2">
        <v>25.56</v>
      </c>
      <c r="L135" s="2">
        <v>5727.25</v>
      </c>
      <c r="M135" s="2">
        <v>2372.75</v>
      </c>
      <c r="N135" s="5">
        <v>0.29289999999999999</v>
      </c>
      <c r="O135" s="3">
        <v>3.96</v>
      </c>
      <c r="P135" s="8" t="s">
        <v>27</v>
      </c>
    </row>
    <row r="136" spans="1:16" x14ac:dyDescent="0.35">
      <c r="A136" s="7">
        <v>134</v>
      </c>
      <c r="B136" s="4" t="s">
        <v>183</v>
      </c>
      <c r="C136" s="4" t="s">
        <v>32</v>
      </c>
      <c r="D136" s="1">
        <v>51</v>
      </c>
      <c r="E136" s="1">
        <v>50</v>
      </c>
      <c r="F136" s="2">
        <v>8089.49</v>
      </c>
      <c r="G136" s="2">
        <v>3640.27</v>
      </c>
      <c r="H136" s="2">
        <v>51</v>
      </c>
      <c r="I136" s="2">
        <v>200</v>
      </c>
      <c r="J136" s="2">
        <v>1105.3399999999999</v>
      </c>
      <c r="K136" s="2">
        <v>18.36</v>
      </c>
      <c r="L136" s="2">
        <v>5014.97</v>
      </c>
      <c r="M136" s="2">
        <v>3074.52</v>
      </c>
      <c r="N136" s="5">
        <v>0.38009999999999999</v>
      </c>
      <c r="O136" s="3">
        <v>3.94</v>
      </c>
      <c r="P136" s="8" t="s">
        <v>27</v>
      </c>
    </row>
    <row r="137" spans="1:16" x14ac:dyDescent="0.35">
      <c r="A137" s="7">
        <v>135</v>
      </c>
      <c r="B137" s="4" t="s">
        <v>184</v>
      </c>
      <c r="C137" s="4" t="s">
        <v>26</v>
      </c>
      <c r="D137" s="1">
        <v>40</v>
      </c>
      <c r="E137" s="1">
        <v>40</v>
      </c>
      <c r="F137" s="2">
        <v>8087.83</v>
      </c>
      <c r="G137" s="2">
        <v>3639.52</v>
      </c>
      <c r="H137" s="2">
        <v>90</v>
      </c>
      <c r="I137" s="2">
        <v>260</v>
      </c>
      <c r="J137" s="2">
        <v>894.73</v>
      </c>
      <c r="K137" s="2">
        <v>14.4</v>
      </c>
      <c r="L137" s="2">
        <v>4898.6499999999996</v>
      </c>
      <c r="M137" s="2">
        <v>3189.18</v>
      </c>
      <c r="N137" s="5">
        <v>0.39429999999999998</v>
      </c>
      <c r="O137" s="3">
        <v>4</v>
      </c>
      <c r="P137" s="8" t="s">
        <v>18</v>
      </c>
    </row>
    <row r="138" spans="1:16" x14ac:dyDescent="0.35">
      <c r="A138" s="7">
        <v>136</v>
      </c>
      <c r="B138" s="4" t="s">
        <v>185</v>
      </c>
      <c r="C138" s="4" t="s">
        <v>34</v>
      </c>
      <c r="D138" s="1">
        <v>16</v>
      </c>
      <c r="E138" s="1">
        <v>16</v>
      </c>
      <c r="F138" s="2">
        <v>8069</v>
      </c>
      <c r="G138" s="2">
        <v>3388.98</v>
      </c>
      <c r="H138" s="2">
        <v>16</v>
      </c>
      <c r="I138" s="2">
        <v>64</v>
      </c>
      <c r="J138" s="2">
        <v>266.16000000000003</v>
      </c>
      <c r="K138" s="2">
        <v>5.76</v>
      </c>
      <c r="L138" s="2">
        <v>3740.9</v>
      </c>
      <c r="M138" s="2">
        <v>4328.1000000000004</v>
      </c>
      <c r="N138" s="5">
        <v>0.53639999999999999</v>
      </c>
      <c r="O138" s="3">
        <v>3.81</v>
      </c>
      <c r="P138" s="8" t="s">
        <v>27</v>
      </c>
    </row>
    <row r="139" spans="1:16" x14ac:dyDescent="0.35">
      <c r="A139" s="7">
        <v>137</v>
      </c>
      <c r="B139" s="4" t="s">
        <v>186</v>
      </c>
      <c r="C139" s="4" t="s">
        <v>160</v>
      </c>
      <c r="D139" s="1">
        <v>18</v>
      </c>
      <c r="E139" s="1">
        <v>18</v>
      </c>
      <c r="F139" s="2">
        <v>8043</v>
      </c>
      <c r="G139" s="2">
        <v>3619.35</v>
      </c>
      <c r="H139" s="2">
        <v>18</v>
      </c>
      <c r="I139" s="2">
        <v>72</v>
      </c>
      <c r="J139" s="2">
        <v>566.73</v>
      </c>
      <c r="K139" s="2">
        <v>6.48</v>
      </c>
      <c r="L139" s="2">
        <v>4282.5600000000004</v>
      </c>
      <c r="M139" s="2">
        <v>3760.44</v>
      </c>
      <c r="N139" s="5">
        <v>0.46750000000000003</v>
      </c>
      <c r="O139" s="3">
        <v>4.33</v>
      </c>
      <c r="P139" s="8" t="s">
        <v>18</v>
      </c>
    </row>
    <row r="140" spans="1:16" x14ac:dyDescent="0.35">
      <c r="A140" s="7">
        <v>138</v>
      </c>
      <c r="B140" s="4" t="s">
        <v>187</v>
      </c>
      <c r="C140" s="4" t="s">
        <v>34</v>
      </c>
      <c r="D140" s="1">
        <v>10</v>
      </c>
      <c r="E140" s="1">
        <v>10</v>
      </c>
      <c r="F140" s="2">
        <v>8040</v>
      </c>
      <c r="G140" s="2">
        <v>3376.8</v>
      </c>
      <c r="H140" s="2">
        <v>10</v>
      </c>
      <c r="I140" s="2">
        <v>40</v>
      </c>
      <c r="J140" s="2">
        <v>206.92</v>
      </c>
      <c r="K140" s="2">
        <v>3.6</v>
      </c>
      <c r="L140" s="2">
        <v>3637.32</v>
      </c>
      <c r="M140" s="2">
        <v>4402.68</v>
      </c>
      <c r="N140" s="5">
        <v>0.54759999999999998</v>
      </c>
      <c r="O140" s="3">
        <v>4.7</v>
      </c>
      <c r="P140" s="8" t="s">
        <v>18</v>
      </c>
    </row>
    <row r="141" spans="1:16" x14ac:dyDescent="0.35">
      <c r="A141" s="7">
        <v>139</v>
      </c>
      <c r="B141" s="4" t="s">
        <v>188</v>
      </c>
      <c r="C141" s="4" t="s">
        <v>46</v>
      </c>
      <c r="D141" s="1">
        <v>4</v>
      </c>
      <c r="E141" s="1">
        <v>4</v>
      </c>
      <c r="F141" s="2">
        <v>7996</v>
      </c>
      <c r="G141" s="2">
        <v>3198.4</v>
      </c>
      <c r="H141" s="2">
        <v>9</v>
      </c>
      <c r="I141" s="2">
        <v>26</v>
      </c>
      <c r="J141" s="2">
        <v>188.82</v>
      </c>
      <c r="K141" s="2">
        <v>0.4</v>
      </c>
      <c r="L141" s="2">
        <v>3422.62</v>
      </c>
      <c r="M141" s="2">
        <v>4573.38</v>
      </c>
      <c r="N141" s="5">
        <v>0.57200000000000006</v>
      </c>
      <c r="O141" s="3">
        <v>3.75</v>
      </c>
      <c r="P141" s="8" t="s">
        <v>27</v>
      </c>
    </row>
    <row r="142" spans="1:16" x14ac:dyDescent="0.35">
      <c r="A142" s="7">
        <v>140</v>
      </c>
      <c r="B142" s="4" t="s">
        <v>189</v>
      </c>
      <c r="C142" s="4" t="s">
        <v>64</v>
      </c>
      <c r="D142" s="1">
        <v>24</v>
      </c>
      <c r="E142" s="1">
        <v>24</v>
      </c>
      <c r="F142" s="2">
        <v>7986</v>
      </c>
      <c r="G142" s="2">
        <v>4552.0200000000004</v>
      </c>
      <c r="H142" s="2">
        <v>24</v>
      </c>
      <c r="I142" s="2">
        <v>96</v>
      </c>
      <c r="J142" s="2">
        <v>336.03</v>
      </c>
      <c r="K142" s="2">
        <v>8.64</v>
      </c>
      <c r="L142" s="2">
        <v>5016.6899999999996</v>
      </c>
      <c r="M142" s="2">
        <v>2969.31</v>
      </c>
      <c r="N142" s="5">
        <v>0.37180000000000002</v>
      </c>
      <c r="O142" s="3">
        <v>4.21</v>
      </c>
      <c r="P142" s="8" t="s">
        <v>18</v>
      </c>
    </row>
    <row r="143" spans="1:16" x14ac:dyDescent="0.35">
      <c r="A143" s="7">
        <v>141</v>
      </c>
      <c r="B143" s="4" t="s">
        <v>190</v>
      </c>
      <c r="C143" s="4" t="s">
        <v>76</v>
      </c>
      <c r="D143" s="1">
        <v>5</v>
      </c>
      <c r="E143" s="1">
        <v>5</v>
      </c>
      <c r="F143" s="2">
        <v>7943</v>
      </c>
      <c r="G143" s="2">
        <v>4527.51</v>
      </c>
      <c r="H143" s="2">
        <v>25</v>
      </c>
      <c r="I143" s="2">
        <v>50</v>
      </c>
      <c r="J143" s="2">
        <v>420.02</v>
      </c>
      <c r="K143" s="2">
        <v>1.8</v>
      </c>
      <c r="L143" s="2">
        <v>5024.33</v>
      </c>
      <c r="M143" s="2">
        <v>2918.67</v>
      </c>
      <c r="N143" s="5">
        <v>0.36749999999999999</v>
      </c>
      <c r="O143" s="3">
        <v>4.4000000000000004</v>
      </c>
      <c r="P143" s="8" t="s">
        <v>18</v>
      </c>
    </row>
    <row r="144" spans="1:16" x14ac:dyDescent="0.35">
      <c r="A144" s="7">
        <v>142</v>
      </c>
      <c r="B144" s="4" t="s">
        <v>191</v>
      </c>
      <c r="C144" s="4" t="s">
        <v>104</v>
      </c>
      <c r="D144" s="1">
        <v>95</v>
      </c>
      <c r="E144" s="1">
        <v>94</v>
      </c>
      <c r="F144" s="2">
        <v>7924.05</v>
      </c>
      <c r="G144" s="2">
        <v>3328.1</v>
      </c>
      <c r="H144" s="2">
        <v>95</v>
      </c>
      <c r="I144" s="2">
        <v>376</v>
      </c>
      <c r="J144" s="2">
        <v>1472.62</v>
      </c>
      <c r="K144" s="2">
        <v>34.200000000000003</v>
      </c>
      <c r="L144" s="2">
        <v>5305.92</v>
      </c>
      <c r="M144" s="2">
        <v>2618.13</v>
      </c>
      <c r="N144" s="5">
        <v>0.33039999999999997</v>
      </c>
      <c r="O144" s="3">
        <v>4.3099999999999996</v>
      </c>
      <c r="P144" s="8" t="s">
        <v>18</v>
      </c>
    </row>
    <row r="145" spans="1:16" x14ac:dyDescent="0.35">
      <c r="A145" s="7">
        <v>143</v>
      </c>
      <c r="B145" s="4" t="s">
        <v>192</v>
      </c>
      <c r="C145" s="4" t="s">
        <v>21</v>
      </c>
      <c r="D145" s="1">
        <v>12</v>
      </c>
      <c r="E145" s="1">
        <v>4</v>
      </c>
      <c r="F145" s="2">
        <v>7879.92</v>
      </c>
      <c r="G145" s="2">
        <v>4491.55</v>
      </c>
      <c r="H145" s="2">
        <v>27</v>
      </c>
      <c r="I145" s="2">
        <v>40</v>
      </c>
      <c r="J145" s="2">
        <v>505.22</v>
      </c>
      <c r="K145" s="2">
        <v>10.8</v>
      </c>
      <c r="L145" s="2">
        <v>5074.57</v>
      </c>
      <c r="M145" s="2">
        <v>2805.35</v>
      </c>
      <c r="N145" s="5">
        <v>0.35600000000000004</v>
      </c>
      <c r="O145" s="3">
        <v>4.75</v>
      </c>
      <c r="P145" s="8" t="s">
        <v>18</v>
      </c>
    </row>
    <row r="146" spans="1:16" x14ac:dyDescent="0.35">
      <c r="A146" s="7">
        <v>144</v>
      </c>
      <c r="B146" s="4" t="s">
        <v>193</v>
      </c>
      <c r="C146" s="4" t="s">
        <v>102</v>
      </c>
      <c r="D146" s="1">
        <v>3</v>
      </c>
      <c r="E146" s="1">
        <v>3</v>
      </c>
      <c r="F146" s="2">
        <v>7868</v>
      </c>
      <c r="G146" s="2">
        <v>4484.76</v>
      </c>
      <c r="H146" s="2">
        <v>6.75</v>
      </c>
      <c r="I146" s="2">
        <v>19.5</v>
      </c>
      <c r="J146" s="2">
        <v>93.41</v>
      </c>
      <c r="K146" s="2">
        <v>1.08</v>
      </c>
      <c r="L146" s="2">
        <v>4605.5</v>
      </c>
      <c r="M146" s="2">
        <v>3262.5</v>
      </c>
      <c r="N146" s="5">
        <v>0.41470000000000001</v>
      </c>
      <c r="O146" s="3">
        <v>3.33</v>
      </c>
      <c r="P146" s="8" t="s">
        <v>27</v>
      </c>
    </row>
    <row r="147" spans="1:16" x14ac:dyDescent="0.35">
      <c r="A147" s="7">
        <v>145</v>
      </c>
      <c r="B147" s="4" t="s">
        <v>194</v>
      </c>
      <c r="C147" s="4" t="s">
        <v>17</v>
      </c>
      <c r="D147" s="1">
        <v>9</v>
      </c>
      <c r="E147" s="1">
        <v>8</v>
      </c>
      <c r="F147" s="2">
        <v>7825.93</v>
      </c>
      <c r="G147" s="2">
        <v>3286.89</v>
      </c>
      <c r="H147" s="2">
        <v>9</v>
      </c>
      <c r="I147" s="2">
        <v>32</v>
      </c>
      <c r="J147" s="2">
        <v>194.17</v>
      </c>
      <c r="K147" s="2">
        <v>3.24</v>
      </c>
      <c r="L147" s="2">
        <v>3525.3</v>
      </c>
      <c r="M147" s="2">
        <v>4300.63</v>
      </c>
      <c r="N147" s="5">
        <v>0.54949999999999999</v>
      </c>
      <c r="O147" s="3">
        <v>3</v>
      </c>
      <c r="P147" s="8" t="s">
        <v>27</v>
      </c>
    </row>
    <row r="148" spans="1:16" x14ac:dyDescent="0.35">
      <c r="A148" s="7">
        <v>146</v>
      </c>
      <c r="B148" s="4" t="s">
        <v>195</v>
      </c>
      <c r="C148" s="4" t="s">
        <v>116</v>
      </c>
      <c r="D148" s="1">
        <v>91</v>
      </c>
      <c r="E148" s="1">
        <v>83</v>
      </c>
      <c r="F148" s="2">
        <v>7810.9</v>
      </c>
      <c r="G148" s="2">
        <v>3280.58</v>
      </c>
      <c r="H148" s="2">
        <v>91</v>
      </c>
      <c r="I148" s="2">
        <v>332</v>
      </c>
      <c r="J148" s="2">
        <v>1557.24</v>
      </c>
      <c r="K148" s="2">
        <v>32.76</v>
      </c>
      <c r="L148" s="2">
        <v>5293.58</v>
      </c>
      <c r="M148" s="2">
        <v>2517.3200000000002</v>
      </c>
      <c r="N148" s="5">
        <v>0.32229999999999998</v>
      </c>
      <c r="O148" s="3">
        <v>2.89</v>
      </c>
      <c r="P148" s="8" t="s">
        <v>24</v>
      </c>
    </row>
    <row r="149" spans="1:16" x14ac:dyDescent="0.35">
      <c r="A149" s="7">
        <v>147</v>
      </c>
      <c r="B149" s="4" t="s">
        <v>196</v>
      </c>
      <c r="C149" s="4" t="s">
        <v>17</v>
      </c>
      <c r="D149" s="1">
        <v>155</v>
      </c>
      <c r="E149" s="1">
        <v>140</v>
      </c>
      <c r="F149" s="2">
        <v>7757.91</v>
      </c>
      <c r="G149" s="2">
        <v>3258.32</v>
      </c>
      <c r="H149" s="2">
        <v>155</v>
      </c>
      <c r="I149" s="2">
        <v>560</v>
      </c>
      <c r="J149" s="2">
        <v>1821.08</v>
      </c>
      <c r="K149" s="2">
        <v>55.8</v>
      </c>
      <c r="L149" s="2">
        <v>5850.2</v>
      </c>
      <c r="M149" s="2">
        <v>1907.71</v>
      </c>
      <c r="N149" s="5">
        <v>0.24590000000000001</v>
      </c>
      <c r="O149" s="3">
        <v>4.18</v>
      </c>
      <c r="P149" s="8" t="s">
        <v>27</v>
      </c>
    </row>
    <row r="150" spans="1:16" x14ac:dyDescent="0.35">
      <c r="A150" s="7">
        <v>148</v>
      </c>
      <c r="B150" s="4" t="s">
        <v>197</v>
      </c>
      <c r="C150" s="4" t="s">
        <v>148</v>
      </c>
      <c r="D150" s="1">
        <v>2</v>
      </c>
      <c r="E150" s="1">
        <v>2</v>
      </c>
      <c r="F150" s="2">
        <v>7749</v>
      </c>
      <c r="G150" s="2">
        <v>3254.58</v>
      </c>
      <c r="H150" s="2">
        <v>4.5</v>
      </c>
      <c r="I150" s="2">
        <v>13</v>
      </c>
      <c r="J150" s="2">
        <v>241.31</v>
      </c>
      <c r="K150" s="2">
        <v>0.72</v>
      </c>
      <c r="L150" s="2">
        <v>3514.11</v>
      </c>
      <c r="M150" s="2">
        <v>4234.8900000000003</v>
      </c>
      <c r="N150" s="5">
        <v>0.54649999999999999</v>
      </c>
      <c r="O150" s="3">
        <v>4.5</v>
      </c>
      <c r="P150" s="8" t="s">
        <v>18</v>
      </c>
    </row>
    <row r="151" spans="1:16" x14ac:dyDescent="0.35">
      <c r="A151" s="7">
        <v>149</v>
      </c>
      <c r="B151" s="4" t="s">
        <v>198</v>
      </c>
      <c r="C151" s="4" t="s">
        <v>23</v>
      </c>
      <c r="D151" s="1">
        <v>8</v>
      </c>
      <c r="E151" s="1">
        <v>8</v>
      </c>
      <c r="F151" s="2">
        <v>7697.4</v>
      </c>
      <c r="G151" s="2">
        <v>4387.5200000000004</v>
      </c>
      <c r="H151" s="2">
        <v>18</v>
      </c>
      <c r="I151" s="2">
        <v>80</v>
      </c>
      <c r="J151" s="2">
        <v>480.77</v>
      </c>
      <c r="K151" s="2">
        <v>7.2</v>
      </c>
      <c r="L151" s="2">
        <v>4973.49</v>
      </c>
      <c r="M151" s="2">
        <v>2723.91</v>
      </c>
      <c r="N151" s="5">
        <v>0.35389999999999999</v>
      </c>
      <c r="O151" s="3">
        <v>2.63</v>
      </c>
      <c r="P151" s="8" t="s">
        <v>24</v>
      </c>
    </row>
    <row r="152" spans="1:16" x14ac:dyDescent="0.35">
      <c r="A152" s="7">
        <v>150</v>
      </c>
      <c r="B152" s="4" t="s">
        <v>199</v>
      </c>
      <c r="C152" s="4" t="s">
        <v>104</v>
      </c>
      <c r="D152" s="1">
        <v>138</v>
      </c>
      <c r="E152" s="1">
        <v>134</v>
      </c>
      <c r="F152" s="2">
        <v>7675.62</v>
      </c>
      <c r="G152" s="2">
        <v>3223.76</v>
      </c>
      <c r="H152" s="2">
        <v>138</v>
      </c>
      <c r="I152" s="2">
        <v>536</v>
      </c>
      <c r="J152" s="2">
        <v>1849.48</v>
      </c>
      <c r="K152" s="2">
        <v>49.68</v>
      </c>
      <c r="L152" s="2">
        <v>5796.92</v>
      </c>
      <c r="M152" s="2">
        <v>1878.7</v>
      </c>
      <c r="N152" s="5">
        <v>0.24480000000000002</v>
      </c>
      <c r="O152" s="3">
        <v>4.28</v>
      </c>
      <c r="P152" s="8" t="s">
        <v>27</v>
      </c>
    </row>
    <row r="153" spans="1:16" x14ac:dyDescent="0.35">
      <c r="A153" s="7">
        <v>151</v>
      </c>
      <c r="B153" s="4" t="s">
        <v>200</v>
      </c>
      <c r="C153" s="4" t="s">
        <v>17</v>
      </c>
      <c r="D153" s="1">
        <v>15</v>
      </c>
      <c r="E153" s="1">
        <v>15</v>
      </c>
      <c r="F153" s="2">
        <v>7539.51</v>
      </c>
      <c r="G153" s="2">
        <v>3166.59</v>
      </c>
      <c r="H153" s="2">
        <v>15</v>
      </c>
      <c r="I153" s="2">
        <v>60</v>
      </c>
      <c r="J153" s="2">
        <v>495.76</v>
      </c>
      <c r="K153" s="2">
        <v>5.4</v>
      </c>
      <c r="L153" s="2">
        <v>3742.75</v>
      </c>
      <c r="M153" s="2">
        <v>3796.76</v>
      </c>
      <c r="N153" s="5">
        <v>0.50360000000000005</v>
      </c>
      <c r="O153" s="3">
        <v>4.3099999999999996</v>
      </c>
      <c r="P153" s="8" t="s">
        <v>18</v>
      </c>
    </row>
    <row r="154" spans="1:16" x14ac:dyDescent="0.35">
      <c r="A154" s="7">
        <v>152</v>
      </c>
      <c r="B154" s="4" t="s">
        <v>201</v>
      </c>
      <c r="C154" s="4" t="s">
        <v>87</v>
      </c>
      <c r="D154" s="1">
        <v>42</v>
      </c>
      <c r="E154" s="1">
        <v>42</v>
      </c>
      <c r="F154" s="2">
        <v>7518</v>
      </c>
      <c r="G154" s="2">
        <v>3383.1</v>
      </c>
      <c r="H154" s="2">
        <v>94.5</v>
      </c>
      <c r="I154" s="2">
        <v>273</v>
      </c>
      <c r="J154" s="2">
        <v>966.67</v>
      </c>
      <c r="K154" s="2">
        <v>15.12</v>
      </c>
      <c r="L154" s="2">
        <v>4732.3900000000003</v>
      </c>
      <c r="M154" s="2">
        <v>2785.61</v>
      </c>
      <c r="N154" s="5">
        <v>0.3705</v>
      </c>
      <c r="O154" s="3">
        <v>4.6900000000000004</v>
      </c>
      <c r="P154" s="8" t="s">
        <v>18</v>
      </c>
    </row>
    <row r="155" spans="1:16" x14ac:dyDescent="0.35">
      <c r="A155" s="7">
        <v>153</v>
      </c>
      <c r="B155" s="4" t="s">
        <v>202</v>
      </c>
      <c r="C155" s="4" t="s">
        <v>23</v>
      </c>
      <c r="D155" s="1">
        <v>88</v>
      </c>
      <c r="E155" s="1">
        <v>79</v>
      </c>
      <c r="F155" s="2">
        <v>7476.36</v>
      </c>
      <c r="G155" s="2">
        <v>4261.53</v>
      </c>
      <c r="H155" s="2">
        <v>198</v>
      </c>
      <c r="I155" s="2">
        <v>790</v>
      </c>
      <c r="J155" s="2">
        <v>1505.79</v>
      </c>
      <c r="K155" s="2">
        <v>79.2</v>
      </c>
      <c r="L155" s="2">
        <v>6834.52</v>
      </c>
      <c r="M155" s="2">
        <v>641.84</v>
      </c>
      <c r="N155" s="5">
        <v>8.5800000000000001E-2</v>
      </c>
      <c r="O155" s="3">
        <v>3.75</v>
      </c>
      <c r="P155" s="8" t="s">
        <v>24</v>
      </c>
    </row>
    <row r="156" spans="1:16" x14ac:dyDescent="0.35">
      <c r="A156" s="7">
        <v>154</v>
      </c>
      <c r="B156" s="4" t="s">
        <v>203</v>
      </c>
      <c r="C156" s="4" t="s">
        <v>204</v>
      </c>
      <c r="D156" s="1">
        <v>3</v>
      </c>
      <c r="E156" s="1">
        <v>3</v>
      </c>
      <c r="F156" s="2">
        <v>7374.6</v>
      </c>
      <c r="G156" s="2">
        <v>4203.5200000000004</v>
      </c>
      <c r="H156" s="2">
        <v>6.75</v>
      </c>
      <c r="I156" s="2">
        <v>19.5</v>
      </c>
      <c r="J156" s="2">
        <v>428.42</v>
      </c>
      <c r="K156" s="2">
        <v>2.7</v>
      </c>
      <c r="L156" s="2">
        <v>4660.8900000000003</v>
      </c>
      <c r="M156" s="2">
        <v>2713.71</v>
      </c>
      <c r="N156" s="5">
        <v>0.36799999999999999</v>
      </c>
      <c r="O156" s="3">
        <v>3</v>
      </c>
      <c r="P156" s="8" t="s">
        <v>27</v>
      </c>
    </row>
    <row r="157" spans="1:16" x14ac:dyDescent="0.35">
      <c r="A157" s="7">
        <v>155</v>
      </c>
      <c r="B157" s="4" t="s">
        <v>205</v>
      </c>
      <c r="C157" s="4" t="s">
        <v>44</v>
      </c>
      <c r="D157" s="1">
        <v>127</v>
      </c>
      <c r="E157" s="1">
        <v>97</v>
      </c>
      <c r="F157" s="2">
        <v>7333.7</v>
      </c>
      <c r="G157" s="2">
        <v>3300.16</v>
      </c>
      <c r="H157" s="2">
        <v>635</v>
      </c>
      <c r="I157" s="2">
        <v>970</v>
      </c>
      <c r="J157" s="2">
        <v>2854.94</v>
      </c>
      <c r="K157" s="2">
        <v>45.72</v>
      </c>
      <c r="L157" s="2">
        <v>7805.82</v>
      </c>
      <c r="M157" s="2">
        <v>-472.12</v>
      </c>
      <c r="N157" s="5">
        <v>-6.4399999999999999E-2</v>
      </c>
      <c r="O157" s="3">
        <v>4.1500000000000004</v>
      </c>
      <c r="P157" s="8" t="s">
        <v>24</v>
      </c>
    </row>
    <row r="158" spans="1:16" x14ac:dyDescent="0.35">
      <c r="A158" s="7">
        <v>156</v>
      </c>
      <c r="B158" s="4" t="s">
        <v>206</v>
      </c>
      <c r="C158" s="4" t="s">
        <v>34</v>
      </c>
      <c r="D158" s="1">
        <v>29</v>
      </c>
      <c r="E158" s="1">
        <v>28</v>
      </c>
      <c r="F158" s="2">
        <v>7201.5</v>
      </c>
      <c r="G158" s="2">
        <v>3024.63</v>
      </c>
      <c r="H158" s="2">
        <v>29</v>
      </c>
      <c r="I158" s="2">
        <v>112</v>
      </c>
      <c r="J158" s="2">
        <v>494.97</v>
      </c>
      <c r="K158" s="2">
        <v>10.44</v>
      </c>
      <c r="L158" s="2">
        <v>3671.04</v>
      </c>
      <c r="M158" s="2">
        <v>3530.46</v>
      </c>
      <c r="N158" s="5">
        <v>0.49020000000000002</v>
      </c>
      <c r="O158" s="3">
        <v>4.45</v>
      </c>
      <c r="P158" s="8" t="s">
        <v>18</v>
      </c>
    </row>
    <row r="159" spans="1:16" x14ac:dyDescent="0.35">
      <c r="A159" s="7">
        <v>157</v>
      </c>
      <c r="B159" s="4" t="s">
        <v>207</v>
      </c>
      <c r="C159" s="4" t="s">
        <v>102</v>
      </c>
      <c r="D159" s="1">
        <v>6</v>
      </c>
      <c r="E159" s="1">
        <v>6</v>
      </c>
      <c r="F159" s="2">
        <v>7194</v>
      </c>
      <c r="G159" s="2">
        <v>4100.58</v>
      </c>
      <c r="H159" s="2">
        <v>13.5</v>
      </c>
      <c r="I159" s="2">
        <v>39</v>
      </c>
      <c r="J159" s="2">
        <v>161.83000000000001</v>
      </c>
      <c r="K159" s="2">
        <v>2.16</v>
      </c>
      <c r="L159" s="2">
        <v>4317.07</v>
      </c>
      <c r="M159" s="2">
        <v>2876.93</v>
      </c>
      <c r="N159" s="5">
        <v>0.39990000000000003</v>
      </c>
      <c r="O159" s="3">
        <v>4.67</v>
      </c>
      <c r="P159" s="8" t="s">
        <v>18</v>
      </c>
    </row>
    <row r="160" spans="1:16" x14ac:dyDescent="0.35">
      <c r="A160" s="7">
        <v>158</v>
      </c>
      <c r="B160" s="4" t="s">
        <v>208</v>
      </c>
      <c r="C160" s="4" t="s">
        <v>17</v>
      </c>
      <c r="D160" s="1">
        <v>87</v>
      </c>
      <c r="E160" s="1">
        <v>82</v>
      </c>
      <c r="F160" s="2">
        <v>7185.1</v>
      </c>
      <c r="G160" s="2">
        <v>3017.74</v>
      </c>
      <c r="H160" s="2">
        <v>87</v>
      </c>
      <c r="I160" s="2">
        <v>328</v>
      </c>
      <c r="J160" s="2">
        <v>1778.36</v>
      </c>
      <c r="K160" s="2">
        <v>31.32</v>
      </c>
      <c r="L160" s="2">
        <v>5242.42</v>
      </c>
      <c r="M160" s="2">
        <v>1942.68</v>
      </c>
      <c r="N160" s="5">
        <v>0.27039999999999997</v>
      </c>
      <c r="O160" s="3">
        <v>4.1399999999999997</v>
      </c>
      <c r="P160" s="8" t="s">
        <v>18</v>
      </c>
    </row>
    <row r="161" spans="1:16" x14ac:dyDescent="0.35">
      <c r="A161" s="7">
        <v>159</v>
      </c>
      <c r="B161" s="4" t="s">
        <v>209</v>
      </c>
      <c r="C161" s="4" t="s">
        <v>204</v>
      </c>
      <c r="D161" s="1">
        <v>71</v>
      </c>
      <c r="E161" s="1">
        <v>66</v>
      </c>
      <c r="F161" s="2">
        <v>7112.9</v>
      </c>
      <c r="G161" s="2">
        <v>4054.35</v>
      </c>
      <c r="H161" s="2">
        <v>159.75</v>
      </c>
      <c r="I161" s="2">
        <v>429</v>
      </c>
      <c r="J161" s="2">
        <v>1136.9100000000001</v>
      </c>
      <c r="K161" s="2">
        <v>63.9</v>
      </c>
      <c r="L161" s="2">
        <v>5843.91</v>
      </c>
      <c r="M161" s="2">
        <v>1268.99</v>
      </c>
      <c r="N161" s="5">
        <v>0.1784</v>
      </c>
      <c r="O161" s="3">
        <v>3.87</v>
      </c>
      <c r="P161" s="8" t="s">
        <v>27</v>
      </c>
    </row>
    <row r="162" spans="1:16" x14ac:dyDescent="0.35">
      <c r="A162" s="7">
        <v>160</v>
      </c>
      <c r="B162" s="4" t="s">
        <v>210</v>
      </c>
      <c r="C162" s="4" t="s">
        <v>17</v>
      </c>
      <c r="D162" s="1">
        <v>9</v>
      </c>
      <c r="E162" s="1">
        <v>9</v>
      </c>
      <c r="F162" s="2">
        <v>7110.5</v>
      </c>
      <c r="G162" s="2">
        <v>2986.41</v>
      </c>
      <c r="H162" s="2">
        <v>9</v>
      </c>
      <c r="I162" s="2">
        <v>36</v>
      </c>
      <c r="J162" s="2">
        <v>245.17</v>
      </c>
      <c r="K162" s="2">
        <v>3.24</v>
      </c>
      <c r="L162" s="2">
        <v>3279.82</v>
      </c>
      <c r="M162" s="2">
        <v>3830.68</v>
      </c>
      <c r="N162" s="5">
        <v>0.53869999999999996</v>
      </c>
      <c r="O162" s="3">
        <v>4.25</v>
      </c>
      <c r="P162" s="8" t="s">
        <v>18</v>
      </c>
    </row>
    <row r="163" spans="1:16" x14ac:dyDescent="0.35">
      <c r="A163" s="7">
        <v>161</v>
      </c>
      <c r="B163" s="4" t="s">
        <v>211</v>
      </c>
      <c r="C163" s="4" t="s">
        <v>98</v>
      </c>
      <c r="D163" s="1">
        <v>59</v>
      </c>
      <c r="E163" s="1">
        <v>40</v>
      </c>
      <c r="F163" s="2">
        <v>7042.41</v>
      </c>
      <c r="G163" s="2">
        <v>3169.08</v>
      </c>
      <c r="H163" s="2">
        <v>295</v>
      </c>
      <c r="I163" s="2">
        <v>400</v>
      </c>
      <c r="J163" s="2">
        <v>1861.05</v>
      </c>
      <c r="K163" s="2">
        <v>21.24</v>
      </c>
      <c r="L163" s="2">
        <v>5746.37</v>
      </c>
      <c r="M163" s="2">
        <v>1296.04</v>
      </c>
      <c r="N163" s="5">
        <v>0.184</v>
      </c>
      <c r="O163" s="3">
        <v>3.42</v>
      </c>
      <c r="P163" s="8" t="s">
        <v>27</v>
      </c>
    </row>
    <row r="164" spans="1:16" x14ac:dyDescent="0.35">
      <c r="A164" s="7">
        <v>162</v>
      </c>
      <c r="B164" s="4" t="s">
        <v>212</v>
      </c>
      <c r="C164" s="4" t="s">
        <v>87</v>
      </c>
      <c r="D164" s="1">
        <v>3</v>
      </c>
      <c r="E164" s="1">
        <v>3</v>
      </c>
      <c r="F164" s="2">
        <v>7014.24</v>
      </c>
      <c r="G164" s="2">
        <v>3156.41</v>
      </c>
      <c r="H164" s="2">
        <v>6.75</v>
      </c>
      <c r="I164" s="2">
        <v>19.5</v>
      </c>
      <c r="J164" s="2">
        <v>925.01</v>
      </c>
      <c r="K164" s="2">
        <v>1.08</v>
      </c>
      <c r="L164" s="2">
        <v>4108.75</v>
      </c>
      <c r="M164" s="2">
        <v>2905.49</v>
      </c>
      <c r="N164" s="5">
        <v>0.41420000000000001</v>
      </c>
      <c r="O164" s="3">
        <v>4.33</v>
      </c>
      <c r="P164" s="8" t="s">
        <v>18</v>
      </c>
    </row>
    <row r="165" spans="1:16" x14ac:dyDescent="0.35">
      <c r="A165" s="7">
        <v>163</v>
      </c>
      <c r="B165" s="4" t="s">
        <v>213</v>
      </c>
      <c r="C165" s="4" t="s">
        <v>32</v>
      </c>
      <c r="D165" s="1">
        <v>35</v>
      </c>
      <c r="E165" s="1">
        <v>35</v>
      </c>
      <c r="F165" s="2">
        <v>7004</v>
      </c>
      <c r="G165" s="2">
        <v>3151.8</v>
      </c>
      <c r="H165" s="2">
        <v>35</v>
      </c>
      <c r="I165" s="2">
        <v>140</v>
      </c>
      <c r="J165" s="2">
        <v>1007.39</v>
      </c>
      <c r="K165" s="2">
        <v>12.6</v>
      </c>
      <c r="L165" s="2">
        <v>4346.79</v>
      </c>
      <c r="M165" s="2">
        <v>2657.21</v>
      </c>
      <c r="N165" s="5">
        <v>0.37939999999999996</v>
      </c>
      <c r="O165" s="3">
        <v>4.51</v>
      </c>
      <c r="P165" s="8" t="s">
        <v>18</v>
      </c>
    </row>
    <row r="166" spans="1:16" x14ac:dyDescent="0.35">
      <c r="A166" s="7">
        <v>164</v>
      </c>
      <c r="B166" s="4" t="s">
        <v>214</v>
      </c>
      <c r="C166" s="4" t="s">
        <v>128</v>
      </c>
      <c r="D166" s="1">
        <v>10</v>
      </c>
      <c r="E166" s="1">
        <v>10</v>
      </c>
      <c r="F166" s="2">
        <v>6990</v>
      </c>
      <c r="G166" s="2">
        <v>3984.3</v>
      </c>
      <c r="H166" s="2">
        <v>50</v>
      </c>
      <c r="I166" s="2">
        <v>100</v>
      </c>
      <c r="J166" s="2">
        <v>437.88</v>
      </c>
      <c r="K166" s="2">
        <v>3.6</v>
      </c>
      <c r="L166" s="2">
        <v>4575.78</v>
      </c>
      <c r="M166" s="2">
        <v>2414.2199999999998</v>
      </c>
      <c r="N166" s="5">
        <v>0.34539999999999998</v>
      </c>
      <c r="O166" s="3">
        <v>4.2</v>
      </c>
      <c r="P166" s="8" t="s">
        <v>18</v>
      </c>
    </row>
    <row r="167" spans="1:16" x14ac:dyDescent="0.35">
      <c r="A167" s="7">
        <v>165</v>
      </c>
      <c r="B167" s="4" t="s">
        <v>215</v>
      </c>
      <c r="C167" s="4" t="s">
        <v>30</v>
      </c>
      <c r="D167" s="1">
        <v>18</v>
      </c>
      <c r="E167" s="1">
        <v>18</v>
      </c>
      <c r="F167" s="2">
        <v>6975.9</v>
      </c>
      <c r="G167" s="2">
        <v>2929.88</v>
      </c>
      <c r="H167" s="2">
        <v>18</v>
      </c>
      <c r="I167" s="2">
        <v>72</v>
      </c>
      <c r="J167" s="2">
        <v>470.85</v>
      </c>
      <c r="K167" s="2">
        <v>6.48</v>
      </c>
      <c r="L167" s="2">
        <v>3497.21</v>
      </c>
      <c r="M167" s="2">
        <v>3478.69</v>
      </c>
      <c r="N167" s="5">
        <v>0.49869999999999998</v>
      </c>
      <c r="O167" s="3">
        <v>3.83</v>
      </c>
      <c r="P167" s="8" t="s">
        <v>27</v>
      </c>
    </row>
    <row r="168" spans="1:16" x14ac:dyDescent="0.35">
      <c r="A168" s="7">
        <v>166</v>
      </c>
      <c r="B168" s="4" t="s">
        <v>216</v>
      </c>
      <c r="C168" s="4" t="s">
        <v>23</v>
      </c>
      <c r="D168" s="1">
        <v>88</v>
      </c>
      <c r="E168" s="1">
        <v>65</v>
      </c>
      <c r="F168" s="2">
        <v>6975.37</v>
      </c>
      <c r="G168" s="2">
        <v>3975.96</v>
      </c>
      <c r="H168" s="2">
        <v>198</v>
      </c>
      <c r="I168" s="2">
        <v>650</v>
      </c>
      <c r="J168" s="2">
        <v>1175.57</v>
      </c>
      <c r="K168" s="2">
        <v>79.2</v>
      </c>
      <c r="L168" s="2">
        <v>6078.73</v>
      </c>
      <c r="M168" s="2">
        <v>896.64</v>
      </c>
      <c r="N168" s="5">
        <v>0.1285</v>
      </c>
      <c r="O168" s="3">
        <v>3.85</v>
      </c>
      <c r="P168" s="8" t="s">
        <v>27</v>
      </c>
    </row>
    <row r="169" spans="1:16" x14ac:dyDescent="0.35">
      <c r="A169" s="7">
        <v>167</v>
      </c>
      <c r="B169" s="4" t="s">
        <v>217</v>
      </c>
      <c r="C169" s="4" t="s">
        <v>26</v>
      </c>
      <c r="D169" s="1">
        <v>86</v>
      </c>
      <c r="E169" s="1">
        <v>74</v>
      </c>
      <c r="F169" s="2">
        <v>6923.33</v>
      </c>
      <c r="G169" s="2">
        <v>3115.5</v>
      </c>
      <c r="H169" s="2">
        <v>193.5</v>
      </c>
      <c r="I169" s="2">
        <v>481</v>
      </c>
      <c r="J169" s="2">
        <v>1219.99</v>
      </c>
      <c r="K169" s="2">
        <v>30.96</v>
      </c>
      <c r="L169" s="2">
        <v>5040.95</v>
      </c>
      <c r="M169" s="2">
        <v>1882.38</v>
      </c>
      <c r="N169" s="5">
        <v>0.27190000000000003</v>
      </c>
      <c r="O169" s="3">
        <v>4.47</v>
      </c>
      <c r="P169" s="8" t="s">
        <v>18</v>
      </c>
    </row>
    <row r="170" spans="1:16" x14ac:dyDescent="0.35">
      <c r="A170" s="7">
        <v>168</v>
      </c>
      <c r="B170" s="4" t="s">
        <v>218</v>
      </c>
      <c r="C170" s="4" t="s">
        <v>66</v>
      </c>
      <c r="D170" s="1">
        <v>7</v>
      </c>
      <c r="E170" s="1">
        <v>7</v>
      </c>
      <c r="F170" s="2">
        <v>6923</v>
      </c>
      <c r="G170" s="2">
        <v>3946.11</v>
      </c>
      <c r="H170" s="2">
        <v>7</v>
      </c>
      <c r="I170" s="2">
        <v>28</v>
      </c>
      <c r="J170" s="2">
        <v>160.19</v>
      </c>
      <c r="K170" s="2">
        <v>6.3</v>
      </c>
      <c r="L170" s="2">
        <v>4147.6000000000004</v>
      </c>
      <c r="M170" s="2">
        <v>2775.4</v>
      </c>
      <c r="N170" s="5">
        <v>0.40090000000000003</v>
      </c>
      <c r="O170" s="3">
        <v>1.5</v>
      </c>
      <c r="P170" s="8" t="s">
        <v>24</v>
      </c>
    </row>
    <row r="171" spans="1:16" x14ac:dyDescent="0.35">
      <c r="A171" s="7">
        <v>169</v>
      </c>
      <c r="B171" s="4" t="s">
        <v>219</v>
      </c>
      <c r="C171" s="4" t="s">
        <v>32</v>
      </c>
      <c r="D171" s="1">
        <v>26</v>
      </c>
      <c r="E171" s="1">
        <v>24</v>
      </c>
      <c r="F171" s="2">
        <v>6918</v>
      </c>
      <c r="G171" s="2">
        <v>3113.1</v>
      </c>
      <c r="H171" s="2">
        <v>26</v>
      </c>
      <c r="I171" s="2">
        <v>96</v>
      </c>
      <c r="J171" s="2">
        <v>966.39</v>
      </c>
      <c r="K171" s="2">
        <v>9.36</v>
      </c>
      <c r="L171" s="2">
        <v>4210.8500000000004</v>
      </c>
      <c r="M171" s="2">
        <v>2707.15</v>
      </c>
      <c r="N171" s="5">
        <v>0.39130000000000004</v>
      </c>
      <c r="O171" s="3">
        <v>4.2300000000000004</v>
      </c>
      <c r="P171" s="8" t="s">
        <v>18</v>
      </c>
    </row>
    <row r="172" spans="1:16" x14ac:dyDescent="0.35">
      <c r="A172" s="7">
        <v>170</v>
      </c>
      <c r="B172" s="4" t="s">
        <v>220</v>
      </c>
      <c r="C172" s="4" t="s">
        <v>160</v>
      </c>
      <c r="D172" s="1">
        <v>17</v>
      </c>
      <c r="E172" s="1">
        <v>14</v>
      </c>
      <c r="F172" s="2">
        <v>6885</v>
      </c>
      <c r="G172" s="2">
        <v>3098.25</v>
      </c>
      <c r="H172" s="2">
        <v>17</v>
      </c>
      <c r="I172" s="2">
        <v>56</v>
      </c>
      <c r="J172" s="2">
        <v>470.34</v>
      </c>
      <c r="K172" s="2">
        <v>6.12</v>
      </c>
      <c r="L172" s="2">
        <v>3647.71</v>
      </c>
      <c r="M172" s="2">
        <v>3237.29</v>
      </c>
      <c r="N172" s="5">
        <v>0.47020000000000001</v>
      </c>
      <c r="O172" s="3">
        <v>4</v>
      </c>
      <c r="P172" s="8" t="s">
        <v>18</v>
      </c>
    </row>
    <row r="173" spans="1:16" x14ac:dyDescent="0.35">
      <c r="A173" s="7">
        <v>171</v>
      </c>
      <c r="B173" s="4" t="s">
        <v>221</v>
      </c>
      <c r="C173" s="4" t="s">
        <v>104</v>
      </c>
      <c r="D173" s="1">
        <v>58</v>
      </c>
      <c r="E173" s="1">
        <v>55</v>
      </c>
      <c r="F173" s="2">
        <v>6872.49</v>
      </c>
      <c r="G173" s="2">
        <v>2886.45</v>
      </c>
      <c r="H173" s="2">
        <v>58</v>
      </c>
      <c r="I173" s="2">
        <v>220</v>
      </c>
      <c r="J173" s="2">
        <v>896.52</v>
      </c>
      <c r="K173" s="2">
        <v>20.88</v>
      </c>
      <c r="L173" s="2">
        <v>4081.85</v>
      </c>
      <c r="M173" s="2">
        <v>2790.64</v>
      </c>
      <c r="N173" s="5">
        <v>0.40610000000000002</v>
      </c>
      <c r="O173" s="3">
        <v>4.62</v>
      </c>
      <c r="P173" s="8" t="s">
        <v>18</v>
      </c>
    </row>
    <row r="174" spans="1:16" x14ac:dyDescent="0.35">
      <c r="A174" s="7">
        <v>172</v>
      </c>
      <c r="B174" s="4" t="s">
        <v>222</v>
      </c>
      <c r="C174" s="4" t="s">
        <v>223</v>
      </c>
      <c r="D174" s="1">
        <v>140</v>
      </c>
      <c r="E174" s="1">
        <v>138</v>
      </c>
      <c r="F174" s="2">
        <v>6860</v>
      </c>
      <c r="G174" s="2">
        <v>2881.2</v>
      </c>
      <c r="H174" s="2">
        <v>140</v>
      </c>
      <c r="I174" s="2">
        <v>552</v>
      </c>
      <c r="J174" s="2">
        <v>1758.47</v>
      </c>
      <c r="K174" s="2">
        <v>126</v>
      </c>
      <c r="L174" s="2">
        <v>5457.67</v>
      </c>
      <c r="M174" s="2">
        <v>1402.33</v>
      </c>
      <c r="N174" s="5">
        <v>0.20440000000000003</v>
      </c>
      <c r="O174" s="3">
        <v>4.0599999999999996</v>
      </c>
      <c r="P174" s="8" t="s">
        <v>27</v>
      </c>
    </row>
    <row r="175" spans="1:16" x14ac:dyDescent="0.35">
      <c r="A175" s="7">
        <v>173</v>
      </c>
      <c r="B175" s="4" t="s">
        <v>224</v>
      </c>
      <c r="C175" s="4" t="s">
        <v>34</v>
      </c>
      <c r="D175" s="1">
        <v>63</v>
      </c>
      <c r="E175" s="1">
        <v>63</v>
      </c>
      <c r="F175" s="2">
        <v>6859.81</v>
      </c>
      <c r="G175" s="2">
        <v>2881.12</v>
      </c>
      <c r="H175" s="2">
        <v>63</v>
      </c>
      <c r="I175" s="2">
        <v>252</v>
      </c>
      <c r="J175" s="2">
        <v>1055.5899999999999</v>
      </c>
      <c r="K175" s="2">
        <v>22.68</v>
      </c>
      <c r="L175" s="2">
        <v>4274.3900000000003</v>
      </c>
      <c r="M175" s="2">
        <v>2585.42</v>
      </c>
      <c r="N175" s="5">
        <v>0.37689999999999996</v>
      </c>
      <c r="O175" s="3">
        <v>4.4400000000000004</v>
      </c>
      <c r="P175" s="8" t="s">
        <v>18</v>
      </c>
    </row>
    <row r="176" spans="1:16" x14ac:dyDescent="0.35">
      <c r="A176" s="7">
        <v>174</v>
      </c>
      <c r="B176" s="4" t="s">
        <v>225</v>
      </c>
      <c r="C176" s="4" t="s">
        <v>26</v>
      </c>
      <c r="D176" s="1">
        <v>75</v>
      </c>
      <c r="E176" s="1">
        <v>73</v>
      </c>
      <c r="F176" s="2">
        <v>6846.09</v>
      </c>
      <c r="G176" s="2">
        <v>3080.74</v>
      </c>
      <c r="H176" s="2">
        <v>168.75</v>
      </c>
      <c r="I176" s="2">
        <v>474.5</v>
      </c>
      <c r="J176" s="2">
        <v>1672.87</v>
      </c>
      <c r="K176" s="2">
        <v>27</v>
      </c>
      <c r="L176" s="2">
        <v>5423.86</v>
      </c>
      <c r="M176" s="2">
        <v>1422.23</v>
      </c>
      <c r="N176" s="5">
        <v>0.2077</v>
      </c>
      <c r="O176" s="3">
        <v>3.89</v>
      </c>
      <c r="P176" s="8" t="s">
        <v>27</v>
      </c>
    </row>
    <row r="177" spans="1:16" x14ac:dyDescent="0.35">
      <c r="A177" s="7">
        <v>175</v>
      </c>
      <c r="B177" s="4" t="s">
        <v>226</v>
      </c>
      <c r="C177" s="4" t="s">
        <v>98</v>
      </c>
      <c r="D177" s="1">
        <v>57</v>
      </c>
      <c r="E177" s="1">
        <v>46</v>
      </c>
      <c r="F177" s="2">
        <v>6819.2</v>
      </c>
      <c r="G177" s="2">
        <v>3068.64</v>
      </c>
      <c r="H177" s="2">
        <v>285</v>
      </c>
      <c r="I177" s="2">
        <v>460</v>
      </c>
      <c r="J177" s="2">
        <v>1237.45</v>
      </c>
      <c r="K177" s="2">
        <v>20.52</v>
      </c>
      <c r="L177" s="2">
        <v>5071.6099999999997</v>
      </c>
      <c r="M177" s="2">
        <v>1747.59</v>
      </c>
      <c r="N177" s="5">
        <v>0.25629999999999997</v>
      </c>
      <c r="O177" s="3">
        <v>3.91</v>
      </c>
      <c r="P177" s="8" t="s">
        <v>27</v>
      </c>
    </row>
    <row r="178" spans="1:16" x14ac:dyDescent="0.35">
      <c r="A178" s="7">
        <v>176</v>
      </c>
      <c r="B178" s="4" t="s">
        <v>227</v>
      </c>
      <c r="C178" s="4" t="s">
        <v>66</v>
      </c>
      <c r="D178" s="1">
        <v>28</v>
      </c>
      <c r="E178" s="1">
        <v>26</v>
      </c>
      <c r="F178" s="2">
        <v>6792.5</v>
      </c>
      <c r="G178" s="2">
        <v>3871.72</v>
      </c>
      <c r="H178" s="2">
        <v>28</v>
      </c>
      <c r="I178" s="2">
        <v>104</v>
      </c>
      <c r="J178" s="2">
        <v>688.73</v>
      </c>
      <c r="K178" s="2">
        <v>25.2</v>
      </c>
      <c r="L178" s="2">
        <v>4717.6499999999996</v>
      </c>
      <c r="M178" s="2">
        <v>2074.85</v>
      </c>
      <c r="N178" s="5">
        <v>0.30549999999999999</v>
      </c>
      <c r="O178" s="3">
        <v>4.1399999999999997</v>
      </c>
      <c r="P178" s="8" t="s">
        <v>18</v>
      </c>
    </row>
    <row r="179" spans="1:16" x14ac:dyDescent="0.35">
      <c r="A179" s="7">
        <v>177</v>
      </c>
      <c r="B179" s="4" t="s">
        <v>228</v>
      </c>
      <c r="C179" s="4" t="s">
        <v>87</v>
      </c>
      <c r="D179" s="1">
        <v>5</v>
      </c>
      <c r="E179" s="1">
        <v>5</v>
      </c>
      <c r="F179" s="2">
        <v>6787.5</v>
      </c>
      <c r="G179" s="2">
        <v>3054.38</v>
      </c>
      <c r="H179" s="2">
        <v>11.25</v>
      </c>
      <c r="I179" s="2">
        <v>32.5</v>
      </c>
      <c r="J179" s="2">
        <v>380.91</v>
      </c>
      <c r="K179" s="2">
        <v>1.8</v>
      </c>
      <c r="L179" s="2">
        <v>3480.84</v>
      </c>
      <c r="M179" s="2">
        <v>3306.66</v>
      </c>
      <c r="N179" s="5">
        <v>0.48719999999999997</v>
      </c>
      <c r="O179" s="3">
        <v>4.4000000000000004</v>
      </c>
      <c r="P179" s="8" t="s">
        <v>18</v>
      </c>
    </row>
    <row r="180" spans="1:16" x14ac:dyDescent="0.35">
      <c r="A180" s="7">
        <v>178</v>
      </c>
      <c r="B180" s="4" t="s">
        <v>229</v>
      </c>
      <c r="C180" s="4" t="s">
        <v>157</v>
      </c>
      <c r="D180" s="1">
        <v>84</v>
      </c>
      <c r="E180" s="1">
        <v>82</v>
      </c>
      <c r="F180" s="2">
        <v>6786</v>
      </c>
      <c r="G180" s="2">
        <v>2714.4</v>
      </c>
      <c r="H180" s="2">
        <v>84</v>
      </c>
      <c r="I180" s="2">
        <v>328</v>
      </c>
      <c r="J180" s="2">
        <v>1598.55</v>
      </c>
      <c r="K180" s="2">
        <v>8.4</v>
      </c>
      <c r="L180" s="2">
        <v>4733.3500000000004</v>
      </c>
      <c r="M180" s="2">
        <v>2052.65</v>
      </c>
      <c r="N180" s="5">
        <v>0.30249999999999999</v>
      </c>
      <c r="O180" s="3">
        <v>4.17</v>
      </c>
      <c r="P180" s="8" t="s">
        <v>18</v>
      </c>
    </row>
    <row r="181" spans="1:16" x14ac:dyDescent="0.35">
      <c r="A181" s="7">
        <v>179</v>
      </c>
      <c r="B181" s="4" t="s">
        <v>230</v>
      </c>
      <c r="C181" s="4" t="s">
        <v>34</v>
      </c>
      <c r="D181" s="1">
        <v>11</v>
      </c>
      <c r="E181" s="1">
        <v>11</v>
      </c>
      <c r="F181" s="2">
        <v>6735.25</v>
      </c>
      <c r="G181" s="2">
        <v>2828.81</v>
      </c>
      <c r="H181" s="2">
        <v>11</v>
      </c>
      <c r="I181" s="2">
        <v>44</v>
      </c>
      <c r="J181" s="2">
        <v>208.97</v>
      </c>
      <c r="K181" s="2">
        <v>3.96</v>
      </c>
      <c r="L181" s="2">
        <v>3096.74</v>
      </c>
      <c r="M181" s="2">
        <v>3638.51</v>
      </c>
      <c r="N181" s="5">
        <v>0.54020000000000001</v>
      </c>
      <c r="O181" s="3">
        <v>4.2699999999999996</v>
      </c>
      <c r="P181" s="8" t="s">
        <v>18</v>
      </c>
    </row>
    <row r="182" spans="1:16" x14ac:dyDescent="0.35">
      <c r="A182" s="7">
        <v>180</v>
      </c>
      <c r="B182" s="4" t="s">
        <v>231</v>
      </c>
      <c r="C182" s="4" t="s">
        <v>87</v>
      </c>
      <c r="D182" s="1">
        <v>1</v>
      </c>
      <c r="E182" s="1">
        <v>1</v>
      </c>
      <c r="F182" s="2">
        <v>6735</v>
      </c>
      <c r="G182" s="2">
        <v>3030.75</v>
      </c>
      <c r="H182" s="2">
        <v>2.25</v>
      </c>
      <c r="I182" s="2">
        <v>6.5</v>
      </c>
      <c r="J182" s="2">
        <v>194.31</v>
      </c>
      <c r="K182" s="2">
        <v>0.36</v>
      </c>
      <c r="L182" s="2">
        <v>3234.17</v>
      </c>
      <c r="M182" s="2">
        <v>3500.83</v>
      </c>
      <c r="N182" s="5">
        <v>0.51979999999999993</v>
      </c>
      <c r="O182" s="3">
        <v>5</v>
      </c>
      <c r="P182" s="8" t="s">
        <v>18</v>
      </c>
    </row>
    <row r="183" spans="1:16" x14ac:dyDescent="0.35">
      <c r="A183" s="7">
        <v>181</v>
      </c>
      <c r="B183" s="4" t="s">
        <v>232</v>
      </c>
      <c r="C183" s="4" t="s">
        <v>21</v>
      </c>
      <c r="D183" s="1">
        <v>1</v>
      </c>
      <c r="E183" s="1">
        <v>1</v>
      </c>
      <c r="F183" s="2">
        <v>6729</v>
      </c>
      <c r="G183" s="2">
        <v>3835.53</v>
      </c>
      <c r="H183" s="2">
        <v>2.25</v>
      </c>
      <c r="I183" s="2">
        <v>10</v>
      </c>
      <c r="J183" s="2">
        <v>193.21</v>
      </c>
      <c r="K183" s="2">
        <v>0.9</v>
      </c>
      <c r="L183" s="2">
        <v>4041.89</v>
      </c>
      <c r="M183" s="2">
        <v>2687.11</v>
      </c>
      <c r="N183" s="5">
        <v>0.39929999999999999</v>
      </c>
      <c r="O183" s="3">
        <v>1</v>
      </c>
      <c r="P183" s="8" t="s">
        <v>27</v>
      </c>
    </row>
    <row r="184" spans="1:16" x14ac:dyDescent="0.35">
      <c r="A184" s="7">
        <v>182</v>
      </c>
      <c r="B184" s="4" t="s">
        <v>233</v>
      </c>
      <c r="C184" s="4" t="s">
        <v>44</v>
      </c>
      <c r="D184" s="1">
        <v>4</v>
      </c>
      <c r="E184" s="1">
        <v>4</v>
      </c>
      <c r="F184" s="2">
        <v>6727</v>
      </c>
      <c r="G184" s="2">
        <v>3027.15</v>
      </c>
      <c r="H184" s="2">
        <v>20</v>
      </c>
      <c r="I184" s="2">
        <v>40</v>
      </c>
      <c r="J184" s="2">
        <v>429.54</v>
      </c>
      <c r="K184" s="2">
        <v>1.44</v>
      </c>
      <c r="L184" s="2">
        <v>3518.13</v>
      </c>
      <c r="M184" s="2">
        <v>3208.87</v>
      </c>
      <c r="N184" s="5">
        <v>0.47700000000000004</v>
      </c>
      <c r="O184" s="3">
        <v>4.25</v>
      </c>
      <c r="P184" s="8" t="s">
        <v>18</v>
      </c>
    </row>
    <row r="185" spans="1:16" x14ac:dyDescent="0.35">
      <c r="A185" s="7">
        <v>183</v>
      </c>
      <c r="B185" s="4" t="s">
        <v>234</v>
      </c>
      <c r="C185" s="4" t="s">
        <v>32</v>
      </c>
      <c r="D185" s="1">
        <v>49</v>
      </c>
      <c r="E185" s="1">
        <v>49</v>
      </c>
      <c r="F185" s="2">
        <v>6700.2</v>
      </c>
      <c r="G185" s="2">
        <v>3015.09</v>
      </c>
      <c r="H185" s="2">
        <v>49</v>
      </c>
      <c r="I185" s="2">
        <v>196</v>
      </c>
      <c r="J185" s="2">
        <v>795.12</v>
      </c>
      <c r="K185" s="2">
        <v>17.64</v>
      </c>
      <c r="L185" s="2">
        <v>4072.85</v>
      </c>
      <c r="M185" s="2">
        <v>2627.35</v>
      </c>
      <c r="N185" s="5">
        <v>0.3921</v>
      </c>
      <c r="O185" s="3">
        <v>4.2</v>
      </c>
      <c r="P185" s="8" t="s">
        <v>18</v>
      </c>
    </row>
    <row r="186" spans="1:16" x14ac:dyDescent="0.35">
      <c r="A186" s="7">
        <v>184</v>
      </c>
      <c r="B186" s="4" t="s">
        <v>235</v>
      </c>
      <c r="C186" s="4" t="s">
        <v>17</v>
      </c>
      <c r="D186" s="1">
        <v>53</v>
      </c>
      <c r="E186" s="1">
        <v>52</v>
      </c>
      <c r="F186" s="2">
        <v>6698.7</v>
      </c>
      <c r="G186" s="2">
        <v>2813.45</v>
      </c>
      <c r="H186" s="2">
        <v>53</v>
      </c>
      <c r="I186" s="2">
        <v>208</v>
      </c>
      <c r="J186" s="2">
        <v>959.17</v>
      </c>
      <c r="K186" s="2">
        <v>19.079999999999998</v>
      </c>
      <c r="L186" s="2">
        <v>4052.7</v>
      </c>
      <c r="M186" s="2">
        <v>2646</v>
      </c>
      <c r="N186" s="5">
        <v>0.39500000000000002</v>
      </c>
      <c r="O186" s="3">
        <v>4.26</v>
      </c>
      <c r="P186" s="8" t="s">
        <v>18</v>
      </c>
    </row>
    <row r="187" spans="1:16" x14ac:dyDescent="0.35">
      <c r="A187" s="7">
        <v>185</v>
      </c>
      <c r="B187" s="4" t="s">
        <v>236</v>
      </c>
      <c r="C187" s="4" t="s">
        <v>83</v>
      </c>
      <c r="D187" s="1">
        <v>65</v>
      </c>
      <c r="E187" s="1">
        <v>61</v>
      </c>
      <c r="F187" s="2">
        <v>6687.59</v>
      </c>
      <c r="G187" s="2">
        <v>2808.79</v>
      </c>
      <c r="H187" s="2">
        <v>65</v>
      </c>
      <c r="I187" s="2">
        <v>396.5</v>
      </c>
      <c r="J187" s="2">
        <v>2453.13</v>
      </c>
      <c r="K187" s="2">
        <v>23.4</v>
      </c>
      <c r="L187" s="2">
        <v>5746.82</v>
      </c>
      <c r="M187" s="2">
        <v>940.77</v>
      </c>
      <c r="N187" s="5">
        <v>0.14069999999999999</v>
      </c>
      <c r="O187" s="3">
        <v>4.28</v>
      </c>
      <c r="P187" s="8" t="s">
        <v>27</v>
      </c>
    </row>
    <row r="188" spans="1:16" x14ac:dyDescent="0.35">
      <c r="A188" s="7">
        <v>186</v>
      </c>
      <c r="B188" s="4" t="s">
        <v>237</v>
      </c>
      <c r="C188" s="4" t="s">
        <v>34</v>
      </c>
      <c r="D188" s="1">
        <v>41</v>
      </c>
      <c r="E188" s="1">
        <v>40</v>
      </c>
      <c r="F188" s="2">
        <v>6652.48</v>
      </c>
      <c r="G188" s="2">
        <v>2794.04</v>
      </c>
      <c r="H188" s="2">
        <v>41</v>
      </c>
      <c r="I188" s="2">
        <v>160</v>
      </c>
      <c r="J188" s="2">
        <v>729.14</v>
      </c>
      <c r="K188" s="2">
        <v>14.76</v>
      </c>
      <c r="L188" s="2">
        <v>3738.94</v>
      </c>
      <c r="M188" s="2">
        <v>2913.54</v>
      </c>
      <c r="N188" s="5">
        <v>0.43799999999999994</v>
      </c>
      <c r="O188" s="3">
        <v>4.12</v>
      </c>
      <c r="P188" s="8" t="s">
        <v>18</v>
      </c>
    </row>
    <row r="189" spans="1:16" x14ac:dyDescent="0.35">
      <c r="A189" s="7">
        <v>187</v>
      </c>
      <c r="B189" s="4" t="s">
        <v>238</v>
      </c>
      <c r="C189" s="4" t="s">
        <v>17</v>
      </c>
      <c r="D189" s="1">
        <v>19</v>
      </c>
      <c r="E189" s="1">
        <v>19</v>
      </c>
      <c r="F189" s="2">
        <v>6631</v>
      </c>
      <c r="G189" s="2">
        <v>2785.02</v>
      </c>
      <c r="H189" s="2">
        <v>19</v>
      </c>
      <c r="I189" s="2">
        <v>76</v>
      </c>
      <c r="J189" s="2">
        <v>394.53</v>
      </c>
      <c r="K189" s="2">
        <v>6.84</v>
      </c>
      <c r="L189" s="2">
        <v>3281.39</v>
      </c>
      <c r="M189" s="2">
        <v>3349.61</v>
      </c>
      <c r="N189" s="5">
        <v>0.50509999999999999</v>
      </c>
      <c r="O189" s="3">
        <v>4.53</v>
      </c>
      <c r="P189" s="8" t="s">
        <v>18</v>
      </c>
    </row>
    <row r="190" spans="1:16" x14ac:dyDescent="0.35">
      <c r="A190" s="7">
        <v>188</v>
      </c>
      <c r="B190" s="4" t="s">
        <v>239</v>
      </c>
      <c r="C190" s="4" t="s">
        <v>36</v>
      </c>
      <c r="D190" s="1">
        <v>44</v>
      </c>
      <c r="E190" s="1">
        <v>38</v>
      </c>
      <c r="F190" s="2">
        <v>6609.8</v>
      </c>
      <c r="G190" s="2">
        <v>2974.41</v>
      </c>
      <c r="H190" s="2">
        <v>220</v>
      </c>
      <c r="I190" s="2">
        <v>380</v>
      </c>
      <c r="J190" s="2">
        <v>1080.17</v>
      </c>
      <c r="K190" s="2">
        <v>15.84</v>
      </c>
      <c r="L190" s="2">
        <v>4670.42</v>
      </c>
      <c r="M190" s="2">
        <v>1939.38</v>
      </c>
      <c r="N190" s="5">
        <v>0.29339999999999999</v>
      </c>
      <c r="O190" s="3">
        <v>4.1399999999999997</v>
      </c>
      <c r="P190" s="8" t="s">
        <v>18</v>
      </c>
    </row>
    <row r="191" spans="1:16" x14ac:dyDescent="0.35">
      <c r="A191" s="7">
        <v>189</v>
      </c>
      <c r="B191" s="4" t="s">
        <v>240</v>
      </c>
      <c r="C191" s="4" t="s">
        <v>26</v>
      </c>
      <c r="D191" s="1">
        <v>94</v>
      </c>
      <c r="E191" s="1">
        <v>91</v>
      </c>
      <c r="F191" s="2">
        <v>6567.8</v>
      </c>
      <c r="G191" s="2">
        <v>2955.51</v>
      </c>
      <c r="H191" s="2">
        <v>211.5</v>
      </c>
      <c r="I191" s="2">
        <v>591.5</v>
      </c>
      <c r="J191" s="2">
        <v>1544.21</v>
      </c>
      <c r="K191" s="2">
        <v>33.840000000000003</v>
      </c>
      <c r="L191" s="2">
        <v>5336.56</v>
      </c>
      <c r="M191" s="2">
        <v>1231.24</v>
      </c>
      <c r="N191" s="5">
        <v>0.1875</v>
      </c>
      <c r="O191" s="3">
        <v>4.05</v>
      </c>
      <c r="P191" s="8" t="s">
        <v>27</v>
      </c>
    </row>
    <row r="192" spans="1:16" x14ac:dyDescent="0.35">
      <c r="A192" s="7">
        <v>190</v>
      </c>
      <c r="B192" s="4" t="s">
        <v>241</v>
      </c>
      <c r="C192" s="4" t="s">
        <v>148</v>
      </c>
      <c r="D192" s="1">
        <v>7</v>
      </c>
      <c r="E192" s="1">
        <v>7</v>
      </c>
      <c r="F192" s="2">
        <v>6567</v>
      </c>
      <c r="G192" s="2">
        <v>2758.14</v>
      </c>
      <c r="H192" s="2">
        <v>15.75</v>
      </c>
      <c r="I192" s="2">
        <v>45.5</v>
      </c>
      <c r="J192" s="2">
        <v>909.63</v>
      </c>
      <c r="K192" s="2">
        <v>2.52</v>
      </c>
      <c r="L192" s="2">
        <v>3731.54</v>
      </c>
      <c r="M192" s="2">
        <v>2835.46</v>
      </c>
      <c r="N192" s="5">
        <v>0.43180000000000002</v>
      </c>
      <c r="O192" s="3">
        <v>4.57</v>
      </c>
      <c r="P192" s="8" t="s">
        <v>18</v>
      </c>
    </row>
    <row r="193" spans="1:16" x14ac:dyDescent="0.35">
      <c r="A193" s="7">
        <v>191</v>
      </c>
      <c r="B193" s="4" t="s">
        <v>242</v>
      </c>
      <c r="C193" s="4" t="s">
        <v>34</v>
      </c>
      <c r="D193" s="1">
        <v>9</v>
      </c>
      <c r="E193" s="1">
        <v>9</v>
      </c>
      <c r="F193" s="2">
        <v>6543.93</v>
      </c>
      <c r="G193" s="2">
        <v>2748.45</v>
      </c>
      <c r="H193" s="2">
        <v>9</v>
      </c>
      <c r="I193" s="2">
        <v>36</v>
      </c>
      <c r="J193" s="2">
        <v>165.84</v>
      </c>
      <c r="K193" s="2">
        <v>3.24</v>
      </c>
      <c r="L193" s="2">
        <v>2962.53</v>
      </c>
      <c r="M193" s="2">
        <v>3581.4</v>
      </c>
      <c r="N193" s="5">
        <v>0.54730000000000001</v>
      </c>
      <c r="O193" s="3">
        <v>3.78</v>
      </c>
      <c r="P193" s="8" t="s">
        <v>27</v>
      </c>
    </row>
    <row r="194" spans="1:16" x14ac:dyDescent="0.35">
      <c r="A194" s="7">
        <v>192</v>
      </c>
      <c r="B194" s="4" t="s">
        <v>243</v>
      </c>
      <c r="C194" s="4" t="s">
        <v>23</v>
      </c>
      <c r="D194" s="1">
        <v>35</v>
      </c>
      <c r="E194" s="1">
        <v>27</v>
      </c>
      <c r="F194" s="2">
        <v>6542.9</v>
      </c>
      <c r="G194" s="2">
        <v>3729.45</v>
      </c>
      <c r="H194" s="2">
        <v>78.75</v>
      </c>
      <c r="I194" s="2">
        <v>270</v>
      </c>
      <c r="J194" s="2">
        <v>1101.69</v>
      </c>
      <c r="K194" s="2">
        <v>31.5</v>
      </c>
      <c r="L194" s="2">
        <v>5211.3900000000003</v>
      </c>
      <c r="M194" s="2">
        <v>1331.51</v>
      </c>
      <c r="N194" s="5">
        <v>0.20350000000000001</v>
      </c>
      <c r="O194" s="3">
        <v>4.09</v>
      </c>
      <c r="P194" s="8" t="s">
        <v>27</v>
      </c>
    </row>
    <row r="195" spans="1:16" x14ac:dyDescent="0.35">
      <c r="A195" s="7">
        <v>193</v>
      </c>
      <c r="B195" s="4" t="s">
        <v>244</v>
      </c>
      <c r="C195" s="4" t="s">
        <v>245</v>
      </c>
      <c r="D195" s="1">
        <v>57</v>
      </c>
      <c r="E195" s="1">
        <v>54</v>
      </c>
      <c r="F195" s="2">
        <v>6539.99</v>
      </c>
      <c r="G195" s="2">
        <v>2616</v>
      </c>
      <c r="H195" s="2">
        <v>57</v>
      </c>
      <c r="I195" s="2">
        <v>216</v>
      </c>
      <c r="J195" s="2">
        <v>1093.44</v>
      </c>
      <c r="K195" s="2">
        <v>5.7</v>
      </c>
      <c r="L195" s="2">
        <v>3988.14</v>
      </c>
      <c r="M195" s="2">
        <v>2551.85</v>
      </c>
      <c r="N195" s="5">
        <v>0.39020000000000005</v>
      </c>
      <c r="O195" s="3">
        <v>4.1399999999999997</v>
      </c>
      <c r="P195" s="8" t="s">
        <v>18</v>
      </c>
    </row>
    <row r="196" spans="1:16" x14ac:dyDescent="0.35">
      <c r="A196" s="7">
        <v>194</v>
      </c>
      <c r="B196" s="4" t="s">
        <v>246</v>
      </c>
      <c r="C196" s="4" t="s">
        <v>17</v>
      </c>
      <c r="D196" s="1">
        <v>12</v>
      </c>
      <c r="E196" s="1">
        <v>12</v>
      </c>
      <c r="F196" s="2">
        <v>6526.55</v>
      </c>
      <c r="G196" s="2">
        <v>2741.15</v>
      </c>
      <c r="H196" s="2">
        <v>12</v>
      </c>
      <c r="I196" s="2">
        <v>48</v>
      </c>
      <c r="J196" s="2">
        <v>384.53</v>
      </c>
      <c r="K196" s="2">
        <v>4.32</v>
      </c>
      <c r="L196" s="2">
        <v>3190</v>
      </c>
      <c r="M196" s="2">
        <v>3336.55</v>
      </c>
      <c r="N196" s="5">
        <v>0.51119999999999999</v>
      </c>
      <c r="O196" s="3">
        <v>3.42</v>
      </c>
      <c r="P196" s="8" t="s">
        <v>27</v>
      </c>
    </row>
    <row r="197" spans="1:16" x14ac:dyDescent="0.35">
      <c r="A197" s="7">
        <v>195</v>
      </c>
      <c r="B197" s="4" t="s">
        <v>247</v>
      </c>
      <c r="C197" s="4" t="s">
        <v>248</v>
      </c>
      <c r="D197" s="1">
        <v>17</v>
      </c>
      <c r="E197" s="1">
        <v>16</v>
      </c>
      <c r="F197" s="2">
        <v>6512</v>
      </c>
      <c r="G197" s="2">
        <v>2930.4</v>
      </c>
      <c r="H197" s="2">
        <v>85</v>
      </c>
      <c r="I197" s="2">
        <v>160</v>
      </c>
      <c r="J197" s="2">
        <v>1318.37</v>
      </c>
      <c r="K197" s="2">
        <v>6.12</v>
      </c>
      <c r="L197" s="2">
        <v>4499.8900000000003</v>
      </c>
      <c r="M197" s="2">
        <v>2012.11</v>
      </c>
      <c r="N197" s="5">
        <v>0.309</v>
      </c>
      <c r="O197" s="3">
        <v>4.0599999999999996</v>
      </c>
      <c r="P197" s="8" t="s">
        <v>18</v>
      </c>
    </row>
    <row r="198" spans="1:16" x14ac:dyDescent="0.35">
      <c r="A198" s="7">
        <v>196</v>
      </c>
      <c r="B198" s="4" t="s">
        <v>249</v>
      </c>
      <c r="C198" s="4" t="s">
        <v>32</v>
      </c>
      <c r="D198" s="1">
        <v>72</v>
      </c>
      <c r="E198" s="1">
        <v>72</v>
      </c>
      <c r="F198" s="2">
        <v>6509.28</v>
      </c>
      <c r="G198" s="2">
        <v>2929.18</v>
      </c>
      <c r="H198" s="2">
        <v>72</v>
      </c>
      <c r="I198" s="2">
        <v>288</v>
      </c>
      <c r="J198" s="2">
        <v>1330.18</v>
      </c>
      <c r="K198" s="2">
        <v>25.92</v>
      </c>
      <c r="L198" s="2">
        <v>4645.28</v>
      </c>
      <c r="M198" s="2">
        <v>1864</v>
      </c>
      <c r="N198" s="5">
        <v>0.28639999999999999</v>
      </c>
      <c r="O198" s="3">
        <v>4.26</v>
      </c>
      <c r="P198" s="8" t="s">
        <v>18</v>
      </c>
    </row>
    <row r="199" spans="1:16" x14ac:dyDescent="0.35">
      <c r="A199" s="7">
        <v>197</v>
      </c>
      <c r="B199" s="4" t="s">
        <v>250</v>
      </c>
      <c r="C199" s="4" t="s">
        <v>123</v>
      </c>
      <c r="D199" s="1">
        <v>1</v>
      </c>
      <c r="E199" s="1">
        <v>1</v>
      </c>
      <c r="F199" s="2">
        <v>6499</v>
      </c>
      <c r="G199" s="2">
        <v>2599.6</v>
      </c>
      <c r="H199" s="2">
        <v>1</v>
      </c>
      <c r="I199" s="2">
        <v>4</v>
      </c>
      <c r="J199" s="2">
        <v>227.66</v>
      </c>
      <c r="K199" s="2">
        <v>0.36</v>
      </c>
      <c r="L199" s="2">
        <v>2832.62</v>
      </c>
      <c r="M199" s="2">
        <v>3666.38</v>
      </c>
      <c r="N199" s="5">
        <v>0.56409999999999993</v>
      </c>
      <c r="O199" s="3">
        <v>5</v>
      </c>
      <c r="P199" s="8" t="s">
        <v>18</v>
      </c>
    </row>
    <row r="200" spans="1:16" x14ac:dyDescent="0.35">
      <c r="A200" s="7">
        <v>198</v>
      </c>
      <c r="B200" s="4" t="s">
        <v>251</v>
      </c>
      <c r="C200" s="4" t="s">
        <v>17</v>
      </c>
      <c r="D200" s="1">
        <v>5</v>
      </c>
      <c r="E200" s="1">
        <v>5</v>
      </c>
      <c r="F200" s="2">
        <v>6498.25</v>
      </c>
      <c r="G200" s="2">
        <v>2729.27</v>
      </c>
      <c r="H200" s="2">
        <v>5</v>
      </c>
      <c r="I200" s="2">
        <v>20</v>
      </c>
      <c r="J200" s="2">
        <v>121.29</v>
      </c>
      <c r="K200" s="2">
        <v>1.8</v>
      </c>
      <c r="L200" s="2">
        <v>2877.36</v>
      </c>
      <c r="M200" s="2">
        <v>3620.89</v>
      </c>
      <c r="N200" s="5">
        <v>0.55720000000000003</v>
      </c>
      <c r="O200" s="3">
        <v>4.5999999999999996</v>
      </c>
      <c r="P200" s="8" t="s">
        <v>18</v>
      </c>
    </row>
    <row r="201" spans="1:16" x14ac:dyDescent="0.35">
      <c r="A201" s="7">
        <v>199</v>
      </c>
      <c r="B201" s="4" t="s">
        <v>252</v>
      </c>
      <c r="C201" s="4" t="s">
        <v>104</v>
      </c>
      <c r="D201" s="1">
        <v>46</v>
      </c>
      <c r="E201" s="1">
        <v>45</v>
      </c>
      <c r="F201" s="2">
        <v>6458.6</v>
      </c>
      <c r="G201" s="2">
        <v>2712.61</v>
      </c>
      <c r="H201" s="2">
        <v>46</v>
      </c>
      <c r="I201" s="2">
        <v>180</v>
      </c>
      <c r="J201" s="2">
        <v>1705.55</v>
      </c>
      <c r="K201" s="2">
        <v>16.559999999999999</v>
      </c>
      <c r="L201" s="2">
        <v>4660.72</v>
      </c>
      <c r="M201" s="2">
        <v>1797.88</v>
      </c>
      <c r="N201" s="5">
        <v>0.27839999999999998</v>
      </c>
      <c r="O201" s="3">
        <v>4.28</v>
      </c>
      <c r="P201" s="8" t="s">
        <v>18</v>
      </c>
    </row>
    <row r="202" spans="1:16" x14ac:dyDescent="0.35">
      <c r="A202" s="7">
        <v>200</v>
      </c>
      <c r="B202" s="4" t="s">
        <v>253</v>
      </c>
      <c r="C202" s="4" t="s">
        <v>148</v>
      </c>
      <c r="D202" s="1">
        <v>59</v>
      </c>
      <c r="E202" s="1">
        <v>48</v>
      </c>
      <c r="F202" s="2">
        <v>6416.7</v>
      </c>
      <c r="G202" s="2">
        <v>2695.01</v>
      </c>
      <c r="H202" s="2">
        <v>132.75</v>
      </c>
      <c r="I202" s="2">
        <v>312</v>
      </c>
      <c r="J202" s="2">
        <v>896.64</v>
      </c>
      <c r="K202" s="2">
        <v>21.24</v>
      </c>
      <c r="L202" s="2">
        <v>4057.64</v>
      </c>
      <c r="M202" s="2">
        <v>2359.06</v>
      </c>
      <c r="N202" s="5">
        <v>0.36759999999999998</v>
      </c>
      <c r="O202" s="3">
        <v>4.1500000000000004</v>
      </c>
      <c r="P202" s="8" t="s">
        <v>18</v>
      </c>
    </row>
    <row r="203" spans="1:16" x14ac:dyDescent="0.35">
      <c r="A203" s="7">
        <v>201</v>
      </c>
      <c r="B203" s="4" t="s">
        <v>254</v>
      </c>
      <c r="C203" s="4" t="s">
        <v>17</v>
      </c>
      <c r="D203" s="1">
        <v>5</v>
      </c>
      <c r="E203" s="1">
        <v>5</v>
      </c>
      <c r="F203" s="2">
        <v>6390.25</v>
      </c>
      <c r="G203" s="2">
        <v>2683.91</v>
      </c>
      <c r="H203" s="2">
        <v>5</v>
      </c>
      <c r="I203" s="2">
        <v>20</v>
      </c>
      <c r="J203" s="2">
        <v>204.98</v>
      </c>
      <c r="K203" s="2">
        <v>1.8</v>
      </c>
      <c r="L203" s="2">
        <v>2915.69</v>
      </c>
      <c r="M203" s="2">
        <v>3474.56</v>
      </c>
      <c r="N203" s="5">
        <v>0.54369999999999996</v>
      </c>
      <c r="O203" s="3">
        <v>4.2</v>
      </c>
      <c r="P203" s="8" t="s">
        <v>18</v>
      </c>
    </row>
    <row r="204" spans="1:16" x14ac:dyDescent="0.35">
      <c r="A204" s="7">
        <v>202</v>
      </c>
      <c r="B204" s="4" t="s">
        <v>255</v>
      </c>
      <c r="C204" s="4" t="s">
        <v>148</v>
      </c>
      <c r="D204" s="1">
        <v>16</v>
      </c>
      <c r="E204" s="1">
        <v>16</v>
      </c>
      <c r="F204" s="2">
        <v>6379.6</v>
      </c>
      <c r="G204" s="2">
        <v>2679.43</v>
      </c>
      <c r="H204" s="2">
        <v>36</v>
      </c>
      <c r="I204" s="2">
        <v>104</v>
      </c>
      <c r="J204" s="2">
        <v>895.97</v>
      </c>
      <c r="K204" s="2">
        <v>5.76</v>
      </c>
      <c r="L204" s="2">
        <v>3721.16</v>
      </c>
      <c r="M204" s="2">
        <v>2658.44</v>
      </c>
      <c r="N204" s="5">
        <v>0.41670000000000001</v>
      </c>
      <c r="O204" s="3">
        <v>3.2</v>
      </c>
      <c r="P204" s="8" t="s">
        <v>27</v>
      </c>
    </row>
    <row r="205" spans="1:16" x14ac:dyDescent="0.35">
      <c r="A205" s="7">
        <v>203</v>
      </c>
      <c r="B205" s="4" t="s">
        <v>256</v>
      </c>
      <c r="C205" s="4" t="s">
        <v>17</v>
      </c>
      <c r="D205" s="1">
        <v>21</v>
      </c>
      <c r="E205" s="1">
        <v>19</v>
      </c>
      <c r="F205" s="2">
        <v>6358.18</v>
      </c>
      <c r="G205" s="2">
        <v>2670.44</v>
      </c>
      <c r="H205" s="2">
        <v>21</v>
      </c>
      <c r="I205" s="2">
        <v>76</v>
      </c>
      <c r="J205" s="2">
        <v>403.41</v>
      </c>
      <c r="K205" s="2">
        <v>7.56</v>
      </c>
      <c r="L205" s="2">
        <v>3178.41</v>
      </c>
      <c r="M205" s="2">
        <v>3179.77</v>
      </c>
      <c r="N205" s="5">
        <v>0.50009999999999999</v>
      </c>
      <c r="O205" s="3">
        <v>3.25</v>
      </c>
      <c r="P205" s="8" t="s">
        <v>27</v>
      </c>
    </row>
    <row r="206" spans="1:16" x14ac:dyDescent="0.35">
      <c r="A206" s="7">
        <v>204</v>
      </c>
      <c r="B206" s="4" t="s">
        <v>257</v>
      </c>
      <c r="C206" s="4" t="s">
        <v>32</v>
      </c>
      <c r="D206" s="1">
        <v>10</v>
      </c>
      <c r="E206" s="1">
        <v>10</v>
      </c>
      <c r="F206" s="2">
        <v>6349</v>
      </c>
      <c r="G206" s="2">
        <v>2857.05</v>
      </c>
      <c r="H206" s="2">
        <v>10</v>
      </c>
      <c r="I206" s="2">
        <v>40</v>
      </c>
      <c r="J206" s="2">
        <v>223.09</v>
      </c>
      <c r="K206" s="2">
        <v>3.6</v>
      </c>
      <c r="L206" s="2">
        <v>3133.74</v>
      </c>
      <c r="M206" s="2">
        <v>3215.26</v>
      </c>
      <c r="N206" s="5">
        <v>0.50639999999999996</v>
      </c>
      <c r="O206" s="3">
        <v>3.78</v>
      </c>
      <c r="P206" s="8" t="s">
        <v>27</v>
      </c>
    </row>
    <row r="207" spans="1:16" x14ac:dyDescent="0.35">
      <c r="A207" s="7">
        <v>205</v>
      </c>
      <c r="B207" s="4" t="s">
        <v>258</v>
      </c>
      <c r="C207" s="4" t="s">
        <v>104</v>
      </c>
      <c r="D207" s="1">
        <v>14</v>
      </c>
      <c r="E207" s="1">
        <v>14</v>
      </c>
      <c r="F207" s="2">
        <v>6348.6</v>
      </c>
      <c r="G207" s="2">
        <v>2666.41</v>
      </c>
      <c r="H207" s="2">
        <v>14</v>
      </c>
      <c r="I207" s="2">
        <v>56</v>
      </c>
      <c r="J207" s="2">
        <v>296.02999999999997</v>
      </c>
      <c r="K207" s="2">
        <v>5.04</v>
      </c>
      <c r="L207" s="2">
        <v>3037.48</v>
      </c>
      <c r="M207" s="2">
        <v>3311.12</v>
      </c>
      <c r="N207" s="5">
        <v>0.52159999999999995</v>
      </c>
      <c r="O207" s="3">
        <v>4.29</v>
      </c>
      <c r="P207" s="8" t="s">
        <v>18</v>
      </c>
    </row>
    <row r="208" spans="1:16" x14ac:dyDescent="0.35">
      <c r="A208" s="7">
        <v>206</v>
      </c>
      <c r="B208" s="4" t="s">
        <v>259</v>
      </c>
      <c r="C208" s="4" t="s">
        <v>17</v>
      </c>
      <c r="D208" s="1">
        <v>281</v>
      </c>
      <c r="E208" s="1">
        <v>269</v>
      </c>
      <c r="F208" s="2">
        <v>6325.19</v>
      </c>
      <c r="G208" s="2">
        <v>2656.58</v>
      </c>
      <c r="H208" s="2">
        <v>281</v>
      </c>
      <c r="I208" s="2">
        <v>1076</v>
      </c>
      <c r="J208" s="2">
        <v>3737.92</v>
      </c>
      <c r="K208" s="2">
        <v>101.16</v>
      </c>
      <c r="L208" s="2">
        <v>7852.66</v>
      </c>
      <c r="M208" s="2">
        <v>-1527.47</v>
      </c>
      <c r="N208" s="5">
        <v>-0.24149999999999999</v>
      </c>
      <c r="O208" s="3">
        <v>4.32</v>
      </c>
      <c r="P208" s="8" t="s">
        <v>24</v>
      </c>
    </row>
    <row r="209" spans="1:16" x14ac:dyDescent="0.35">
      <c r="A209" s="7">
        <v>207</v>
      </c>
      <c r="B209" s="4" t="s">
        <v>260</v>
      </c>
      <c r="C209" s="4" t="s">
        <v>90</v>
      </c>
      <c r="D209" s="1">
        <v>42</v>
      </c>
      <c r="E209" s="1">
        <v>41</v>
      </c>
      <c r="F209" s="2">
        <v>6319.75</v>
      </c>
      <c r="G209" s="2">
        <v>2843.89</v>
      </c>
      <c r="H209" s="2">
        <v>94.5</v>
      </c>
      <c r="I209" s="2">
        <v>266.5</v>
      </c>
      <c r="J209" s="2">
        <v>813.68</v>
      </c>
      <c r="K209" s="2">
        <v>15.12</v>
      </c>
      <c r="L209" s="2">
        <v>4033.69</v>
      </c>
      <c r="M209" s="2">
        <v>2286.06</v>
      </c>
      <c r="N209" s="5">
        <v>0.36170000000000002</v>
      </c>
      <c r="O209" s="3">
        <v>4.1399999999999997</v>
      </c>
      <c r="P209" s="8" t="s">
        <v>18</v>
      </c>
    </row>
    <row r="210" spans="1:16" x14ac:dyDescent="0.35">
      <c r="A210" s="7">
        <v>208</v>
      </c>
      <c r="B210" s="4" t="s">
        <v>261</v>
      </c>
      <c r="C210" s="4" t="s">
        <v>102</v>
      </c>
      <c r="D210" s="1">
        <v>5</v>
      </c>
      <c r="E210" s="1">
        <v>5</v>
      </c>
      <c r="F210" s="2">
        <v>6295</v>
      </c>
      <c r="G210" s="2">
        <v>3588.15</v>
      </c>
      <c r="H210" s="2">
        <v>11.25</v>
      </c>
      <c r="I210" s="2">
        <v>32.5</v>
      </c>
      <c r="J210" s="2">
        <v>150.08000000000001</v>
      </c>
      <c r="K210" s="2">
        <v>1.8</v>
      </c>
      <c r="L210" s="2">
        <v>3783.78</v>
      </c>
      <c r="M210" s="2">
        <v>2511.2199999999998</v>
      </c>
      <c r="N210" s="5">
        <v>0.39890000000000003</v>
      </c>
      <c r="O210" s="3">
        <v>3.4</v>
      </c>
      <c r="P210" s="8" t="s">
        <v>27</v>
      </c>
    </row>
    <row r="211" spans="1:16" x14ac:dyDescent="0.35">
      <c r="A211" s="7">
        <v>209</v>
      </c>
      <c r="B211" s="4" t="s">
        <v>262</v>
      </c>
      <c r="C211" s="4" t="s">
        <v>32</v>
      </c>
      <c r="D211" s="1">
        <v>10</v>
      </c>
      <c r="E211" s="1">
        <v>10</v>
      </c>
      <c r="F211" s="2">
        <v>6290</v>
      </c>
      <c r="G211" s="2">
        <v>2830.5</v>
      </c>
      <c r="H211" s="2">
        <v>10</v>
      </c>
      <c r="I211" s="2">
        <v>40</v>
      </c>
      <c r="J211" s="2">
        <v>453.13</v>
      </c>
      <c r="K211" s="2">
        <v>3.6</v>
      </c>
      <c r="L211" s="2">
        <v>3337.23</v>
      </c>
      <c r="M211" s="2">
        <v>2952.77</v>
      </c>
      <c r="N211" s="5">
        <v>0.46939999999999998</v>
      </c>
      <c r="O211" s="3">
        <v>4.4000000000000004</v>
      </c>
      <c r="P211" s="8" t="s">
        <v>18</v>
      </c>
    </row>
    <row r="212" spans="1:16" x14ac:dyDescent="0.35">
      <c r="A212" s="7">
        <v>210</v>
      </c>
      <c r="B212" s="4" t="s">
        <v>263</v>
      </c>
      <c r="C212" s="4" t="s">
        <v>17</v>
      </c>
      <c r="D212" s="1">
        <v>19</v>
      </c>
      <c r="E212" s="1">
        <v>19</v>
      </c>
      <c r="F212" s="2">
        <v>6279.81</v>
      </c>
      <c r="G212" s="2">
        <v>2637.52</v>
      </c>
      <c r="H212" s="2">
        <v>19</v>
      </c>
      <c r="I212" s="2">
        <v>76</v>
      </c>
      <c r="J212" s="2">
        <v>264.14999999999998</v>
      </c>
      <c r="K212" s="2">
        <v>6.84</v>
      </c>
      <c r="L212" s="2">
        <v>3003.51</v>
      </c>
      <c r="M212" s="2">
        <v>3276.3</v>
      </c>
      <c r="N212" s="5">
        <v>0.52170000000000005</v>
      </c>
      <c r="O212" s="3">
        <v>4.05</v>
      </c>
      <c r="P212" s="8" t="s">
        <v>18</v>
      </c>
    </row>
    <row r="213" spans="1:16" x14ac:dyDescent="0.35">
      <c r="A213" s="7">
        <v>211</v>
      </c>
      <c r="B213" s="4" t="s">
        <v>264</v>
      </c>
      <c r="C213" s="4" t="s">
        <v>87</v>
      </c>
      <c r="D213" s="1">
        <v>55</v>
      </c>
      <c r="E213" s="1">
        <v>46</v>
      </c>
      <c r="F213" s="2">
        <v>6262</v>
      </c>
      <c r="G213" s="2">
        <v>2817.9</v>
      </c>
      <c r="H213" s="2">
        <v>123.75</v>
      </c>
      <c r="I213" s="2">
        <v>299</v>
      </c>
      <c r="J213" s="2">
        <v>1302.51</v>
      </c>
      <c r="K213" s="2">
        <v>19.8</v>
      </c>
      <c r="L213" s="2">
        <v>4562.96</v>
      </c>
      <c r="M213" s="2">
        <v>1699.04</v>
      </c>
      <c r="N213" s="5">
        <v>0.27129999999999999</v>
      </c>
      <c r="O213" s="3">
        <v>3.94</v>
      </c>
      <c r="P213" s="8" t="s">
        <v>27</v>
      </c>
    </row>
    <row r="214" spans="1:16" x14ac:dyDescent="0.35">
      <c r="A214" s="7">
        <v>212</v>
      </c>
      <c r="B214" s="4" t="s">
        <v>265</v>
      </c>
      <c r="C214" s="4" t="s">
        <v>23</v>
      </c>
      <c r="D214" s="1">
        <v>22</v>
      </c>
      <c r="E214" s="1">
        <v>13</v>
      </c>
      <c r="F214" s="2">
        <v>6242.81</v>
      </c>
      <c r="G214" s="2">
        <v>3558.4</v>
      </c>
      <c r="H214" s="2">
        <v>49.5</v>
      </c>
      <c r="I214" s="2">
        <v>130</v>
      </c>
      <c r="J214" s="2">
        <v>572.78</v>
      </c>
      <c r="K214" s="2">
        <v>19.8</v>
      </c>
      <c r="L214" s="2">
        <v>4330.4799999999996</v>
      </c>
      <c r="M214" s="2">
        <v>1912.33</v>
      </c>
      <c r="N214" s="5">
        <v>0.30630000000000002</v>
      </c>
      <c r="O214" s="3">
        <v>3.68</v>
      </c>
      <c r="P214" s="8" t="s">
        <v>27</v>
      </c>
    </row>
    <row r="215" spans="1:16" x14ac:dyDescent="0.35">
      <c r="A215" s="7">
        <v>213</v>
      </c>
      <c r="B215" s="4" t="s">
        <v>266</v>
      </c>
      <c r="C215" s="4" t="s">
        <v>44</v>
      </c>
      <c r="D215" s="1">
        <v>115</v>
      </c>
      <c r="E215" s="1">
        <v>100</v>
      </c>
      <c r="F215" s="2">
        <v>6220.9</v>
      </c>
      <c r="G215" s="2">
        <v>2799.4</v>
      </c>
      <c r="H215" s="2">
        <v>575</v>
      </c>
      <c r="I215" s="2">
        <v>1000</v>
      </c>
      <c r="J215" s="2">
        <v>2083.08</v>
      </c>
      <c r="K215" s="2">
        <v>41.4</v>
      </c>
      <c r="L215" s="2">
        <v>6498.88</v>
      </c>
      <c r="M215" s="2">
        <v>-277.98</v>
      </c>
      <c r="N215" s="5">
        <v>-4.4699999999999997E-2</v>
      </c>
      <c r="O215" s="3">
        <v>4.08</v>
      </c>
      <c r="P215" s="8" t="s">
        <v>24</v>
      </c>
    </row>
    <row r="216" spans="1:16" x14ac:dyDescent="0.35">
      <c r="A216" s="7">
        <v>214</v>
      </c>
      <c r="B216" s="4" t="s">
        <v>267</v>
      </c>
      <c r="C216" s="4" t="s">
        <v>57</v>
      </c>
      <c r="D216" s="1">
        <v>37</v>
      </c>
      <c r="E216" s="1">
        <v>37</v>
      </c>
      <c r="F216" s="2">
        <v>6185.4</v>
      </c>
      <c r="G216" s="2">
        <v>2783.43</v>
      </c>
      <c r="H216" s="2">
        <v>83.25</v>
      </c>
      <c r="I216" s="2">
        <v>240.5</v>
      </c>
      <c r="J216" s="2">
        <v>829.23</v>
      </c>
      <c r="K216" s="2">
        <v>13.32</v>
      </c>
      <c r="L216" s="2">
        <v>3949.73</v>
      </c>
      <c r="M216" s="2">
        <v>2235.67</v>
      </c>
      <c r="N216" s="5">
        <v>0.3614</v>
      </c>
      <c r="O216" s="3">
        <v>4.42</v>
      </c>
      <c r="P216" s="8" t="s">
        <v>18</v>
      </c>
    </row>
    <row r="217" spans="1:16" x14ac:dyDescent="0.35">
      <c r="A217" s="7">
        <v>215</v>
      </c>
      <c r="B217" s="4" t="s">
        <v>268</v>
      </c>
      <c r="C217" s="4" t="s">
        <v>17</v>
      </c>
      <c r="D217" s="1">
        <v>11</v>
      </c>
      <c r="E217" s="1">
        <v>11</v>
      </c>
      <c r="F217" s="2">
        <v>6166.15</v>
      </c>
      <c r="G217" s="2">
        <v>2589.7800000000002</v>
      </c>
      <c r="H217" s="2">
        <v>11</v>
      </c>
      <c r="I217" s="2">
        <v>44</v>
      </c>
      <c r="J217" s="2">
        <v>418.53</v>
      </c>
      <c r="K217" s="2">
        <v>3.96</v>
      </c>
      <c r="L217" s="2">
        <v>3067.27</v>
      </c>
      <c r="M217" s="2">
        <v>3098.88</v>
      </c>
      <c r="N217" s="5">
        <v>0.50259999999999994</v>
      </c>
      <c r="O217" s="3">
        <v>3.55</v>
      </c>
      <c r="P217" s="8" t="s">
        <v>27</v>
      </c>
    </row>
    <row r="218" spans="1:16" x14ac:dyDescent="0.35">
      <c r="A218" s="7">
        <v>216</v>
      </c>
      <c r="B218" s="4" t="s">
        <v>269</v>
      </c>
      <c r="C218" s="4" t="s">
        <v>36</v>
      </c>
      <c r="D218" s="1">
        <v>169</v>
      </c>
      <c r="E218" s="1">
        <v>76</v>
      </c>
      <c r="F218" s="2">
        <v>6162.11</v>
      </c>
      <c r="G218" s="2">
        <v>2772.95</v>
      </c>
      <c r="H218" s="2">
        <v>845</v>
      </c>
      <c r="I218" s="2">
        <v>760</v>
      </c>
      <c r="J218" s="2">
        <v>2548.96</v>
      </c>
      <c r="K218" s="2">
        <v>60.84</v>
      </c>
      <c r="L218" s="2">
        <v>6987.75</v>
      </c>
      <c r="M218" s="2">
        <v>-825.64</v>
      </c>
      <c r="N218" s="5">
        <v>-0.13400000000000001</v>
      </c>
      <c r="O218" s="3">
        <v>3.53</v>
      </c>
      <c r="P218" s="8" t="s">
        <v>24</v>
      </c>
    </row>
    <row r="219" spans="1:16" x14ac:dyDescent="0.35">
      <c r="A219" s="7">
        <v>217</v>
      </c>
      <c r="B219" s="4" t="s">
        <v>270</v>
      </c>
      <c r="C219" s="4" t="s">
        <v>17</v>
      </c>
      <c r="D219" s="1">
        <v>8</v>
      </c>
      <c r="E219" s="1">
        <v>8</v>
      </c>
      <c r="F219" s="2">
        <v>6162</v>
      </c>
      <c r="G219" s="2">
        <v>2588.04</v>
      </c>
      <c r="H219" s="2">
        <v>8</v>
      </c>
      <c r="I219" s="2">
        <v>32</v>
      </c>
      <c r="J219" s="2">
        <v>194.03</v>
      </c>
      <c r="K219" s="2">
        <v>2.88</v>
      </c>
      <c r="L219" s="2">
        <v>2824.95</v>
      </c>
      <c r="M219" s="2">
        <v>3337.05</v>
      </c>
      <c r="N219" s="5">
        <v>0.54159999999999997</v>
      </c>
      <c r="O219" s="3">
        <v>4.88</v>
      </c>
      <c r="P219" s="8" t="s">
        <v>18</v>
      </c>
    </row>
    <row r="220" spans="1:16" x14ac:dyDescent="0.35">
      <c r="A220" s="7">
        <v>218</v>
      </c>
      <c r="B220" s="4" t="s">
        <v>271</v>
      </c>
      <c r="C220" s="4" t="s">
        <v>98</v>
      </c>
      <c r="D220" s="1">
        <v>31</v>
      </c>
      <c r="E220" s="1">
        <v>19</v>
      </c>
      <c r="F220" s="2">
        <v>6160.17</v>
      </c>
      <c r="G220" s="2">
        <v>2772.08</v>
      </c>
      <c r="H220" s="2">
        <v>155</v>
      </c>
      <c r="I220" s="2">
        <v>190</v>
      </c>
      <c r="J220" s="2">
        <v>1322.21</v>
      </c>
      <c r="K220" s="2">
        <v>11.16</v>
      </c>
      <c r="L220" s="2">
        <v>4450.45</v>
      </c>
      <c r="M220" s="2">
        <v>1709.72</v>
      </c>
      <c r="N220" s="5">
        <v>0.27750000000000002</v>
      </c>
      <c r="O220" s="3">
        <v>3.29</v>
      </c>
      <c r="P220" s="8" t="s">
        <v>27</v>
      </c>
    </row>
    <row r="221" spans="1:16" x14ac:dyDescent="0.35">
      <c r="A221" s="7">
        <v>219</v>
      </c>
      <c r="B221" s="4" t="s">
        <v>272</v>
      </c>
      <c r="C221" s="4" t="s">
        <v>17</v>
      </c>
      <c r="D221" s="1">
        <v>15</v>
      </c>
      <c r="E221" s="1">
        <v>15</v>
      </c>
      <c r="F221" s="2">
        <v>6153.45</v>
      </c>
      <c r="G221" s="2">
        <v>2584.4499999999998</v>
      </c>
      <c r="H221" s="2">
        <v>15</v>
      </c>
      <c r="I221" s="2">
        <v>60</v>
      </c>
      <c r="J221" s="2">
        <v>272.49</v>
      </c>
      <c r="K221" s="2">
        <v>5.4</v>
      </c>
      <c r="L221" s="2">
        <v>2937.34</v>
      </c>
      <c r="M221" s="2">
        <v>3216.11</v>
      </c>
      <c r="N221" s="5">
        <v>0.52270000000000005</v>
      </c>
      <c r="O221" s="3">
        <v>4.33</v>
      </c>
      <c r="P221" s="8" t="s">
        <v>18</v>
      </c>
    </row>
    <row r="222" spans="1:16" x14ac:dyDescent="0.35">
      <c r="A222" s="7">
        <v>220</v>
      </c>
      <c r="B222" s="4" t="s">
        <v>273</v>
      </c>
      <c r="C222" s="4" t="s">
        <v>116</v>
      </c>
      <c r="D222" s="1">
        <v>42</v>
      </c>
      <c r="E222" s="1">
        <v>42</v>
      </c>
      <c r="F222" s="2">
        <v>6151.2</v>
      </c>
      <c r="G222" s="2">
        <v>2583.5</v>
      </c>
      <c r="H222" s="2">
        <v>42</v>
      </c>
      <c r="I222" s="2">
        <v>168</v>
      </c>
      <c r="J222" s="2">
        <v>767.87</v>
      </c>
      <c r="K222" s="2">
        <v>15.12</v>
      </c>
      <c r="L222" s="2">
        <v>3576.49</v>
      </c>
      <c r="M222" s="2">
        <v>2574.71</v>
      </c>
      <c r="N222" s="5">
        <v>0.41859999999999997</v>
      </c>
      <c r="O222" s="3">
        <v>4.33</v>
      </c>
      <c r="P222" s="8" t="s">
        <v>18</v>
      </c>
    </row>
    <row r="223" spans="1:16" x14ac:dyDescent="0.35">
      <c r="A223" s="7">
        <v>221</v>
      </c>
      <c r="B223" s="4" t="s">
        <v>274</v>
      </c>
      <c r="C223" s="4" t="s">
        <v>78</v>
      </c>
      <c r="D223" s="1">
        <v>7</v>
      </c>
      <c r="E223" s="1">
        <v>7</v>
      </c>
      <c r="F223" s="2">
        <v>6132.6</v>
      </c>
      <c r="G223" s="2">
        <v>3495.58</v>
      </c>
      <c r="H223" s="2">
        <v>15.75</v>
      </c>
      <c r="I223" s="2">
        <v>45.5</v>
      </c>
      <c r="J223" s="2">
        <v>160.25</v>
      </c>
      <c r="K223" s="2">
        <v>2.52</v>
      </c>
      <c r="L223" s="2">
        <v>3719.6</v>
      </c>
      <c r="M223" s="2">
        <v>2413</v>
      </c>
      <c r="N223" s="5">
        <v>0.39350000000000002</v>
      </c>
      <c r="O223" s="3">
        <v>4.8600000000000003</v>
      </c>
      <c r="P223" s="8" t="s">
        <v>18</v>
      </c>
    </row>
    <row r="224" spans="1:16" x14ac:dyDescent="0.35">
      <c r="A224" s="7">
        <v>222</v>
      </c>
      <c r="B224" s="4" t="s">
        <v>275</v>
      </c>
      <c r="C224" s="4" t="s">
        <v>26</v>
      </c>
      <c r="D224" s="1">
        <v>55</v>
      </c>
      <c r="E224" s="1">
        <v>49</v>
      </c>
      <c r="F224" s="2">
        <v>6128.25</v>
      </c>
      <c r="G224" s="2">
        <v>2757.71</v>
      </c>
      <c r="H224" s="2">
        <v>123.75</v>
      </c>
      <c r="I224" s="2">
        <v>318.5</v>
      </c>
      <c r="J224" s="2">
        <v>1006.56</v>
      </c>
      <c r="K224" s="2">
        <v>19.8</v>
      </c>
      <c r="L224" s="2">
        <v>4226.32</v>
      </c>
      <c r="M224" s="2">
        <v>1901.93</v>
      </c>
      <c r="N224" s="5">
        <v>0.31040000000000001</v>
      </c>
      <c r="O224" s="3">
        <v>3.46</v>
      </c>
      <c r="P224" s="8" t="s">
        <v>27</v>
      </c>
    </row>
    <row r="225" spans="1:16" x14ac:dyDescent="0.35">
      <c r="A225" s="7">
        <v>223</v>
      </c>
      <c r="B225" s="4" t="s">
        <v>276</v>
      </c>
      <c r="C225" s="4" t="s">
        <v>87</v>
      </c>
      <c r="D225" s="1">
        <v>49</v>
      </c>
      <c r="E225" s="1">
        <v>46</v>
      </c>
      <c r="F225" s="2">
        <v>6092.5</v>
      </c>
      <c r="G225" s="2">
        <v>2741.63</v>
      </c>
      <c r="H225" s="2">
        <v>110.25</v>
      </c>
      <c r="I225" s="2">
        <v>299</v>
      </c>
      <c r="J225" s="2">
        <v>1360.44</v>
      </c>
      <c r="K225" s="2">
        <v>17.64</v>
      </c>
      <c r="L225" s="2">
        <v>4528.96</v>
      </c>
      <c r="M225" s="2">
        <v>1563.54</v>
      </c>
      <c r="N225" s="5">
        <v>0.25659999999999999</v>
      </c>
      <c r="O225" s="3">
        <v>4.22</v>
      </c>
      <c r="P225" s="8" t="s">
        <v>18</v>
      </c>
    </row>
    <row r="226" spans="1:16" x14ac:dyDescent="0.35">
      <c r="A226" s="7">
        <v>224</v>
      </c>
      <c r="B226" s="4" t="s">
        <v>277</v>
      </c>
      <c r="C226" s="4" t="s">
        <v>44</v>
      </c>
      <c r="D226" s="1">
        <v>3</v>
      </c>
      <c r="E226" s="1">
        <v>3</v>
      </c>
      <c r="F226" s="2">
        <v>6087</v>
      </c>
      <c r="G226" s="2">
        <v>2739.15</v>
      </c>
      <c r="H226" s="2">
        <v>15</v>
      </c>
      <c r="I226" s="2">
        <v>30</v>
      </c>
      <c r="J226" s="2">
        <v>271.87</v>
      </c>
      <c r="K226" s="2">
        <v>1.08</v>
      </c>
      <c r="L226" s="2">
        <v>3057.1</v>
      </c>
      <c r="M226" s="2">
        <v>3029.9</v>
      </c>
      <c r="N226" s="5">
        <v>0.49780000000000002</v>
      </c>
      <c r="O226" s="3">
        <v>3.67</v>
      </c>
      <c r="P226" s="8" t="s">
        <v>27</v>
      </c>
    </row>
    <row r="227" spans="1:16" x14ac:dyDescent="0.35">
      <c r="A227" s="7">
        <v>225</v>
      </c>
      <c r="B227" s="4" t="s">
        <v>278</v>
      </c>
      <c r="C227" s="4" t="s">
        <v>32</v>
      </c>
      <c r="D227" s="1">
        <v>23</v>
      </c>
      <c r="E227" s="1">
        <v>21</v>
      </c>
      <c r="F227" s="2">
        <v>6069.87</v>
      </c>
      <c r="G227" s="2">
        <v>2731.44</v>
      </c>
      <c r="H227" s="2">
        <v>23</v>
      </c>
      <c r="I227" s="2">
        <v>84</v>
      </c>
      <c r="J227" s="2">
        <v>1032.3399999999999</v>
      </c>
      <c r="K227" s="2">
        <v>8.2799999999999994</v>
      </c>
      <c r="L227" s="2">
        <v>3879.06</v>
      </c>
      <c r="M227" s="2">
        <v>2190.81</v>
      </c>
      <c r="N227" s="5">
        <v>0.36090000000000005</v>
      </c>
      <c r="O227" s="3">
        <v>4.87</v>
      </c>
      <c r="P227" s="8" t="s">
        <v>18</v>
      </c>
    </row>
    <row r="228" spans="1:16" x14ac:dyDescent="0.35">
      <c r="A228" s="7">
        <v>226</v>
      </c>
      <c r="B228" s="4" t="s">
        <v>279</v>
      </c>
      <c r="C228" s="4" t="s">
        <v>30</v>
      </c>
      <c r="D228" s="1">
        <v>38</v>
      </c>
      <c r="E228" s="1">
        <v>38</v>
      </c>
      <c r="F228" s="2">
        <v>6019.63</v>
      </c>
      <c r="G228" s="2">
        <v>2528.2399999999998</v>
      </c>
      <c r="H228" s="2">
        <v>38</v>
      </c>
      <c r="I228" s="2">
        <v>152</v>
      </c>
      <c r="J228" s="2">
        <v>2079.96</v>
      </c>
      <c r="K228" s="2">
        <v>13.68</v>
      </c>
      <c r="L228" s="2">
        <v>4811.88</v>
      </c>
      <c r="M228" s="2">
        <v>1207.75</v>
      </c>
      <c r="N228" s="5">
        <v>0.2006</v>
      </c>
      <c r="O228" s="3">
        <v>3.24</v>
      </c>
      <c r="P228" s="8" t="s">
        <v>27</v>
      </c>
    </row>
    <row r="229" spans="1:16" x14ac:dyDescent="0.35">
      <c r="A229" s="7">
        <v>227</v>
      </c>
      <c r="B229" s="4" t="s">
        <v>280</v>
      </c>
      <c r="C229" s="4" t="s">
        <v>34</v>
      </c>
      <c r="D229" s="1">
        <v>10</v>
      </c>
      <c r="E229" s="1">
        <v>10</v>
      </c>
      <c r="F229" s="2">
        <v>6013.14</v>
      </c>
      <c r="G229" s="2">
        <v>2525.52</v>
      </c>
      <c r="H229" s="2">
        <v>10</v>
      </c>
      <c r="I229" s="2">
        <v>40</v>
      </c>
      <c r="J229" s="2">
        <v>188.18</v>
      </c>
      <c r="K229" s="2">
        <v>3.6</v>
      </c>
      <c r="L229" s="2">
        <v>2767.3</v>
      </c>
      <c r="M229" s="2">
        <v>3245.84</v>
      </c>
      <c r="N229" s="5">
        <v>0.53979999999999995</v>
      </c>
      <c r="O229" s="3">
        <v>4</v>
      </c>
      <c r="P229" s="8" t="s">
        <v>18</v>
      </c>
    </row>
    <row r="230" spans="1:16" x14ac:dyDescent="0.35">
      <c r="A230" s="7">
        <v>228</v>
      </c>
      <c r="B230" s="4" t="s">
        <v>281</v>
      </c>
      <c r="C230" s="4" t="s">
        <v>26</v>
      </c>
      <c r="D230" s="1">
        <v>131</v>
      </c>
      <c r="E230" s="1">
        <v>116</v>
      </c>
      <c r="F230" s="2">
        <v>6011.77</v>
      </c>
      <c r="G230" s="2">
        <v>2705.3</v>
      </c>
      <c r="H230" s="2">
        <v>294.75</v>
      </c>
      <c r="I230" s="2">
        <v>754</v>
      </c>
      <c r="J230" s="2">
        <v>1857.18</v>
      </c>
      <c r="K230" s="2">
        <v>47.16</v>
      </c>
      <c r="L230" s="2">
        <v>5658.39</v>
      </c>
      <c r="M230" s="2">
        <v>353.38</v>
      </c>
      <c r="N230" s="5">
        <v>5.8799999999999998E-2</v>
      </c>
      <c r="O230" s="3">
        <v>4.07</v>
      </c>
      <c r="P230" s="8" t="s">
        <v>24</v>
      </c>
    </row>
    <row r="231" spans="1:16" x14ac:dyDescent="0.35">
      <c r="A231" s="7">
        <v>229</v>
      </c>
      <c r="B231" s="4" t="s">
        <v>282</v>
      </c>
      <c r="C231" s="4" t="s">
        <v>36</v>
      </c>
      <c r="D231" s="1">
        <v>20</v>
      </c>
      <c r="E231" s="1">
        <v>20</v>
      </c>
      <c r="F231" s="2">
        <v>5999.8</v>
      </c>
      <c r="G231" s="2">
        <v>2699.91</v>
      </c>
      <c r="H231" s="2">
        <v>100</v>
      </c>
      <c r="I231" s="2">
        <v>200</v>
      </c>
      <c r="J231" s="2">
        <v>518.75</v>
      </c>
      <c r="K231" s="2">
        <v>7.2</v>
      </c>
      <c r="L231" s="2">
        <v>3525.86</v>
      </c>
      <c r="M231" s="2">
        <v>2473.94</v>
      </c>
      <c r="N231" s="5">
        <v>0.41229999999999994</v>
      </c>
      <c r="O231" s="3">
        <v>3.75</v>
      </c>
      <c r="P231" s="8" t="s">
        <v>27</v>
      </c>
    </row>
    <row r="232" spans="1:16" x14ac:dyDescent="0.35">
      <c r="A232" s="7">
        <v>230</v>
      </c>
      <c r="B232" s="4" t="s">
        <v>283</v>
      </c>
      <c r="C232" s="4" t="s">
        <v>87</v>
      </c>
      <c r="D232" s="1">
        <v>16</v>
      </c>
      <c r="E232" s="1">
        <v>16</v>
      </c>
      <c r="F232" s="2">
        <v>5998.4</v>
      </c>
      <c r="G232" s="2">
        <v>2699.28</v>
      </c>
      <c r="H232" s="2">
        <v>36</v>
      </c>
      <c r="I232" s="2">
        <v>104</v>
      </c>
      <c r="J232" s="2">
        <v>1358.57</v>
      </c>
      <c r="K232" s="2">
        <v>5.76</v>
      </c>
      <c r="L232" s="2">
        <v>4203.6099999999997</v>
      </c>
      <c r="M232" s="2">
        <v>1794.79</v>
      </c>
      <c r="N232" s="5">
        <v>0.29920000000000002</v>
      </c>
      <c r="O232" s="3">
        <v>3.56</v>
      </c>
      <c r="P232" s="8" t="s">
        <v>27</v>
      </c>
    </row>
    <row r="233" spans="1:16" x14ac:dyDescent="0.35">
      <c r="A233" s="7">
        <v>231</v>
      </c>
      <c r="B233" s="4" t="s">
        <v>284</v>
      </c>
      <c r="C233" s="4" t="s">
        <v>17</v>
      </c>
      <c r="D233" s="1">
        <v>10</v>
      </c>
      <c r="E233" s="1">
        <v>10</v>
      </c>
      <c r="F233" s="2">
        <v>5990</v>
      </c>
      <c r="G233" s="2">
        <v>2515.8000000000002</v>
      </c>
      <c r="H233" s="2">
        <v>10</v>
      </c>
      <c r="I233" s="2">
        <v>40</v>
      </c>
      <c r="J233" s="2">
        <v>358.59</v>
      </c>
      <c r="K233" s="2">
        <v>3.6</v>
      </c>
      <c r="L233" s="2">
        <v>2927.99</v>
      </c>
      <c r="M233" s="2">
        <v>3062.01</v>
      </c>
      <c r="N233" s="5">
        <v>0.51119999999999999</v>
      </c>
      <c r="O233" s="3">
        <v>4.8</v>
      </c>
      <c r="P233" s="8" t="s">
        <v>18</v>
      </c>
    </row>
    <row r="234" spans="1:16" x14ac:dyDescent="0.35">
      <c r="A234" s="7">
        <v>232</v>
      </c>
      <c r="B234" s="4" t="s">
        <v>285</v>
      </c>
      <c r="C234" s="4" t="s">
        <v>34</v>
      </c>
      <c r="D234" s="1">
        <v>8</v>
      </c>
      <c r="E234" s="1">
        <v>8</v>
      </c>
      <c r="F234" s="2">
        <v>5972.96</v>
      </c>
      <c r="G234" s="2">
        <v>2508.64</v>
      </c>
      <c r="H234" s="2">
        <v>8</v>
      </c>
      <c r="I234" s="2">
        <v>32</v>
      </c>
      <c r="J234" s="2">
        <v>174.39</v>
      </c>
      <c r="K234" s="2">
        <v>2.88</v>
      </c>
      <c r="L234" s="2">
        <v>2725.91</v>
      </c>
      <c r="M234" s="2">
        <v>3247.05</v>
      </c>
      <c r="N234" s="5">
        <v>0.54359999999999997</v>
      </c>
      <c r="O234" s="3">
        <v>3.75</v>
      </c>
      <c r="P234" s="8" t="s">
        <v>27</v>
      </c>
    </row>
    <row r="235" spans="1:16" x14ac:dyDescent="0.35">
      <c r="A235" s="7">
        <v>233</v>
      </c>
      <c r="B235" s="4" t="s">
        <v>286</v>
      </c>
      <c r="C235" s="4" t="s">
        <v>17</v>
      </c>
      <c r="D235" s="1">
        <v>55</v>
      </c>
      <c r="E235" s="1">
        <v>49</v>
      </c>
      <c r="F235" s="2">
        <v>5964.5</v>
      </c>
      <c r="G235" s="2">
        <v>2505.09</v>
      </c>
      <c r="H235" s="2">
        <v>55</v>
      </c>
      <c r="I235" s="2">
        <v>196</v>
      </c>
      <c r="J235" s="2">
        <v>1049.1600000000001</v>
      </c>
      <c r="K235" s="2">
        <v>19.8</v>
      </c>
      <c r="L235" s="2">
        <v>3825.05</v>
      </c>
      <c r="M235" s="2">
        <v>2139.4499999999998</v>
      </c>
      <c r="N235" s="5">
        <v>0.35869999999999996</v>
      </c>
      <c r="O235" s="3">
        <v>4.26</v>
      </c>
      <c r="P235" s="8" t="s">
        <v>18</v>
      </c>
    </row>
    <row r="236" spans="1:16" x14ac:dyDescent="0.35">
      <c r="A236" s="7">
        <v>234</v>
      </c>
      <c r="B236" s="4" t="s">
        <v>287</v>
      </c>
      <c r="C236" s="4" t="s">
        <v>21</v>
      </c>
      <c r="D236" s="1">
        <v>7</v>
      </c>
      <c r="E236" s="1">
        <v>7</v>
      </c>
      <c r="F236" s="2">
        <v>5949.93</v>
      </c>
      <c r="G236" s="2">
        <v>3391.46</v>
      </c>
      <c r="H236" s="2">
        <v>15.75</v>
      </c>
      <c r="I236" s="2">
        <v>70</v>
      </c>
      <c r="J236" s="2">
        <v>284.26</v>
      </c>
      <c r="K236" s="2">
        <v>6.3</v>
      </c>
      <c r="L236" s="2">
        <v>3767.77</v>
      </c>
      <c r="M236" s="2">
        <v>2182.16</v>
      </c>
      <c r="N236" s="5">
        <v>0.36680000000000001</v>
      </c>
      <c r="O236" s="3">
        <v>4.57</v>
      </c>
      <c r="P236" s="8" t="s">
        <v>18</v>
      </c>
    </row>
    <row r="237" spans="1:16" x14ac:dyDescent="0.35">
      <c r="A237" s="7">
        <v>235</v>
      </c>
      <c r="B237" s="4" t="s">
        <v>288</v>
      </c>
      <c r="C237" s="4" t="s">
        <v>23</v>
      </c>
      <c r="D237" s="1">
        <v>5</v>
      </c>
      <c r="E237" s="1">
        <v>3</v>
      </c>
      <c r="F237" s="2">
        <v>5935</v>
      </c>
      <c r="G237" s="2">
        <v>3382.95</v>
      </c>
      <c r="H237" s="2">
        <v>11.25</v>
      </c>
      <c r="I237" s="2">
        <v>30</v>
      </c>
      <c r="J237" s="2">
        <v>136.03</v>
      </c>
      <c r="K237" s="2">
        <v>4.5</v>
      </c>
      <c r="L237" s="2">
        <v>3564.73</v>
      </c>
      <c r="M237" s="2">
        <v>2370.27</v>
      </c>
      <c r="N237" s="5">
        <v>0.39939999999999998</v>
      </c>
      <c r="O237" s="3">
        <v>5</v>
      </c>
      <c r="P237" s="8" t="s">
        <v>18</v>
      </c>
    </row>
    <row r="238" spans="1:16" x14ac:dyDescent="0.35">
      <c r="A238" s="7">
        <v>236</v>
      </c>
      <c r="B238" s="4" t="s">
        <v>289</v>
      </c>
      <c r="C238" s="4" t="s">
        <v>160</v>
      </c>
      <c r="D238" s="1">
        <v>6</v>
      </c>
      <c r="E238" s="1">
        <v>1</v>
      </c>
      <c r="F238" s="2">
        <v>5934.6</v>
      </c>
      <c r="G238" s="2">
        <v>2670.57</v>
      </c>
      <c r="H238" s="2">
        <v>6</v>
      </c>
      <c r="I238" s="2">
        <v>4</v>
      </c>
      <c r="J238" s="2">
        <v>146.94</v>
      </c>
      <c r="K238" s="2">
        <v>2.16</v>
      </c>
      <c r="L238" s="2">
        <v>2829.67</v>
      </c>
      <c r="M238" s="2">
        <v>3104.93</v>
      </c>
      <c r="N238" s="5">
        <v>0.5232</v>
      </c>
      <c r="O238" s="3">
        <v>1</v>
      </c>
      <c r="P238" s="8" t="s">
        <v>24</v>
      </c>
    </row>
    <row r="239" spans="1:16" x14ac:dyDescent="0.35">
      <c r="A239" s="7">
        <v>237</v>
      </c>
      <c r="B239" s="4" t="s">
        <v>290</v>
      </c>
      <c r="C239" s="4" t="s">
        <v>23</v>
      </c>
      <c r="D239" s="1">
        <v>84</v>
      </c>
      <c r="E239" s="1">
        <v>83</v>
      </c>
      <c r="F239" s="2">
        <v>5929.16</v>
      </c>
      <c r="G239" s="2">
        <v>3379.62</v>
      </c>
      <c r="H239" s="2">
        <v>189</v>
      </c>
      <c r="I239" s="2">
        <v>830</v>
      </c>
      <c r="J239" s="2">
        <v>1330.85</v>
      </c>
      <c r="K239" s="2">
        <v>75.599999999999994</v>
      </c>
      <c r="L239" s="2">
        <v>5805.07</v>
      </c>
      <c r="M239" s="2">
        <v>124.09</v>
      </c>
      <c r="N239" s="5">
        <v>2.0899999999999998E-2</v>
      </c>
      <c r="O239" s="3">
        <v>4.29</v>
      </c>
      <c r="P239" s="8" t="s">
        <v>24</v>
      </c>
    </row>
    <row r="240" spans="1:16" x14ac:dyDescent="0.35">
      <c r="A240" s="7">
        <v>238</v>
      </c>
      <c r="B240" s="4" t="s">
        <v>291</v>
      </c>
      <c r="C240" s="4" t="s">
        <v>26</v>
      </c>
      <c r="D240" s="1">
        <v>27</v>
      </c>
      <c r="E240" s="1">
        <v>24</v>
      </c>
      <c r="F240" s="2">
        <v>5919.9</v>
      </c>
      <c r="G240" s="2">
        <v>2663.96</v>
      </c>
      <c r="H240" s="2">
        <v>60.75</v>
      </c>
      <c r="I240" s="2">
        <v>156</v>
      </c>
      <c r="J240" s="2">
        <v>640.6</v>
      </c>
      <c r="K240" s="2">
        <v>9.7200000000000006</v>
      </c>
      <c r="L240" s="2">
        <v>3531.03</v>
      </c>
      <c r="M240" s="2">
        <v>2388.87</v>
      </c>
      <c r="N240" s="5">
        <v>0.40350000000000003</v>
      </c>
      <c r="O240" s="3">
        <v>3</v>
      </c>
      <c r="P240" s="8" t="s">
        <v>27</v>
      </c>
    </row>
    <row r="241" spans="1:16" x14ac:dyDescent="0.35">
      <c r="A241" s="7">
        <v>239</v>
      </c>
      <c r="B241" s="4" t="s">
        <v>292</v>
      </c>
      <c r="C241" s="4" t="s">
        <v>102</v>
      </c>
      <c r="D241" s="1">
        <v>12</v>
      </c>
      <c r="E241" s="1">
        <v>11</v>
      </c>
      <c r="F241" s="2">
        <v>5834.14</v>
      </c>
      <c r="G241" s="2">
        <v>3325.46</v>
      </c>
      <c r="H241" s="2">
        <v>27</v>
      </c>
      <c r="I241" s="2">
        <v>71.5</v>
      </c>
      <c r="J241" s="2">
        <v>369</v>
      </c>
      <c r="K241" s="2">
        <v>4.32</v>
      </c>
      <c r="L241" s="2">
        <v>3797.28</v>
      </c>
      <c r="M241" s="2">
        <v>2036.86</v>
      </c>
      <c r="N241" s="5">
        <v>0.34909999999999997</v>
      </c>
      <c r="O241" s="3">
        <v>4.3099999999999996</v>
      </c>
      <c r="P241" s="8" t="s">
        <v>18</v>
      </c>
    </row>
    <row r="242" spans="1:16" x14ac:dyDescent="0.35">
      <c r="A242" s="7">
        <v>240</v>
      </c>
      <c r="B242" s="4" t="s">
        <v>293</v>
      </c>
      <c r="C242" s="4" t="s">
        <v>26</v>
      </c>
      <c r="D242" s="1">
        <v>143</v>
      </c>
      <c r="E242" s="1">
        <v>130</v>
      </c>
      <c r="F242" s="2">
        <v>5831.77</v>
      </c>
      <c r="G242" s="2">
        <v>2624.3</v>
      </c>
      <c r="H242" s="2">
        <v>321.75</v>
      </c>
      <c r="I242" s="2">
        <v>845</v>
      </c>
      <c r="J242" s="2">
        <v>2126.56</v>
      </c>
      <c r="K242" s="2">
        <v>51.48</v>
      </c>
      <c r="L242" s="2">
        <v>5969.09</v>
      </c>
      <c r="M242" s="2">
        <v>-137.32</v>
      </c>
      <c r="N242" s="5">
        <v>-2.35E-2</v>
      </c>
      <c r="O242" s="3">
        <v>3.99</v>
      </c>
      <c r="P242" s="8" t="s">
        <v>24</v>
      </c>
    </row>
    <row r="243" spans="1:16" x14ac:dyDescent="0.35">
      <c r="A243" s="7">
        <v>241</v>
      </c>
      <c r="B243" s="4" t="s">
        <v>294</v>
      </c>
      <c r="C243" s="4" t="s">
        <v>34</v>
      </c>
      <c r="D243" s="1">
        <v>6</v>
      </c>
      <c r="E243" s="1">
        <v>6</v>
      </c>
      <c r="F243" s="2">
        <v>5824.97</v>
      </c>
      <c r="G243" s="2">
        <v>2446.4899999999998</v>
      </c>
      <c r="H243" s="2">
        <v>6</v>
      </c>
      <c r="I243" s="2">
        <v>24</v>
      </c>
      <c r="J243" s="2">
        <v>137.87</v>
      </c>
      <c r="K243" s="2">
        <v>2.16</v>
      </c>
      <c r="L243" s="2">
        <v>2616.52</v>
      </c>
      <c r="M243" s="2">
        <v>3208.45</v>
      </c>
      <c r="N243" s="5">
        <v>0.55079999999999996</v>
      </c>
      <c r="O243" s="3">
        <v>4.17</v>
      </c>
      <c r="P243" s="8" t="s">
        <v>18</v>
      </c>
    </row>
    <row r="244" spans="1:16" x14ac:dyDescent="0.35">
      <c r="A244" s="7">
        <v>242</v>
      </c>
      <c r="B244" s="4" t="s">
        <v>295</v>
      </c>
      <c r="C244" s="4" t="s">
        <v>17</v>
      </c>
      <c r="D244" s="1">
        <v>18</v>
      </c>
      <c r="E244" s="1">
        <v>18</v>
      </c>
      <c r="F244" s="2">
        <v>5799.82</v>
      </c>
      <c r="G244" s="2">
        <v>2435.92</v>
      </c>
      <c r="H244" s="2">
        <v>18</v>
      </c>
      <c r="I244" s="2">
        <v>72</v>
      </c>
      <c r="J244" s="2">
        <v>277.58</v>
      </c>
      <c r="K244" s="2">
        <v>6.48</v>
      </c>
      <c r="L244" s="2">
        <v>2809.98</v>
      </c>
      <c r="M244" s="2">
        <v>2989.84</v>
      </c>
      <c r="N244" s="5">
        <v>0.51549999999999996</v>
      </c>
      <c r="O244" s="3">
        <v>4.1100000000000003</v>
      </c>
      <c r="P244" s="8" t="s">
        <v>18</v>
      </c>
    </row>
    <row r="245" spans="1:16" x14ac:dyDescent="0.35">
      <c r="A245" s="7">
        <v>243</v>
      </c>
      <c r="B245" s="4" t="s">
        <v>296</v>
      </c>
      <c r="C245" s="4" t="s">
        <v>34</v>
      </c>
      <c r="D245" s="1">
        <v>93</v>
      </c>
      <c r="E245" s="1">
        <v>80</v>
      </c>
      <c r="F245" s="2">
        <v>5780.28</v>
      </c>
      <c r="G245" s="2">
        <v>2427.7199999999998</v>
      </c>
      <c r="H245" s="2">
        <v>93</v>
      </c>
      <c r="I245" s="2">
        <v>320</v>
      </c>
      <c r="J245" s="2">
        <v>1739.2</v>
      </c>
      <c r="K245" s="2">
        <v>33.479999999999997</v>
      </c>
      <c r="L245" s="2">
        <v>4613.3999999999996</v>
      </c>
      <c r="M245" s="2">
        <v>1166.8800000000001</v>
      </c>
      <c r="N245" s="5">
        <v>0.20190000000000002</v>
      </c>
      <c r="O245" s="3">
        <v>3.62</v>
      </c>
      <c r="P245" s="8" t="s">
        <v>27</v>
      </c>
    </row>
    <row r="246" spans="1:16" x14ac:dyDescent="0.35">
      <c r="A246" s="7">
        <v>244</v>
      </c>
      <c r="B246" s="4" t="s">
        <v>297</v>
      </c>
      <c r="C246" s="4" t="s">
        <v>245</v>
      </c>
      <c r="D246" s="1">
        <v>11</v>
      </c>
      <c r="E246" s="1">
        <v>11</v>
      </c>
      <c r="F246" s="2">
        <v>5773.9</v>
      </c>
      <c r="G246" s="2">
        <v>2309.56</v>
      </c>
      <c r="H246" s="2">
        <v>11</v>
      </c>
      <c r="I246" s="2">
        <v>44</v>
      </c>
      <c r="J246" s="2">
        <v>352.58</v>
      </c>
      <c r="K246" s="2">
        <v>1.1000000000000001</v>
      </c>
      <c r="L246" s="2">
        <v>2718.24</v>
      </c>
      <c r="M246" s="2">
        <v>3055.66</v>
      </c>
      <c r="N246" s="5">
        <v>0.5292</v>
      </c>
      <c r="O246" s="3">
        <v>4.6399999999999997</v>
      </c>
      <c r="P246" s="8" t="s">
        <v>18</v>
      </c>
    </row>
    <row r="247" spans="1:16" x14ac:dyDescent="0.35">
      <c r="A247" s="7">
        <v>245</v>
      </c>
      <c r="B247" s="4" t="s">
        <v>298</v>
      </c>
      <c r="C247" s="4" t="s">
        <v>34</v>
      </c>
      <c r="D247" s="1">
        <v>30</v>
      </c>
      <c r="E247" s="1">
        <v>29</v>
      </c>
      <c r="F247" s="2">
        <v>5701.2</v>
      </c>
      <c r="G247" s="2">
        <v>2394.5</v>
      </c>
      <c r="H247" s="2">
        <v>30</v>
      </c>
      <c r="I247" s="2">
        <v>116</v>
      </c>
      <c r="J247" s="2">
        <v>450.46</v>
      </c>
      <c r="K247" s="2">
        <v>10.8</v>
      </c>
      <c r="L247" s="2">
        <v>3001.76</v>
      </c>
      <c r="M247" s="2">
        <v>2699.44</v>
      </c>
      <c r="N247" s="5">
        <v>0.47350000000000003</v>
      </c>
      <c r="O247" s="3">
        <v>3.83</v>
      </c>
      <c r="P247" s="8" t="s">
        <v>27</v>
      </c>
    </row>
    <row r="248" spans="1:16" x14ac:dyDescent="0.35">
      <c r="A248" s="7">
        <v>246</v>
      </c>
      <c r="B248" s="4" t="s">
        <v>299</v>
      </c>
      <c r="C248" s="4" t="s">
        <v>17</v>
      </c>
      <c r="D248" s="1">
        <v>27</v>
      </c>
      <c r="E248" s="1">
        <v>26</v>
      </c>
      <c r="F248" s="2">
        <v>5609.91</v>
      </c>
      <c r="G248" s="2">
        <v>2356.16</v>
      </c>
      <c r="H248" s="2">
        <v>27</v>
      </c>
      <c r="I248" s="2">
        <v>104</v>
      </c>
      <c r="J248" s="2">
        <v>409.28</v>
      </c>
      <c r="K248" s="2">
        <v>9.7200000000000006</v>
      </c>
      <c r="L248" s="2">
        <v>2906.16</v>
      </c>
      <c r="M248" s="2">
        <v>2703.75</v>
      </c>
      <c r="N248" s="5">
        <v>0.48200000000000004</v>
      </c>
      <c r="O248" s="3">
        <v>4.46</v>
      </c>
      <c r="P248" s="8" t="s">
        <v>18</v>
      </c>
    </row>
    <row r="249" spans="1:16" x14ac:dyDescent="0.35">
      <c r="A249" s="7">
        <v>247</v>
      </c>
      <c r="B249" s="4" t="s">
        <v>300</v>
      </c>
      <c r="C249" s="4" t="s">
        <v>21</v>
      </c>
      <c r="D249" s="1">
        <v>5</v>
      </c>
      <c r="E249" s="1">
        <v>5</v>
      </c>
      <c r="F249" s="2">
        <v>5600</v>
      </c>
      <c r="G249" s="2">
        <v>3192</v>
      </c>
      <c r="H249" s="2">
        <v>11.25</v>
      </c>
      <c r="I249" s="2">
        <v>50</v>
      </c>
      <c r="J249" s="2">
        <v>194.75</v>
      </c>
      <c r="K249" s="2">
        <v>4.5</v>
      </c>
      <c r="L249" s="2">
        <v>3452.5</v>
      </c>
      <c r="M249" s="2">
        <v>2147.5</v>
      </c>
      <c r="N249" s="5">
        <v>0.38350000000000001</v>
      </c>
      <c r="O249" s="3">
        <v>3.8</v>
      </c>
      <c r="P249" s="8" t="s">
        <v>27</v>
      </c>
    </row>
    <row r="250" spans="1:16" x14ac:dyDescent="0.35">
      <c r="A250" s="7">
        <v>248</v>
      </c>
      <c r="B250" s="4" t="s">
        <v>301</v>
      </c>
      <c r="C250" s="4" t="s">
        <v>116</v>
      </c>
      <c r="D250" s="1">
        <v>7</v>
      </c>
      <c r="E250" s="1">
        <v>7</v>
      </c>
      <c r="F250" s="2">
        <v>5599.3</v>
      </c>
      <c r="G250" s="2">
        <v>2351.71</v>
      </c>
      <c r="H250" s="2">
        <v>7</v>
      </c>
      <c r="I250" s="2">
        <v>28</v>
      </c>
      <c r="J250" s="2">
        <v>251.28</v>
      </c>
      <c r="K250" s="2">
        <v>2.52</v>
      </c>
      <c r="L250" s="2">
        <v>2640.51</v>
      </c>
      <c r="M250" s="2">
        <v>2958.79</v>
      </c>
      <c r="N250" s="5">
        <v>0.52839999999999998</v>
      </c>
      <c r="O250" s="3">
        <v>4.29</v>
      </c>
      <c r="P250" s="8" t="s">
        <v>18</v>
      </c>
    </row>
    <row r="251" spans="1:16" x14ac:dyDescent="0.35">
      <c r="A251" s="7">
        <v>249</v>
      </c>
      <c r="B251" s="4" t="s">
        <v>302</v>
      </c>
      <c r="C251" s="4" t="s">
        <v>44</v>
      </c>
      <c r="D251" s="1">
        <v>48</v>
      </c>
      <c r="E251" s="1">
        <v>36</v>
      </c>
      <c r="F251" s="2">
        <v>5592.1</v>
      </c>
      <c r="G251" s="2">
        <v>2516.44</v>
      </c>
      <c r="H251" s="2">
        <v>240</v>
      </c>
      <c r="I251" s="2">
        <v>360</v>
      </c>
      <c r="J251" s="2">
        <v>1138.6099999999999</v>
      </c>
      <c r="K251" s="2">
        <v>17.28</v>
      </c>
      <c r="L251" s="2">
        <v>4272.33</v>
      </c>
      <c r="M251" s="2">
        <v>1319.77</v>
      </c>
      <c r="N251" s="5">
        <v>0.23600000000000002</v>
      </c>
      <c r="O251" s="3">
        <v>3.94</v>
      </c>
      <c r="P251" s="8" t="s">
        <v>27</v>
      </c>
    </row>
    <row r="252" spans="1:16" x14ac:dyDescent="0.35">
      <c r="A252" s="7">
        <v>250</v>
      </c>
      <c r="B252" s="4" t="s">
        <v>303</v>
      </c>
      <c r="C252" s="4" t="s">
        <v>98</v>
      </c>
      <c r="D252" s="1">
        <v>14</v>
      </c>
      <c r="E252" s="1">
        <v>10</v>
      </c>
      <c r="F252" s="2">
        <v>5586</v>
      </c>
      <c r="G252" s="2">
        <v>2513.6999999999998</v>
      </c>
      <c r="H252" s="2">
        <v>70</v>
      </c>
      <c r="I252" s="2">
        <v>100</v>
      </c>
      <c r="J252" s="2">
        <v>641.25</v>
      </c>
      <c r="K252" s="2">
        <v>5.04</v>
      </c>
      <c r="L252" s="2">
        <v>3329.99</v>
      </c>
      <c r="M252" s="2">
        <v>2256.0100000000002</v>
      </c>
      <c r="N252" s="5">
        <v>0.40389999999999998</v>
      </c>
      <c r="O252" s="3">
        <v>2.4300000000000002</v>
      </c>
      <c r="P252" s="8" t="s">
        <v>24</v>
      </c>
    </row>
    <row r="253" spans="1:16" x14ac:dyDescent="0.35">
      <c r="A253" s="7">
        <v>251</v>
      </c>
      <c r="B253" s="4" t="s">
        <v>304</v>
      </c>
      <c r="C253" s="4" t="s">
        <v>34</v>
      </c>
      <c r="D253" s="1">
        <v>14</v>
      </c>
      <c r="E253" s="1">
        <v>12</v>
      </c>
      <c r="F253" s="2">
        <v>5586</v>
      </c>
      <c r="G253" s="2">
        <v>2346.12</v>
      </c>
      <c r="H253" s="2">
        <v>14</v>
      </c>
      <c r="I253" s="2">
        <v>48</v>
      </c>
      <c r="J253" s="2">
        <v>296.35000000000002</v>
      </c>
      <c r="K253" s="2">
        <v>5.04</v>
      </c>
      <c r="L253" s="2">
        <v>2709.51</v>
      </c>
      <c r="M253" s="2">
        <v>2876.49</v>
      </c>
      <c r="N253" s="5">
        <v>0.51490000000000002</v>
      </c>
      <c r="O253" s="3">
        <v>3.29</v>
      </c>
      <c r="P253" s="8" t="s">
        <v>27</v>
      </c>
    </row>
    <row r="254" spans="1:16" x14ac:dyDescent="0.35">
      <c r="A254" s="7">
        <v>252</v>
      </c>
      <c r="B254" s="4" t="s">
        <v>305</v>
      </c>
      <c r="C254" s="4" t="s">
        <v>46</v>
      </c>
      <c r="D254" s="1">
        <v>3</v>
      </c>
      <c r="E254" s="1">
        <v>3</v>
      </c>
      <c r="F254" s="2">
        <v>5574.02</v>
      </c>
      <c r="G254" s="2">
        <v>2229.61</v>
      </c>
      <c r="H254" s="2">
        <v>6.75</v>
      </c>
      <c r="I254" s="2">
        <v>19.5</v>
      </c>
      <c r="J254" s="2">
        <v>110.94</v>
      </c>
      <c r="K254" s="2">
        <v>0.3</v>
      </c>
      <c r="L254" s="2">
        <v>2367.1</v>
      </c>
      <c r="M254" s="2">
        <v>3206.92</v>
      </c>
      <c r="N254" s="5">
        <v>0.57530000000000003</v>
      </c>
      <c r="O254" s="3">
        <v>3.67</v>
      </c>
      <c r="P254" s="8" t="s">
        <v>27</v>
      </c>
    </row>
    <row r="255" spans="1:16" x14ac:dyDescent="0.35">
      <c r="A255" s="7">
        <v>253</v>
      </c>
      <c r="B255" s="4" t="s">
        <v>306</v>
      </c>
      <c r="C255" s="4" t="s">
        <v>17</v>
      </c>
      <c r="D255" s="1">
        <v>15</v>
      </c>
      <c r="E255" s="1">
        <v>15</v>
      </c>
      <c r="F255" s="2">
        <v>5557.05</v>
      </c>
      <c r="G255" s="2">
        <v>2333.96</v>
      </c>
      <c r="H255" s="2">
        <v>15</v>
      </c>
      <c r="I255" s="2">
        <v>60</v>
      </c>
      <c r="J255" s="2">
        <v>462.52</v>
      </c>
      <c r="K255" s="2">
        <v>5.4</v>
      </c>
      <c r="L255" s="2">
        <v>2876.88</v>
      </c>
      <c r="M255" s="2">
        <v>2680.17</v>
      </c>
      <c r="N255" s="5">
        <v>0.48229999999999995</v>
      </c>
      <c r="O255" s="3">
        <v>4</v>
      </c>
      <c r="P255" s="8" t="s">
        <v>18</v>
      </c>
    </row>
    <row r="256" spans="1:16" x14ac:dyDescent="0.35">
      <c r="A256" s="7">
        <v>254</v>
      </c>
      <c r="B256" s="4" t="s">
        <v>307</v>
      </c>
      <c r="C256" s="4" t="s">
        <v>17</v>
      </c>
      <c r="D256" s="1">
        <v>15</v>
      </c>
      <c r="E256" s="1">
        <v>15</v>
      </c>
      <c r="F256" s="2">
        <v>5550</v>
      </c>
      <c r="G256" s="2">
        <v>2331</v>
      </c>
      <c r="H256" s="2">
        <v>15</v>
      </c>
      <c r="I256" s="2">
        <v>60</v>
      </c>
      <c r="J256" s="2">
        <v>344.66</v>
      </c>
      <c r="K256" s="2">
        <v>5.4</v>
      </c>
      <c r="L256" s="2">
        <v>2756.06</v>
      </c>
      <c r="M256" s="2">
        <v>2793.94</v>
      </c>
      <c r="N256" s="5">
        <v>0.50340000000000007</v>
      </c>
      <c r="O256" s="3">
        <v>3.53</v>
      </c>
      <c r="P256" s="8" t="s">
        <v>27</v>
      </c>
    </row>
    <row r="257" spans="1:16" x14ac:dyDescent="0.35">
      <c r="A257" s="7">
        <v>255</v>
      </c>
      <c r="B257" s="4" t="s">
        <v>308</v>
      </c>
      <c r="C257" s="4" t="s">
        <v>17</v>
      </c>
      <c r="D257" s="1">
        <v>30</v>
      </c>
      <c r="E257" s="1">
        <v>30</v>
      </c>
      <c r="F257" s="2">
        <v>5525.56</v>
      </c>
      <c r="G257" s="2">
        <v>2320.7399999999998</v>
      </c>
      <c r="H257" s="2">
        <v>30</v>
      </c>
      <c r="I257" s="2">
        <v>120</v>
      </c>
      <c r="J257" s="2">
        <v>495.49</v>
      </c>
      <c r="K257" s="2">
        <v>10.8</v>
      </c>
      <c r="L257" s="2">
        <v>2977.03</v>
      </c>
      <c r="M257" s="2">
        <v>2548.5300000000002</v>
      </c>
      <c r="N257" s="5">
        <v>0.4612</v>
      </c>
      <c r="O257" s="3">
        <v>4.53</v>
      </c>
      <c r="P257" s="8" t="s">
        <v>18</v>
      </c>
    </row>
    <row r="258" spans="1:16" x14ac:dyDescent="0.35">
      <c r="A258" s="7">
        <v>256</v>
      </c>
      <c r="B258" s="4" t="s">
        <v>309</v>
      </c>
      <c r="C258" s="4" t="s">
        <v>32</v>
      </c>
      <c r="D258" s="1">
        <v>24</v>
      </c>
      <c r="E258" s="1">
        <v>24</v>
      </c>
      <c r="F258" s="2">
        <v>5519.76</v>
      </c>
      <c r="G258" s="2">
        <v>2483.89</v>
      </c>
      <c r="H258" s="2">
        <v>24</v>
      </c>
      <c r="I258" s="2">
        <v>96</v>
      </c>
      <c r="J258" s="2">
        <v>511.63</v>
      </c>
      <c r="K258" s="2">
        <v>8.64</v>
      </c>
      <c r="L258" s="2">
        <v>3124.16</v>
      </c>
      <c r="M258" s="2">
        <v>2395.6</v>
      </c>
      <c r="N258" s="5">
        <v>0.434</v>
      </c>
      <c r="O258" s="3">
        <v>3.6</v>
      </c>
      <c r="P258" s="8" t="s">
        <v>27</v>
      </c>
    </row>
    <row r="259" spans="1:16" x14ac:dyDescent="0.35">
      <c r="A259" s="7">
        <v>257</v>
      </c>
      <c r="B259" s="4" t="s">
        <v>310</v>
      </c>
      <c r="C259" s="4" t="s">
        <v>116</v>
      </c>
      <c r="D259" s="1">
        <v>16</v>
      </c>
      <c r="E259" s="1">
        <v>16</v>
      </c>
      <c r="F259" s="2">
        <v>5513.4</v>
      </c>
      <c r="G259" s="2">
        <v>2315.63</v>
      </c>
      <c r="H259" s="2">
        <v>16</v>
      </c>
      <c r="I259" s="2">
        <v>64</v>
      </c>
      <c r="J259" s="2">
        <v>1305.3800000000001</v>
      </c>
      <c r="K259" s="2">
        <v>5.76</v>
      </c>
      <c r="L259" s="2">
        <v>3706.77</v>
      </c>
      <c r="M259" s="2">
        <v>1806.63</v>
      </c>
      <c r="N259" s="5">
        <v>0.32770000000000005</v>
      </c>
      <c r="O259" s="3">
        <v>4.63</v>
      </c>
      <c r="P259" s="8" t="s">
        <v>18</v>
      </c>
    </row>
    <row r="260" spans="1:16" x14ac:dyDescent="0.35">
      <c r="A260" s="7">
        <v>258</v>
      </c>
      <c r="B260" s="4" t="s">
        <v>311</v>
      </c>
      <c r="C260" s="4" t="s">
        <v>34</v>
      </c>
      <c r="D260" s="1">
        <v>58</v>
      </c>
      <c r="E260" s="1">
        <v>56</v>
      </c>
      <c r="F260" s="2">
        <v>5506</v>
      </c>
      <c r="G260" s="2">
        <v>2312.52</v>
      </c>
      <c r="H260" s="2">
        <v>58</v>
      </c>
      <c r="I260" s="2">
        <v>224</v>
      </c>
      <c r="J260" s="2">
        <v>775.35</v>
      </c>
      <c r="K260" s="2">
        <v>20.88</v>
      </c>
      <c r="L260" s="2">
        <v>3390.75</v>
      </c>
      <c r="M260" s="2">
        <v>2115.25</v>
      </c>
      <c r="N260" s="5">
        <v>0.38420000000000004</v>
      </c>
      <c r="O260" s="3">
        <v>3.95</v>
      </c>
      <c r="P260" s="8" t="s">
        <v>27</v>
      </c>
    </row>
    <row r="261" spans="1:16" x14ac:dyDescent="0.35">
      <c r="A261" s="7">
        <v>259</v>
      </c>
      <c r="B261" s="4" t="s">
        <v>312</v>
      </c>
      <c r="C261" s="4" t="s">
        <v>34</v>
      </c>
      <c r="D261" s="1">
        <v>41</v>
      </c>
      <c r="E261" s="1">
        <v>41</v>
      </c>
      <c r="F261" s="2">
        <v>5499.41</v>
      </c>
      <c r="G261" s="2">
        <v>2309.75</v>
      </c>
      <c r="H261" s="2">
        <v>41</v>
      </c>
      <c r="I261" s="2">
        <v>164</v>
      </c>
      <c r="J261" s="2">
        <v>652.14</v>
      </c>
      <c r="K261" s="2">
        <v>14.76</v>
      </c>
      <c r="L261" s="2">
        <v>3181.65</v>
      </c>
      <c r="M261" s="2">
        <v>2317.7600000000002</v>
      </c>
      <c r="N261" s="5">
        <v>0.42149999999999999</v>
      </c>
      <c r="O261" s="3">
        <v>4.24</v>
      </c>
      <c r="P261" s="8" t="s">
        <v>18</v>
      </c>
    </row>
    <row r="262" spans="1:16" x14ac:dyDescent="0.35">
      <c r="A262" s="7">
        <v>260</v>
      </c>
      <c r="B262" s="4" t="s">
        <v>313</v>
      </c>
      <c r="C262" s="4" t="s">
        <v>34</v>
      </c>
      <c r="D262" s="1">
        <v>4</v>
      </c>
      <c r="E262" s="1">
        <v>4</v>
      </c>
      <c r="F262" s="2">
        <v>5496</v>
      </c>
      <c r="G262" s="2">
        <v>2308.3200000000002</v>
      </c>
      <c r="H262" s="2">
        <v>4</v>
      </c>
      <c r="I262" s="2">
        <v>16</v>
      </c>
      <c r="J262" s="2">
        <v>75.239999999999995</v>
      </c>
      <c r="K262" s="2">
        <v>1.44</v>
      </c>
      <c r="L262" s="2">
        <v>2405</v>
      </c>
      <c r="M262" s="2">
        <v>3091</v>
      </c>
      <c r="N262" s="5">
        <v>0.56240000000000001</v>
      </c>
      <c r="O262" s="3">
        <v>3.5</v>
      </c>
      <c r="P262" s="8" t="s">
        <v>27</v>
      </c>
    </row>
    <row r="263" spans="1:16" x14ac:dyDescent="0.35">
      <c r="A263" s="7">
        <v>261</v>
      </c>
      <c r="B263" s="4" t="s">
        <v>314</v>
      </c>
      <c r="C263" s="4" t="s">
        <v>66</v>
      </c>
      <c r="D263" s="1">
        <v>5</v>
      </c>
      <c r="E263" s="1">
        <v>5</v>
      </c>
      <c r="F263" s="2">
        <v>5495</v>
      </c>
      <c r="G263" s="2">
        <v>3132.15</v>
      </c>
      <c r="H263" s="2">
        <v>5</v>
      </c>
      <c r="I263" s="2">
        <v>20</v>
      </c>
      <c r="J263" s="2">
        <v>182.28</v>
      </c>
      <c r="K263" s="2">
        <v>4.5</v>
      </c>
      <c r="L263" s="2">
        <v>3343.93</v>
      </c>
      <c r="M263" s="2">
        <v>2151.0700000000002</v>
      </c>
      <c r="N263" s="5">
        <v>0.39149999999999996</v>
      </c>
      <c r="O263" s="3">
        <v>4.8</v>
      </c>
      <c r="P263" s="8" t="s">
        <v>18</v>
      </c>
    </row>
    <row r="264" spans="1:16" x14ac:dyDescent="0.35">
      <c r="A264" s="7">
        <v>262</v>
      </c>
      <c r="B264" s="4" t="s">
        <v>315</v>
      </c>
      <c r="C264" s="4" t="s">
        <v>104</v>
      </c>
      <c r="D264" s="1">
        <v>25</v>
      </c>
      <c r="E264" s="1">
        <v>24</v>
      </c>
      <c r="F264" s="2">
        <v>5449.9</v>
      </c>
      <c r="G264" s="2">
        <v>2288.96</v>
      </c>
      <c r="H264" s="2">
        <v>25</v>
      </c>
      <c r="I264" s="2">
        <v>96</v>
      </c>
      <c r="J264" s="2">
        <v>448.43</v>
      </c>
      <c r="K264" s="2">
        <v>9</v>
      </c>
      <c r="L264" s="2">
        <v>2867.39</v>
      </c>
      <c r="M264" s="2">
        <v>2582.5100000000002</v>
      </c>
      <c r="N264" s="5">
        <v>0.47389999999999999</v>
      </c>
      <c r="O264" s="3">
        <v>4.6399999999999997</v>
      </c>
      <c r="P264" s="8" t="s">
        <v>18</v>
      </c>
    </row>
    <row r="265" spans="1:16" x14ac:dyDescent="0.35">
      <c r="A265" s="7">
        <v>263</v>
      </c>
      <c r="B265" s="4" t="s">
        <v>316</v>
      </c>
      <c r="C265" s="4" t="s">
        <v>23</v>
      </c>
      <c r="D265" s="1">
        <v>68</v>
      </c>
      <c r="E265" s="1">
        <v>62</v>
      </c>
      <c r="F265" s="2">
        <v>5433.2</v>
      </c>
      <c r="G265" s="2">
        <v>3096.92</v>
      </c>
      <c r="H265" s="2">
        <v>153</v>
      </c>
      <c r="I265" s="2">
        <v>620</v>
      </c>
      <c r="J265" s="2">
        <v>829.33</v>
      </c>
      <c r="K265" s="2">
        <v>61.2</v>
      </c>
      <c r="L265" s="2">
        <v>4760.45</v>
      </c>
      <c r="M265" s="2">
        <v>672.75</v>
      </c>
      <c r="N265" s="5">
        <v>0.12380000000000001</v>
      </c>
      <c r="O265" s="3">
        <v>2.4</v>
      </c>
      <c r="P265" s="8" t="s">
        <v>24</v>
      </c>
    </row>
    <row r="266" spans="1:16" x14ac:dyDescent="0.35">
      <c r="A266" s="7">
        <v>264</v>
      </c>
      <c r="B266" s="4" t="s">
        <v>317</v>
      </c>
      <c r="C266" s="4" t="s">
        <v>116</v>
      </c>
      <c r="D266" s="1">
        <v>9</v>
      </c>
      <c r="E266" s="1">
        <v>9</v>
      </c>
      <c r="F266" s="2">
        <v>5413.1</v>
      </c>
      <c r="G266" s="2">
        <v>2273.5</v>
      </c>
      <c r="H266" s="2">
        <v>9</v>
      </c>
      <c r="I266" s="2">
        <v>36</v>
      </c>
      <c r="J266" s="2">
        <v>197.09</v>
      </c>
      <c r="K266" s="2">
        <v>3.24</v>
      </c>
      <c r="L266" s="2">
        <v>2518.83</v>
      </c>
      <c r="M266" s="2">
        <v>2894.27</v>
      </c>
      <c r="N266" s="5">
        <v>0.53469999999999995</v>
      </c>
      <c r="O266" s="3">
        <v>2.5</v>
      </c>
      <c r="P266" s="8" t="s">
        <v>24</v>
      </c>
    </row>
    <row r="267" spans="1:16" x14ac:dyDescent="0.35">
      <c r="A267" s="7">
        <v>265</v>
      </c>
      <c r="B267" s="4" t="s">
        <v>318</v>
      </c>
      <c r="C267" s="4" t="s">
        <v>138</v>
      </c>
      <c r="D267" s="1">
        <v>4</v>
      </c>
      <c r="E267" s="1">
        <v>4</v>
      </c>
      <c r="F267" s="2">
        <v>5396</v>
      </c>
      <c r="G267" s="2">
        <v>2428.1999999999998</v>
      </c>
      <c r="H267" s="2">
        <v>20</v>
      </c>
      <c r="I267" s="2">
        <v>40</v>
      </c>
      <c r="J267" s="2">
        <v>364.96</v>
      </c>
      <c r="K267" s="2">
        <v>1.44</v>
      </c>
      <c r="L267" s="2">
        <v>2854.6</v>
      </c>
      <c r="M267" s="2">
        <v>2541.4</v>
      </c>
      <c r="N267" s="5">
        <v>0.47100000000000003</v>
      </c>
      <c r="O267" s="3">
        <v>4.33</v>
      </c>
      <c r="P267" s="8" t="s">
        <v>18</v>
      </c>
    </row>
    <row r="268" spans="1:16" x14ac:dyDescent="0.35">
      <c r="A268" s="7">
        <v>266</v>
      </c>
      <c r="B268" s="4" t="s">
        <v>319</v>
      </c>
      <c r="C268" s="4" t="s">
        <v>26</v>
      </c>
      <c r="D268" s="1">
        <v>44</v>
      </c>
      <c r="E268" s="1">
        <v>43</v>
      </c>
      <c r="F268" s="2">
        <v>5381.6</v>
      </c>
      <c r="G268" s="2">
        <v>2421.7199999999998</v>
      </c>
      <c r="H268" s="2">
        <v>99</v>
      </c>
      <c r="I268" s="2">
        <v>279.5</v>
      </c>
      <c r="J268" s="2">
        <v>699.87</v>
      </c>
      <c r="K268" s="2">
        <v>15.84</v>
      </c>
      <c r="L268" s="2">
        <v>3515.93</v>
      </c>
      <c r="M268" s="2">
        <v>1865.67</v>
      </c>
      <c r="N268" s="5">
        <v>0.34670000000000001</v>
      </c>
      <c r="O268" s="3">
        <v>3.8</v>
      </c>
      <c r="P268" s="8" t="s">
        <v>27</v>
      </c>
    </row>
    <row r="269" spans="1:16" x14ac:dyDescent="0.35">
      <c r="A269" s="7">
        <v>267</v>
      </c>
      <c r="B269" s="4" t="s">
        <v>320</v>
      </c>
      <c r="C269" s="4" t="s">
        <v>17</v>
      </c>
      <c r="D269" s="1">
        <v>7</v>
      </c>
      <c r="E269" s="1">
        <v>6</v>
      </c>
      <c r="F269" s="2">
        <v>5320</v>
      </c>
      <c r="G269" s="2">
        <v>2234.4</v>
      </c>
      <c r="H269" s="2">
        <v>7</v>
      </c>
      <c r="I269" s="2">
        <v>24</v>
      </c>
      <c r="J269" s="2">
        <v>1155.74</v>
      </c>
      <c r="K269" s="2">
        <v>2.52</v>
      </c>
      <c r="L269" s="2">
        <v>3423.66</v>
      </c>
      <c r="M269" s="2">
        <v>1896.34</v>
      </c>
      <c r="N269" s="5">
        <v>0.35649999999999998</v>
      </c>
      <c r="O269" s="3">
        <v>4.1399999999999997</v>
      </c>
      <c r="P269" s="8" t="s">
        <v>18</v>
      </c>
    </row>
    <row r="270" spans="1:16" x14ac:dyDescent="0.35">
      <c r="A270" s="7">
        <v>268</v>
      </c>
      <c r="B270" s="4" t="s">
        <v>321</v>
      </c>
      <c r="C270" s="4" t="s">
        <v>26</v>
      </c>
      <c r="D270" s="1">
        <v>26</v>
      </c>
      <c r="E270" s="1">
        <v>24</v>
      </c>
      <c r="F270" s="2">
        <v>5317.4</v>
      </c>
      <c r="G270" s="2">
        <v>2392.83</v>
      </c>
      <c r="H270" s="2">
        <v>58.5</v>
      </c>
      <c r="I270" s="2">
        <v>156</v>
      </c>
      <c r="J270" s="2">
        <v>525.15</v>
      </c>
      <c r="K270" s="2">
        <v>9.36</v>
      </c>
      <c r="L270" s="2">
        <v>3141.84</v>
      </c>
      <c r="M270" s="2">
        <v>2175.56</v>
      </c>
      <c r="N270" s="5">
        <v>0.40909999999999996</v>
      </c>
      <c r="O270" s="3">
        <v>4.24</v>
      </c>
      <c r="P270" s="8" t="s">
        <v>18</v>
      </c>
    </row>
    <row r="271" spans="1:16" x14ac:dyDescent="0.35">
      <c r="A271" s="7">
        <v>269</v>
      </c>
      <c r="B271" s="4" t="s">
        <v>322</v>
      </c>
      <c r="C271" s="4" t="s">
        <v>32</v>
      </c>
      <c r="D271" s="1">
        <v>25</v>
      </c>
      <c r="E271" s="1">
        <v>24</v>
      </c>
      <c r="F271" s="2">
        <v>5304.86</v>
      </c>
      <c r="G271" s="2">
        <v>2387.19</v>
      </c>
      <c r="H271" s="2">
        <v>25</v>
      </c>
      <c r="I271" s="2">
        <v>96</v>
      </c>
      <c r="J271" s="2">
        <v>565.88</v>
      </c>
      <c r="K271" s="2">
        <v>9</v>
      </c>
      <c r="L271" s="2">
        <v>3083.07</v>
      </c>
      <c r="M271" s="2">
        <v>2221.79</v>
      </c>
      <c r="N271" s="5">
        <v>0.41880000000000001</v>
      </c>
      <c r="O271" s="3">
        <v>4.17</v>
      </c>
      <c r="P271" s="8" t="s">
        <v>18</v>
      </c>
    </row>
    <row r="272" spans="1:16" x14ac:dyDescent="0.35">
      <c r="A272" s="7">
        <v>270</v>
      </c>
      <c r="B272" s="4" t="s">
        <v>323</v>
      </c>
      <c r="C272" s="4" t="s">
        <v>23</v>
      </c>
      <c r="D272" s="1">
        <v>2</v>
      </c>
      <c r="E272" s="1">
        <v>2</v>
      </c>
      <c r="F272" s="2">
        <v>5299.98</v>
      </c>
      <c r="G272" s="2">
        <v>3020.99</v>
      </c>
      <c r="H272" s="2">
        <v>4.5</v>
      </c>
      <c r="I272" s="2">
        <v>20</v>
      </c>
      <c r="J272" s="2">
        <v>217.81</v>
      </c>
      <c r="K272" s="2">
        <v>1.8</v>
      </c>
      <c r="L272" s="2">
        <v>3265.1</v>
      </c>
      <c r="M272" s="2">
        <v>2034.88</v>
      </c>
      <c r="N272" s="5">
        <v>0.38390000000000002</v>
      </c>
      <c r="O272" s="3">
        <v>3</v>
      </c>
      <c r="P272" s="8" t="s">
        <v>27</v>
      </c>
    </row>
    <row r="273" spans="1:16" x14ac:dyDescent="0.35">
      <c r="A273" s="7">
        <v>271</v>
      </c>
      <c r="B273" s="4" t="s">
        <v>324</v>
      </c>
      <c r="C273" s="4" t="s">
        <v>104</v>
      </c>
      <c r="D273" s="1">
        <v>93</v>
      </c>
      <c r="E273" s="1">
        <v>91</v>
      </c>
      <c r="F273" s="2">
        <v>5288.07</v>
      </c>
      <c r="G273" s="2">
        <v>2220.9899999999998</v>
      </c>
      <c r="H273" s="2">
        <v>93</v>
      </c>
      <c r="I273" s="2">
        <v>364</v>
      </c>
      <c r="J273" s="2">
        <v>1270.05</v>
      </c>
      <c r="K273" s="2">
        <v>33.479999999999997</v>
      </c>
      <c r="L273" s="2">
        <v>3981.52</v>
      </c>
      <c r="M273" s="2">
        <v>1306.55</v>
      </c>
      <c r="N273" s="5">
        <v>0.24710000000000001</v>
      </c>
      <c r="O273" s="3">
        <v>4.1100000000000003</v>
      </c>
      <c r="P273" s="8" t="s">
        <v>27</v>
      </c>
    </row>
    <row r="274" spans="1:16" x14ac:dyDescent="0.35">
      <c r="A274" s="7">
        <v>272</v>
      </c>
      <c r="B274" s="4" t="s">
        <v>325</v>
      </c>
      <c r="C274" s="4" t="s">
        <v>326</v>
      </c>
      <c r="D274" s="1">
        <v>35</v>
      </c>
      <c r="E274" s="1">
        <v>35</v>
      </c>
      <c r="F274" s="2">
        <v>5259.8</v>
      </c>
      <c r="G274" s="2">
        <v>2366.91</v>
      </c>
      <c r="H274" s="2">
        <v>175</v>
      </c>
      <c r="I274" s="2">
        <v>350</v>
      </c>
      <c r="J274" s="2">
        <v>1074.27</v>
      </c>
      <c r="K274" s="2">
        <v>12.6</v>
      </c>
      <c r="L274" s="2">
        <v>3978.78</v>
      </c>
      <c r="M274" s="2">
        <v>1281.02</v>
      </c>
      <c r="N274" s="5">
        <v>0.24350000000000002</v>
      </c>
      <c r="O274" s="3">
        <v>4.1399999999999997</v>
      </c>
      <c r="P274" s="8" t="s">
        <v>27</v>
      </c>
    </row>
    <row r="275" spans="1:16" x14ac:dyDescent="0.35">
      <c r="A275" s="7">
        <v>273</v>
      </c>
      <c r="B275" s="4" t="s">
        <v>327</v>
      </c>
      <c r="C275" s="4" t="s">
        <v>17</v>
      </c>
      <c r="D275" s="1">
        <v>5</v>
      </c>
      <c r="E275" s="1">
        <v>5</v>
      </c>
      <c r="F275" s="2">
        <v>5250</v>
      </c>
      <c r="G275" s="2">
        <v>2205</v>
      </c>
      <c r="H275" s="2">
        <v>5</v>
      </c>
      <c r="I275" s="2">
        <v>20</v>
      </c>
      <c r="J275" s="2">
        <v>1233.33</v>
      </c>
      <c r="K275" s="2">
        <v>1.8</v>
      </c>
      <c r="L275" s="2">
        <v>3465.13</v>
      </c>
      <c r="M275" s="2">
        <v>1784.87</v>
      </c>
      <c r="N275" s="5">
        <v>0.34</v>
      </c>
      <c r="O275" s="3">
        <v>4.2</v>
      </c>
      <c r="P275" s="8" t="s">
        <v>18</v>
      </c>
    </row>
    <row r="276" spans="1:16" x14ac:dyDescent="0.35">
      <c r="A276" s="7">
        <v>274</v>
      </c>
      <c r="B276" s="4" t="s">
        <v>328</v>
      </c>
      <c r="C276" s="4" t="s">
        <v>23</v>
      </c>
      <c r="D276" s="1">
        <v>33</v>
      </c>
      <c r="E276" s="1">
        <v>33</v>
      </c>
      <c r="F276" s="2">
        <v>5247</v>
      </c>
      <c r="G276" s="2">
        <v>2990.79</v>
      </c>
      <c r="H276" s="2">
        <v>74.25</v>
      </c>
      <c r="I276" s="2">
        <v>330</v>
      </c>
      <c r="J276" s="2">
        <v>1079.04</v>
      </c>
      <c r="K276" s="2">
        <v>29.7</v>
      </c>
      <c r="L276" s="2">
        <v>4503.78</v>
      </c>
      <c r="M276" s="2">
        <v>743.22</v>
      </c>
      <c r="N276" s="5">
        <v>0.1416</v>
      </c>
      <c r="O276" s="3">
        <v>4.21</v>
      </c>
      <c r="P276" s="8" t="s">
        <v>27</v>
      </c>
    </row>
    <row r="277" spans="1:16" x14ac:dyDescent="0.35">
      <c r="A277" s="7">
        <v>275</v>
      </c>
      <c r="B277" s="4" t="s">
        <v>329</v>
      </c>
      <c r="C277" s="4" t="s">
        <v>36</v>
      </c>
      <c r="D277" s="1">
        <v>32</v>
      </c>
      <c r="E277" s="1">
        <v>32</v>
      </c>
      <c r="F277" s="2">
        <v>5238</v>
      </c>
      <c r="G277" s="2">
        <v>2357.1</v>
      </c>
      <c r="H277" s="2">
        <v>160</v>
      </c>
      <c r="I277" s="2">
        <v>320</v>
      </c>
      <c r="J277" s="2">
        <v>957.44</v>
      </c>
      <c r="K277" s="2">
        <v>11.52</v>
      </c>
      <c r="L277" s="2">
        <v>3806.06</v>
      </c>
      <c r="M277" s="2">
        <v>1431.94</v>
      </c>
      <c r="N277" s="5">
        <v>0.27339999999999998</v>
      </c>
      <c r="O277" s="3">
        <v>4.16</v>
      </c>
      <c r="P277" s="8" t="s">
        <v>18</v>
      </c>
    </row>
    <row r="278" spans="1:16" x14ac:dyDescent="0.35">
      <c r="A278" s="7">
        <v>276</v>
      </c>
      <c r="B278" s="4" t="s">
        <v>330</v>
      </c>
      <c r="C278" s="4" t="s">
        <v>32</v>
      </c>
      <c r="D278" s="1">
        <v>6</v>
      </c>
      <c r="E278" s="1">
        <v>6</v>
      </c>
      <c r="F278" s="2">
        <v>5213</v>
      </c>
      <c r="G278" s="2">
        <v>2345.85</v>
      </c>
      <c r="H278" s="2">
        <v>6</v>
      </c>
      <c r="I278" s="2">
        <v>24</v>
      </c>
      <c r="J278" s="2">
        <v>764.9</v>
      </c>
      <c r="K278" s="2">
        <v>2.16</v>
      </c>
      <c r="L278" s="2">
        <v>3142.91</v>
      </c>
      <c r="M278" s="2">
        <v>2070.09</v>
      </c>
      <c r="N278" s="5">
        <v>0.39710000000000001</v>
      </c>
      <c r="O278" s="3">
        <v>3.5</v>
      </c>
      <c r="P278" s="8" t="s">
        <v>27</v>
      </c>
    </row>
    <row r="279" spans="1:16" x14ac:dyDescent="0.35">
      <c r="A279" s="7">
        <v>277</v>
      </c>
      <c r="B279" s="4" t="s">
        <v>331</v>
      </c>
      <c r="C279" s="4" t="s">
        <v>36</v>
      </c>
      <c r="D279" s="1">
        <v>57</v>
      </c>
      <c r="E279" s="1">
        <v>57</v>
      </c>
      <c r="F279" s="2">
        <v>5204.3</v>
      </c>
      <c r="G279" s="2">
        <v>2341.94</v>
      </c>
      <c r="H279" s="2">
        <v>285</v>
      </c>
      <c r="I279" s="2">
        <v>570</v>
      </c>
      <c r="J279" s="2">
        <v>842.27</v>
      </c>
      <c r="K279" s="2">
        <v>20.52</v>
      </c>
      <c r="L279" s="2">
        <v>4059.73</v>
      </c>
      <c r="M279" s="2">
        <v>1144.57</v>
      </c>
      <c r="N279" s="5">
        <v>0.21989999999999998</v>
      </c>
      <c r="O279" s="3">
        <v>4.1399999999999997</v>
      </c>
      <c r="P279" s="8" t="s">
        <v>27</v>
      </c>
    </row>
    <row r="280" spans="1:16" x14ac:dyDescent="0.35">
      <c r="A280" s="7">
        <v>278</v>
      </c>
      <c r="B280" s="4" t="s">
        <v>332</v>
      </c>
      <c r="C280" s="4" t="s">
        <v>17</v>
      </c>
      <c r="D280" s="1">
        <v>13</v>
      </c>
      <c r="E280" s="1">
        <v>13</v>
      </c>
      <c r="F280" s="2">
        <v>5187</v>
      </c>
      <c r="G280" s="2">
        <v>2178.54</v>
      </c>
      <c r="H280" s="2">
        <v>13</v>
      </c>
      <c r="I280" s="2">
        <v>52</v>
      </c>
      <c r="J280" s="2">
        <v>1405.9</v>
      </c>
      <c r="K280" s="2">
        <v>4.68</v>
      </c>
      <c r="L280" s="2">
        <v>3654.12</v>
      </c>
      <c r="M280" s="2">
        <v>1532.88</v>
      </c>
      <c r="N280" s="5">
        <v>0.29549999999999998</v>
      </c>
      <c r="O280" s="3">
        <v>4.3099999999999996</v>
      </c>
      <c r="P280" s="8" t="s">
        <v>18</v>
      </c>
    </row>
    <row r="281" spans="1:16" x14ac:dyDescent="0.35">
      <c r="A281" s="7">
        <v>279</v>
      </c>
      <c r="B281" s="4" t="s">
        <v>333</v>
      </c>
      <c r="C281" s="4" t="s">
        <v>36</v>
      </c>
      <c r="D281" s="1">
        <v>21</v>
      </c>
      <c r="E281" s="1">
        <v>21</v>
      </c>
      <c r="F281" s="2">
        <v>5183.5</v>
      </c>
      <c r="G281" s="2">
        <v>2332.58</v>
      </c>
      <c r="H281" s="2">
        <v>105</v>
      </c>
      <c r="I281" s="2">
        <v>210</v>
      </c>
      <c r="J281" s="2">
        <v>969.95</v>
      </c>
      <c r="K281" s="2">
        <v>7.56</v>
      </c>
      <c r="L281" s="2">
        <v>3625.09</v>
      </c>
      <c r="M281" s="2">
        <v>1558.41</v>
      </c>
      <c r="N281" s="5">
        <v>0.30059999999999998</v>
      </c>
      <c r="O281" s="3">
        <v>4.67</v>
      </c>
      <c r="P281" s="8" t="s">
        <v>18</v>
      </c>
    </row>
    <row r="282" spans="1:16" x14ac:dyDescent="0.35">
      <c r="A282" s="7">
        <v>280</v>
      </c>
      <c r="B282" s="4" t="s">
        <v>334</v>
      </c>
      <c r="C282" s="4" t="s">
        <v>26</v>
      </c>
      <c r="D282" s="1">
        <v>37</v>
      </c>
      <c r="E282" s="1">
        <v>29</v>
      </c>
      <c r="F282" s="2">
        <v>5149.8999999999996</v>
      </c>
      <c r="G282" s="2">
        <v>2317.46</v>
      </c>
      <c r="H282" s="2">
        <v>83.25</v>
      </c>
      <c r="I282" s="2">
        <v>188.5</v>
      </c>
      <c r="J282" s="2">
        <v>623.33000000000004</v>
      </c>
      <c r="K282" s="2">
        <v>13.32</v>
      </c>
      <c r="L282" s="2">
        <v>3225.86</v>
      </c>
      <c r="M282" s="2">
        <v>1924.04</v>
      </c>
      <c r="N282" s="5">
        <v>0.37359999999999999</v>
      </c>
      <c r="O282" s="3">
        <v>4.1399999999999997</v>
      </c>
      <c r="P282" s="8" t="s">
        <v>18</v>
      </c>
    </row>
    <row r="283" spans="1:16" x14ac:dyDescent="0.35">
      <c r="A283" s="7">
        <v>281</v>
      </c>
      <c r="B283" s="4" t="s">
        <v>335</v>
      </c>
      <c r="C283" s="4" t="s">
        <v>23</v>
      </c>
      <c r="D283" s="1">
        <v>49</v>
      </c>
      <c r="E283" s="1">
        <v>47</v>
      </c>
      <c r="F283" s="2">
        <v>5145</v>
      </c>
      <c r="G283" s="2">
        <v>2932.65</v>
      </c>
      <c r="H283" s="2">
        <v>110.25</v>
      </c>
      <c r="I283" s="2">
        <v>470</v>
      </c>
      <c r="J283" s="2">
        <v>1296.02</v>
      </c>
      <c r="K283" s="2">
        <v>44.1</v>
      </c>
      <c r="L283" s="2">
        <v>4853.0200000000004</v>
      </c>
      <c r="M283" s="2">
        <v>291.98</v>
      </c>
      <c r="N283" s="5">
        <v>5.6799999999999996E-2</v>
      </c>
      <c r="O283" s="3">
        <v>4.54</v>
      </c>
      <c r="P283" s="8" t="s">
        <v>24</v>
      </c>
    </row>
    <row r="284" spans="1:16" x14ac:dyDescent="0.35">
      <c r="A284" s="7">
        <v>282</v>
      </c>
      <c r="B284" s="4" t="s">
        <v>336</v>
      </c>
      <c r="C284" s="4" t="s">
        <v>57</v>
      </c>
      <c r="D284" s="1">
        <v>29</v>
      </c>
      <c r="E284" s="1">
        <v>28</v>
      </c>
      <c r="F284" s="2">
        <v>5133.1000000000004</v>
      </c>
      <c r="G284" s="2">
        <v>2309.9</v>
      </c>
      <c r="H284" s="2">
        <v>65.25</v>
      </c>
      <c r="I284" s="2">
        <v>182</v>
      </c>
      <c r="J284" s="2">
        <v>746.65</v>
      </c>
      <c r="K284" s="2">
        <v>10.44</v>
      </c>
      <c r="L284" s="2">
        <v>3314.24</v>
      </c>
      <c r="M284" s="2">
        <v>1818.86</v>
      </c>
      <c r="N284" s="5">
        <v>0.3543</v>
      </c>
      <c r="O284" s="3">
        <v>4.72</v>
      </c>
      <c r="P284" s="8" t="s">
        <v>18</v>
      </c>
    </row>
    <row r="285" spans="1:16" x14ac:dyDescent="0.35">
      <c r="A285" s="7">
        <v>283</v>
      </c>
      <c r="B285" s="4" t="s">
        <v>337</v>
      </c>
      <c r="C285" s="4" t="s">
        <v>17</v>
      </c>
      <c r="D285" s="1">
        <v>32</v>
      </c>
      <c r="E285" s="1">
        <v>32</v>
      </c>
      <c r="F285" s="2">
        <v>5129</v>
      </c>
      <c r="G285" s="2">
        <v>2154.1799999999998</v>
      </c>
      <c r="H285" s="2">
        <v>32</v>
      </c>
      <c r="I285" s="2">
        <v>128</v>
      </c>
      <c r="J285" s="2">
        <v>507.88</v>
      </c>
      <c r="K285" s="2">
        <v>11.52</v>
      </c>
      <c r="L285" s="2">
        <v>2833.58</v>
      </c>
      <c r="M285" s="2">
        <v>2295.42</v>
      </c>
      <c r="N285" s="5">
        <v>0.44750000000000001</v>
      </c>
      <c r="O285" s="3">
        <v>4.28</v>
      </c>
      <c r="P285" s="8" t="s">
        <v>18</v>
      </c>
    </row>
    <row r="286" spans="1:16" x14ac:dyDescent="0.35">
      <c r="A286" s="7">
        <v>284</v>
      </c>
      <c r="B286" s="4" t="s">
        <v>338</v>
      </c>
      <c r="C286" s="4" t="s">
        <v>30</v>
      </c>
      <c r="D286" s="1">
        <v>13</v>
      </c>
      <c r="E286" s="1">
        <v>13</v>
      </c>
      <c r="F286" s="2">
        <v>5115.8999999999996</v>
      </c>
      <c r="G286" s="2">
        <v>2148.6799999999998</v>
      </c>
      <c r="H286" s="2">
        <v>13</v>
      </c>
      <c r="I286" s="2">
        <v>52</v>
      </c>
      <c r="J286" s="2">
        <v>372.62</v>
      </c>
      <c r="K286" s="2">
        <v>4.68</v>
      </c>
      <c r="L286" s="2">
        <v>2590.98</v>
      </c>
      <c r="M286" s="2">
        <v>2524.92</v>
      </c>
      <c r="N286" s="5">
        <v>0.49349999999999999</v>
      </c>
      <c r="O286" s="3">
        <v>2.75</v>
      </c>
      <c r="P286" s="8" t="s">
        <v>24</v>
      </c>
    </row>
    <row r="287" spans="1:16" x14ac:dyDescent="0.35">
      <c r="A287" s="7">
        <v>285</v>
      </c>
      <c r="B287" s="4" t="s">
        <v>339</v>
      </c>
      <c r="C287" s="4" t="s">
        <v>21</v>
      </c>
      <c r="D287" s="1">
        <v>6</v>
      </c>
      <c r="E287" s="1">
        <v>5</v>
      </c>
      <c r="F287" s="2">
        <v>5100</v>
      </c>
      <c r="G287" s="2">
        <v>2907</v>
      </c>
      <c r="H287" s="2">
        <v>13.5</v>
      </c>
      <c r="I287" s="2">
        <v>50</v>
      </c>
      <c r="J287" s="2">
        <v>195.9</v>
      </c>
      <c r="K287" s="2">
        <v>5.4</v>
      </c>
      <c r="L287" s="2">
        <v>3171.8</v>
      </c>
      <c r="M287" s="2">
        <v>1928.2</v>
      </c>
      <c r="N287" s="5">
        <v>0.37810000000000005</v>
      </c>
      <c r="O287" s="3">
        <v>4.67</v>
      </c>
      <c r="P287" s="8" t="s">
        <v>18</v>
      </c>
    </row>
    <row r="288" spans="1:16" x14ac:dyDescent="0.35">
      <c r="A288" s="7">
        <v>286</v>
      </c>
      <c r="B288" s="4" t="s">
        <v>340</v>
      </c>
      <c r="C288" s="4" t="s">
        <v>98</v>
      </c>
      <c r="D288" s="1">
        <v>25</v>
      </c>
      <c r="E288" s="1">
        <v>14</v>
      </c>
      <c r="F288" s="2">
        <v>5099.55</v>
      </c>
      <c r="G288" s="2">
        <v>2294.8000000000002</v>
      </c>
      <c r="H288" s="2">
        <v>125</v>
      </c>
      <c r="I288" s="2">
        <v>140</v>
      </c>
      <c r="J288" s="2">
        <v>1351.82</v>
      </c>
      <c r="K288" s="2">
        <v>9</v>
      </c>
      <c r="L288" s="2">
        <v>3920.62</v>
      </c>
      <c r="M288" s="2">
        <v>1178.93</v>
      </c>
      <c r="N288" s="5">
        <v>0.23120000000000002</v>
      </c>
      <c r="O288" s="3">
        <v>3.52</v>
      </c>
      <c r="P288" s="8" t="s">
        <v>27</v>
      </c>
    </row>
    <row r="289" spans="1:16" x14ac:dyDescent="0.35">
      <c r="A289" s="7">
        <v>287</v>
      </c>
      <c r="B289" s="4" t="s">
        <v>341</v>
      </c>
      <c r="C289" s="4" t="s">
        <v>26</v>
      </c>
      <c r="D289" s="1">
        <v>25</v>
      </c>
      <c r="E289" s="1">
        <v>23</v>
      </c>
      <c r="F289" s="2">
        <v>5089.6899999999996</v>
      </c>
      <c r="G289" s="2">
        <v>2290.36</v>
      </c>
      <c r="H289" s="2">
        <v>56.25</v>
      </c>
      <c r="I289" s="2">
        <v>149.5</v>
      </c>
      <c r="J289" s="2">
        <v>584.32000000000005</v>
      </c>
      <c r="K289" s="2">
        <v>9</v>
      </c>
      <c r="L289" s="2">
        <v>3089.43</v>
      </c>
      <c r="M289" s="2">
        <v>2000.26</v>
      </c>
      <c r="N289" s="5">
        <v>0.39299999999999996</v>
      </c>
      <c r="O289" s="3">
        <v>4.4000000000000004</v>
      </c>
      <c r="P289" s="8" t="s">
        <v>18</v>
      </c>
    </row>
    <row r="290" spans="1:16" x14ac:dyDescent="0.35">
      <c r="A290" s="7">
        <v>288</v>
      </c>
      <c r="B290" s="4" t="s">
        <v>342</v>
      </c>
      <c r="C290" s="4" t="s">
        <v>83</v>
      </c>
      <c r="D290" s="1">
        <v>36</v>
      </c>
      <c r="E290" s="1">
        <v>32</v>
      </c>
      <c r="F290" s="2">
        <v>5084.6000000000004</v>
      </c>
      <c r="G290" s="2">
        <v>2135.5300000000002</v>
      </c>
      <c r="H290" s="2">
        <v>36</v>
      </c>
      <c r="I290" s="2">
        <v>208</v>
      </c>
      <c r="J290" s="2">
        <v>1614.07</v>
      </c>
      <c r="K290" s="2">
        <v>12.96</v>
      </c>
      <c r="L290" s="2">
        <v>4006.56</v>
      </c>
      <c r="M290" s="2">
        <v>1078.04</v>
      </c>
      <c r="N290" s="5">
        <v>0.21199999999999999</v>
      </c>
      <c r="O290" s="3">
        <v>4.12</v>
      </c>
      <c r="P290" s="8" t="s">
        <v>27</v>
      </c>
    </row>
    <row r="291" spans="1:16" x14ac:dyDescent="0.35">
      <c r="A291" s="7">
        <v>289</v>
      </c>
      <c r="B291" s="4" t="s">
        <v>343</v>
      </c>
      <c r="C291" s="4" t="s">
        <v>17</v>
      </c>
      <c r="D291" s="1">
        <v>23</v>
      </c>
      <c r="E291" s="1">
        <v>23</v>
      </c>
      <c r="F291" s="2">
        <v>5067.18</v>
      </c>
      <c r="G291" s="2">
        <v>2128.2199999999998</v>
      </c>
      <c r="H291" s="2">
        <v>23</v>
      </c>
      <c r="I291" s="2">
        <v>92</v>
      </c>
      <c r="J291" s="2">
        <v>366.91</v>
      </c>
      <c r="K291" s="2">
        <v>8.2799999999999994</v>
      </c>
      <c r="L291" s="2">
        <v>2618.41</v>
      </c>
      <c r="M291" s="2">
        <v>2448.77</v>
      </c>
      <c r="N291" s="5">
        <v>0.48330000000000001</v>
      </c>
      <c r="O291" s="3">
        <v>3.87</v>
      </c>
      <c r="P291" s="8" t="s">
        <v>27</v>
      </c>
    </row>
    <row r="292" spans="1:16" x14ac:dyDescent="0.35">
      <c r="A292" s="7">
        <v>290</v>
      </c>
      <c r="B292" s="4" t="s">
        <v>344</v>
      </c>
      <c r="C292" s="4" t="s">
        <v>102</v>
      </c>
      <c r="D292" s="1">
        <v>6</v>
      </c>
      <c r="E292" s="1">
        <v>6</v>
      </c>
      <c r="F292" s="2">
        <v>5064</v>
      </c>
      <c r="G292" s="2">
        <v>2886.48</v>
      </c>
      <c r="H292" s="2">
        <v>13.5</v>
      </c>
      <c r="I292" s="2">
        <v>39</v>
      </c>
      <c r="J292" s="2">
        <v>315.95</v>
      </c>
      <c r="K292" s="2">
        <v>2.16</v>
      </c>
      <c r="L292" s="2">
        <v>3257.09</v>
      </c>
      <c r="M292" s="2">
        <v>1806.91</v>
      </c>
      <c r="N292" s="5">
        <v>0.35680000000000001</v>
      </c>
      <c r="O292" s="3">
        <v>4.83</v>
      </c>
      <c r="P292" s="8" t="s">
        <v>18</v>
      </c>
    </row>
    <row r="293" spans="1:16" x14ac:dyDescent="0.35">
      <c r="A293" s="7">
        <v>291</v>
      </c>
      <c r="B293" s="4" t="s">
        <v>345</v>
      </c>
      <c r="C293" s="4" t="s">
        <v>23</v>
      </c>
      <c r="D293" s="1">
        <v>4</v>
      </c>
      <c r="E293" s="1">
        <v>3</v>
      </c>
      <c r="F293" s="2">
        <v>5040</v>
      </c>
      <c r="G293" s="2">
        <v>2872.8</v>
      </c>
      <c r="H293" s="2">
        <v>9</v>
      </c>
      <c r="I293" s="2">
        <v>30</v>
      </c>
      <c r="J293" s="2">
        <v>223.47</v>
      </c>
      <c r="K293" s="2">
        <v>3.6</v>
      </c>
      <c r="L293" s="2">
        <v>3138.87</v>
      </c>
      <c r="M293" s="2">
        <v>1901.13</v>
      </c>
      <c r="N293" s="5">
        <v>0.37719999999999998</v>
      </c>
      <c r="O293" s="3">
        <v>4.5</v>
      </c>
      <c r="P293" s="8" t="s">
        <v>18</v>
      </c>
    </row>
    <row r="294" spans="1:16" x14ac:dyDescent="0.35">
      <c r="A294" s="7">
        <v>292</v>
      </c>
      <c r="B294" s="4" t="s">
        <v>346</v>
      </c>
      <c r="C294" s="4" t="s">
        <v>102</v>
      </c>
      <c r="D294" s="1">
        <v>26</v>
      </c>
      <c r="E294" s="1">
        <v>24</v>
      </c>
      <c r="F294" s="2">
        <v>5018</v>
      </c>
      <c r="G294" s="2">
        <v>2860.26</v>
      </c>
      <c r="H294" s="2">
        <v>58.5</v>
      </c>
      <c r="I294" s="2">
        <v>156</v>
      </c>
      <c r="J294" s="2">
        <v>536.4</v>
      </c>
      <c r="K294" s="2">
        <v>9.36</v>
      </c>
      <c r="L294" s="2">
        <v>3620.52</v>
      </c>
      <c r="M294" s="2">
        <v>1397.48</v>
      </c>
      <c r="N294" s="5">
        <v>0.27850000000000003</v>
      </c>
      <c r="O294" s="3">
        <v>4.6500000000000004</v>
      </c>
      <c r="P294" s="8" t="s">
        <v>18</v>
      </c>
    </row>
    <row r="295" spans="1:16" x14ac:dyDescent="0.35">
      <c r="A295" s="7">
        <v>293</v>
      </c>
      <c r="B295" s="4" t="s">
        <v>347</v>
      </c>
      <c r="C295" s="4" t="s">
        <v>23</v>
      </c>
      <c r="D295" s="1">
        <v>71</v>
      </c>
      <c r="E295" s="1">
        <v>62</v>
      </c>
      <c r="F295" s="2">
        <v>5010.3999999999996</v>
      </c>
      <c r="G295" s="2">
        <v>2855.93</v>
      </c>
      <c r="H295" s="2">
        <v>159.75</v>
      </c>
      <c r="I295" s="2">
        <v>620</v>
      </c>
      <c r="J295" s="2">
        <v>1186.74</v>
      </c>
      <c r="K295" s="2">
        <v>63.9</v>
      </c>
      <c r="L295" s="2">
        <v>4886.32</v>
      </c>
      <c r="M295" s="2">
        <v>124.08</v>
      </c>
      <c r="N295" s="5">
        <v>2.4799999999999999E-2</v>
      </c>
      <c r="O295" s="3">
        <v>4.01</v>
      </c>
      <c r="P295" s="8" t="s">
        <v>24</v>
      </c>
    </row>
    <row r="296" spans="1:16" x14ac:dyDescent="0.35">
      <c r="A296" s="7">
        <v>294</v>
      </c>
      <c r="B296" s="4" t="s">
        <v>348</v>
      </c>
      <c r="C296" s="4" t="s">
        <v>21</v>
      </c>
      <c r="D296" s="1">
        <v>8</v>
      </c>
      <c r="E296" s="1">
        <v>6</v>
      </c>
      <c r="F296" s="2">
        <v>5005</v>
      </c>
      <c r="G296" s="2">
        <v>2852.85</v>
      </c>
      <c r="H296" s="2">
        <v>18</v>
      </c>
      <c r="I296" s="2">
        <v>60</v>
      </c>
      <c r="J296" s="2">
        <v>436.24</v>
      </c>
      <c r="K296" s="2">
        <v>7.2</v>
      </c>
      <c r="L296" s="2">
        <v>3374.29</v>
      </c>
      <c r="M296" s="2">
        <v>1630.71</v>
      </c>
      <c r="N296" s="5">
        <v>0.32579999999999998</v>
      </c>
      <c r="O296" s="3">
        <v>3.25</v>
      </c>
      <c r="P296" s="8" t="s">
        <v>27</v>
      </c>
    </row>
    <row r="297" spans="1:16" x14ac:dyDescent="0.35">
      <c r="A297" s="7">
        <v>295</v>
      </c>
      <c r="B297" s="4" t="s">
        <v>349</v>
      </c>
      <c r="C297" s="4" t="s">
        <v>44</v>
      </c>
      <c r="D297" s="1">
        <v>4</v>
      </c>
      <c r="E297" s="1">
        <v>4</v>
      </c>
      <c r="F297" s="2">
        <v>5000</v>
      </c>
      <c r="G297" s="2">
        <v>2250</v>
      </c>
      <c r="H297" s="2">
        <v>20</v>
      </c>
      <c r="I297" s="2">
        <v>40</v>
      </c>
      <c r="J297" s="2">
        <v>157.81</v>
      </c>
      <c r="K297" s="2">
        <v>1.44</v>
      </c>
      <c r="L297" s="2">
        <v>2469.25</v>
      </c>
      <c r="M297" s="2">
        <v>2530.75</v>
      </c>
      <c r="N297" s="5">
        <v>0.50619999999999998</v>
      </c>
      <c r="O297" s="3">
        <v>2.33</v>
      </c>
      <c r="P297" s="8" t="s">
        <v>24</v>
      </c>
    </row>
    <row r="298" spans="1:16" x14ac:dyDescent="0.35">
      <c r="A298" s="7">
        <v>296</v>
      </c>
      <c r="B298" s="4" t="s">
        <v>350</v>
      </c>
      <c r="C298" s="4" t="s">
        <v>34</v>
      </c>
      <c r="D298" s="1">
        <v>2</v>
      </c>
      <c r="E298" s="1">
        <v>2</v>
      </c>
      <c r="F298" s="2">
        <v>4998.8999999999996</v>
      </c>
      <c r="G298" s="2">
        <v>2099.54</v>
      </c>
      <c r="H298" s="2">
        <v>2</v>
      </c>
      <c r="I298" s="2">
        <v>8</v>
      </c>
      <c r="J298" s="2">
        <v>44.76</v>
      </c>
      <c r="K298" s="2">
        <v>0.72</v>
      </c>
      <c r="L298" s="2">
        <v>2155.02</v>
      </c>
      <c r="M298" s="2">
        <v>2843.88</v>
      </c>
      <c r="N298" s="5">
        <v>0.56889999999999996</v>
      </c>
      <c r="O298" s="3">
        <v>5</v>
      </c>
      <c r="P298" s="8" t="s">
        <v>18</v>
      </c>
    </row>
    <row r="299" spans="1:16" x14ac:dyDescent="0.35">
      <c r="A299" s="7">
        <v>297</v>
      </c>
      <c r="B299" s="4" t="s">
        <v>351</v>
      </c>
      <c r="C299" s="4" t="s">
        <v>102</v>
      </c>
      <c r="D299" s="1">
        <v>5</v>
      </c>
      <c r="E299" s="1">
        <v>5</v>
      </c>
      <c r="F299" s="2">
        <v>4990</v>
      </c>
      <c r="G299" s="2">
        <v>2844.3</v>
      </c>
      <c r="H299" s="2">
        <v>11.25</v>
      </c>
      <c r="I299" s="2">
        <v>32.5</v>
      </c>
      <c r="J299" s="2">
        <v>214.98</v>
      </c>
      <c r="K299" s="2">
        <v>1.8</v>
      </c>
      <c r="L299" s="2">
        <v>3104.83</v>
      </c>
      <c r="M299" s="2">
        <v>1885.17</v>
      </c>
      <c r="N299" s="5">
        <v>0.37780000000000002</v>
      </c>
      <c r="O299" s="3">
        <v>4.4000000000000004</v>
      </c>
      <c r="P299" s="8" t="s">
        <v>18</v>
      </c>
    </row>
    <row r="300" spans="1:16" x14ac:dyDescent="0.35">
      <c r="A300" s="7">
        <v>298</v>
      </c>
      <c r="B300" s="4" t="s">
        <v>352</v>
      </c>
      <c r="C300" s="4" t="s">
        <v>148</v>
      </c>
      <c r="D300" s="1">
        <v>13</v>
      </c>
      <c r="E300" s="1">
        <v>13</v>
      </c>
      <c r="F300" s="2">
        <v>4970</v>
      </c>
      <c r="G300" s="2">
        <v>2087.4</v>
      </c>
      <c r="H300" s="2">
        <v>29.25</v>
      </c>
      <c r="I300" s="2">
        <v>84.5</v>
      </c>
      <c r="J300" s="2">
        <v>264.83999999999997</v>
      </c>
      <c r="K300" s="2">
        <v>4.68</v>
      </c>
      <c r="L300" s="2">
        <v>2470.67</v>
      </c>
      <c r="M300" s="2">
        <v>2499.33</v>
      </c>
      <c r="N300" s="5">
        <v>0.50290000000000001</v>
      </c>
      <c r="O300" s="3">
        <v>4.3099999999999996</v>
      </c>
      <c r="P300" s="8" t="s">
        <v>18</v>
      </c>
    </row>
    <row r="301" spans="1:16" x14ac:dyDescent="0.35">
      <c r="A301" s="7">
        <v>299</v>
      </c>
      <c r="B301" s="4" t="s">
        <v>353</v>
      </c>
      <c r="C301" s="4" t="s">
        <v>17</v>
      </c>
      <c r="D301" s="1">
        <v>4</v>
      </c>
      <c r="E301" s="1">
        <v>4</v>
      </c>
      <c r="F301" s="2">
        <v>4960</v>
      </c>
      <c r="G301" s="2">
        <v>2083.1999999999998</v>
      </c>
      <c r="H301" s="2">
        <v>4</v>
      </c>
      <c r="I301" s="2">
        <v>16</v>
      </c>
      <c r="J301" s="2">
        <v>299.36</v>
      </c>
      <c r="K301" s="2">
        <v>1.44</v>
      </c>
      <c r="L301" s="2">
        <v>2404</v>
      </c>
      <c r="M301" s="2">
        <v>2556</v>
      </c>
      <c r="N301" s="5">
        <v>0.51529999999999998</v>
      </c>
      <c r="O301" s="3">
        <v>4.75</v>
      </c>
      <c r="P301" s="8" t="s">
        <v>18</v>
      </c>
    </row>
    <row r="302" spans="1:16" x14ac:dyDescent="0.35">
      <c r="A302" s="7">
        <v>300</v>
      </c>
      <c r="B302" s="4" t="s">
        <v>354</v>
      </c>
      <c r="C302" s="4" t="s">
        <v>98</v>
      </c>
      <c r="D302" s="1">
        <v>16</v>
      </c>
      <c r="E302" s="1">
        <v>14</v>
      </c>
      <c r="F302" s="2">
        <v>4938.3999999999996</v>
      </c>
      <c r="G302" s="2">
        <v>2222.2800000000002</v>
      </c>
      <c r="H302" s="2">
        <v>80</v>
      </c>
      <c r="I302" s="2">
        <v>140</v>
      </c>
      <c r="J302" s="2">
        <v>845.2</v>
      </c>
      <c r="K302" s="2">
        <v>5.76</v>
      </c>
      <c r="L302" s="2">
        <v>3293.24</v>
      </c>
      <c r="M302" s="2">
        <v>1645.16</v>
      </c>
      <c r="N302" s="5">
        <v>0.33310000000000001</v>
      </c>
      <c r="O302" s="3">
        <v>3.6</v>
      </c>
      <c r="P302" s="8" t="s">
        <v>27</v>
      </c>
    </row>
    <row r="303" spans="1:16" x14ac:dyDescent="0.35">
      <c r="A303" s="7">
        <v>301</v>
      </c>
      <c r="B303" s="4" t="s">
        <v>355</v>
      </c>
      <c r="C303" s="4" t="s">
        <v>148</v>
      </c>
      <c r="D303" s="1">
        <v>71</v>
      </c>
      <c r="E303" s="1">
        <v>65</v>
      </c>
      <c r="F303" s="2">
        <v>4932.8999999999996</v>
      </c>
      <c r="G303" s="2">
        <v>2071.8200000000002</v>
      </c>
      <c r="H303" s="2">
        <v>159.75</v>
      </c>
      <c r="I303" s="2">
        <v>422.5</v>
      </c>
      <c r="J303" s="2">
        <v>1352.11</v>
      </c>
      <c r="K303" s="2">
        <v>25.56</v>
      </c>
      <c r="L303" s="2">
        <v>4031.74</v>
      </c>
      <c r="M303" s="2">
        <v>901.16</v>
      </c>
      <c r="N303" s="5">
        <v>0.1827</v>
      </c>
      <c r="O303" s="3">
        <v>3.97</v>
      </c>
      <c r="P303" s="8" t="s">
        <v>27</v>
      </c>
    </row>
    <row r="304" spans="1:16" x14ac:dyDescent="0.35">
      <c r="A304" s="7">
        <v>302</v>
      </c>
      <c r="B304" s="4" t="s">
        <v>356</v>
      </c>
      <c r="C304" s="4" t="s">
        <v>157</v>
      </c>
      <c r="D304" s="1">
        <v>29</v>
      </c>
      <c r="E304" s="1">
        <v>27</v>
      </c>
      <c r="F304" s="2">
        <v>4931</v>
      </c>
      <c r="G304" s="2">
        <v>1972.4</v>
      </c>
      <c r="H304" s="2">
        <v>29</v>
      </c>
      <c r="I304" s="2">
        <v>108</v>
      </c>
      <c r="J304" s="2">
        <v>1054.79</v>
      </c>
      <c r="K304" s="2">
        <v>2.9</v>
      </c>
      <c r="L304" s="2">
        <v>3167.09</v>
      </c>
      <c r="M304" s="2">
        <v>1763.91</v>
      </c>
      <c r="N304" s="5">
        <v>0.35770000000000002</v>
      </c>
      <c r="O304" s="3">
        <v>4.17</v>
      </c>
      <c r="P304" s="8" t="s">
        <v>18</v>
      </c>
    </row>
    <row r="305" spans="1:16" x14ac:dyDescent="0.35">
      <c r="A305" s="7">
        <v>303</v>
      </c>
      <c r="B305" s="4" t="s">
        <v>357</v>
      </c>
      <c r="C305" s="4" t="s">
        <v>148</v>
      </c>
      <c r="D305" s="1">
        <v>3</v>
      </c>
      <c r="E305" s="1">
        <v>3</v>
      </c>
      <c r="F305" s="2">
        <v>4929</v>
      </c>
      <c r="G305" s="2">
        <v>2070.1799999999998</v>
      </c>
      <c r="H305" s="2">
        <v>6.75</v>
      </c>
      <c r="I305" s="2">
        <v>19.5</v>
      </c>
      <c r="J305" s="2">
        <v>102.86</v>
      </c>
      <c r="K305" s="2">
        <v>1.08</v>
      </c>
      <c r="L305" s="2">
        <v>2200.37</v>
      </c>
      <c r="M305" s="2">
        <v>2728.63</v>
      </c>
      <c r="N305" s="5">
        <v>0.55359999999999998</v>
      </c>
      <c r="O305" s="3">
        <v>2</v>
      </c>
      <c r="P305" s="8" t="s">
        <v>24</v>
      </c>
    </row>
    <row r="306" spans="1:16" x14ac:dyDescent="0.35">
      <c r="A306" s="7">
        <v>304</v>
      </c>
      <c r="B306" s="4" t="s">
        <v>358</v>
      </c>
      <c r="C306" s="4" t="s">
        <v>34</v>
      </c>
      <c r="D306" s="1">
        <v>8</v>
      </c>
      <c r="E306" s="1">
        <v>8</v>
      </c>
      <c r="F306" s="2">
        <v>4919.3500000000004</v>
      </c>
      <c r="G306" s="2">
        <v>2066.13</v>
      </c>
      <c r="H306" s="2">
        <v>8</v>
      </c>
      <c r="I306" s="2">
        <v>32</v>
      </c>
      <c r="J306" s="2">
        <v>191.4</v>
      </c>
      <c r="K306" s="2">
        <v>2.88</v>
      </c>
      <c r="L306" s="2">
        <v>2300.41</v>
      </c>
      <c r="M306" s="2">
        <v>2618.94</v>
      </c>
      <c r="N306" s="5">
        <v>0.53239999999999998</v>
      </c>
      <c r="O306" s="3">
        <v>4.13</v>
      </c>
      <c r="P306" s="8" t="s">
        <v>18</v>
      </c>
    </row>
    <row r="307" spans="1:16" x14ac:dyDescent="0.35">
      <c r="A307" s="7">
        <v>305</v>
      </c>
      <c r="B307" s="4" t="s">
        <v>359</v>
      </c>
      <c r="C307" s="4" t="s">
        <v>32</v>
      </c>
      <c r="D307" s="1">
        <v>6</v>
      </c>
      <c r="E307" s="1">
        <v>6</v>
      </c>
      <c r="F307" s="2">
        <v>4918</v>
      </c>
      <c r="G307" s="2">
        <v>2213.1</v>
      </c>
      <c r="H307" s="2">
        <v>6</v>
      </c>
      <c r="I307" s="2">
        <v>24</v>
      </c>
      <c r="J307" s="2">
        <v>184.26</v>
      </c>
      <c r="K307" s="2">
        <v>2.16</v>
      </c>
      <c r="L307" s="2">
        <v>2429.52</v>
      </c>
      <c r="M307" s="2">
        <v>2488.48</v>
      </c>
      <c r="N307" s="5">
        <v>0.50600000000000001</v>
      </c>
      <c r="O307" s="3">
        <v>3.83</v>
      </c>
      <c r="P307" s="8" t="s">
        <v>27</v>
      </c>
    </row>
    <row r="308" spans="1:16" x14ac:dyDescent="0.35">
      <c r="A308" s="7">
        <v>306</v>
      </c>
      <c r="B308" s="4" t="s">
        <v>360</v>
      </c>
      <c r="C308" s="4" t="s">
        <v>34</v>
      </c>
      <c r="D308" s="1">
        <v>28</v>
      </c>
      <c r="E308" s="1">
        <v>28</v>
      </c>
      <c r="F308" s="2">
        <v>4868.5600000000004</v>
      </c>
      <c r="G308" s="2">
        <v>2044.8</v>
      </c>
      <c r="H308" s="2">
        <v>28</v>
      </c>
      <c r="I308" s="2">
        <v>112</v>
      </c>
      <c r="J308" s="2">
        <v>441.47</v>
      </c>
      <c r="K308" s="2">
        <v>10.08</v>
      </c>
      <c r="L308" s="2">
        <v>2636.35</v>
      </c>
      <c r="M308" s="2">
        <v>2232.21</v>
      </c>
      <c r="N308" s="5">
        <v>0.45850000000000002</v>
      </c>
      <c r="O308" s="3">
        <v>4.04</v>
      </c>
      <c r="P308" s="8" t="s">
        <v>18</v>
      </c>
    </row>
    <row r="309" spans="1:16" x14ac:dyDescent="0.35">
      <c r="A309" s="7">
        <v>307</v>
      </c>
      <c r="B309" s="4" t="s">
        <v>361</v>
      </c>
      <c r="C309" s="4" t="s">
        <v>57</v>
      </c>
      <c r="D309" s="1">
        <v>35</v>
      </c>
      <c r="E309" s="1">
        <v>34</v>
      </c>
      <c r="F309" s="2">
        <v>4865</v>
      </c>
      <c r="G309" s="2">
        <v>2189.25</v>
      </c>
      <c r="H309" s="2">
        <v>78.75</v>
      </c>
      <c r="I309" s="2">
        <v>221</v>
      </c>
      <c r="J309" s="2">
        <v>828.88</v>
      </c>
      <c r="K309" s="2">
        <v>12.6</v>
      </c>
      <c r="L309" s="2">
        <v>3330.48</v>
      </c>
      <c r="M309" s="2">
        <v>1534.52</v>
      </c>
      <c r="N309" s="5">
        <v>0.31540000000000001</v>
      </c>
      <c r="O309" s="3">
        <v>4.0599999999999996</v>
      </c>
      <c r="P309" s="8" t="s">
        <v>18</v>
      </c>
    </row>
    <row r="310" spans="1:16" x14ac:dyDescent="0.35">
      <c r="A310" s="7">
        <v>308</v>
      </c>
      <c r="B310" s="4" t="s">
        <v>362</v>
      </c>
      <c r="C310" s="4" t="s">
        <v>116</v>
      </c>
      <c r="D310" s="1">
        <v>66</v>
      </c>
      <c r="E310" s="1">
        <v>58</v>
      </c>
      <c r="F310" s="2">
        <v>4826.53</v>
      </c>
      <c r="G310" s="2">
        <v>2027.14</v>
      </c>
      <c r="H310" s="2">
        <v>66</v>
      </c>
      <c r="I310" s="2">
        <v>232</v>
      </c>
      <c r="J310" s="2">
        <v>1204</v>
      </c>
      <c r="K310" s="2">
        <v>23.76</v>
      </c>
      <c r="L310" s="2">
        <v>3552.9</v>
      </c>
      <c r="M310" s="2">
        <v>1273.6300000000001</v>
      </c>
      <c r="N310" s="5">
        <v>0.26390000000000002</v>
      </c>
      <c r="O310" s="3">
        <v>3.77</v>
      </c>
      <c r="P310" s="8" t="s">
        <v>27</v>
      </c>
    </row>
    <row r="311" spans="1:16" x14ac:dyDescent="0.35">
      <c r="A311" s="7">
        <v>309</v>
      </c>
      <c r="B311" s="4" t="s">
        <v>363</v>
      </c>
      <c r="C311" s="4" t="s">
        <v>17</v>
      </c>
      <c r="D311" s="1">
        <v>11</v>
      </c>
      <c r="E311" s="1">
        <v>11</v>
      </c>
      <c r="F311" s="2">
        <v>4811.5600000000004</v>
      </c>
      <c r="G311" s="2">
        <v>2020.86</v>
      </c>
      <c r="H311" s="2">
        <v>11</v>
      </c>
      <c r="I311" s="2">
        <v>44</v>
      </c>
      <c r="J311" s="2">
        <v>457.83</v>
      </c>
      <c r="K311" s="2">
        <v>3.96</v>
      </c>
      <c r="L311" s="2">
        <v>2537.65</v>
      </c>
      <c r="M311" s="2">
        <v>2273.91</v>
      </c>
      <c r="N311" s="5">
        <v>0.47259999999999996</v>
      </c>
      <c r="O311" s="3">
        <v>4.6399999999999997</v>
      </c>
      <c r="P311" s="8" t="s">
        <v>18</v>
      </c>
    </row>
    <row r="312" spans="1:16" x14ac:dyDescent="0.35">
      <c r="A312" s="7">
        <v>310</v>
      </c>
      <c r="B312" s="4" t="s">
        <v>364</v>
      </c>
      <c r="C312" s="4" t="s">
        <v>148</v>
      </c>
      <c r="D312" s="1">
        <v>40</v>
      </c>
      <c r="E312" s="1">
        <v>39</v>
      </c>
      <c r="F312" s="2">
        <v>4800</v>
      </c>
      <c r="G312" s="2">
        <v>2016</v>
      </c>
      <c r="H312" s="2">
        <v>90</v>
      </c>
      <c r="I312" s="2">
        <v>253.5</v>
      </c>
      <c r="J312" s="2">
        <v>532.69000000000005</v>
      </c>
      <c r="K312" s="2">
        <v>14.4</v>
      </c>
      <c r="L312" s="2">
        <v>2906.59</v>
      </c>
      <c r="M312" s="2">
        <v>1893.41</v>
      </c>
      <c r="N312" s="5">
        <v>0.39450000000000002</v>
      </c>
      <c r="O312" s="3">
        <v>3.85</v>
      </c>
      <c r="P312" s="8" t="s">
        <v>27</v>
      </c>
    </row>
    <row r="313" spans="1:16" x14ac:dyDescent="0.35">
      <c r="A313" s="7">
        <v>311</v>
      </c>
      <c r="B313" s="4" t="s">
        <v>365</v>
      </c>
      <c r="C313" s="4" t="s">
        <v>23</v>
      </c>
      <c r="D313" s="1">
        <v>3</v>
      </c>
      <c r="E313" s="1">
        <v>3</v>
      </c>
      <c r="F313" s="2">
        <v>4799.87</v>
      </c>
      <c r="G313" s="2">
        <v>2735.93</v>
      </c>
      <c r="H313" s="2">
        <v>6.75</v>
      </c>
      <c r="I313" s="2">
        <v>30</v>
      </c>
      <c r="J313" s="2">
        <v>74.489999999999995</v>
      </c>
      <c r="K313" s="2">
        <v>2.7</v>
      </c>
      <c r="L313" s="2">
        <v>2849.87</v>
      </c>
      <c r="M313" s="2">
        <v>1950</v>
      </c>
      <c r="N313" s="5">
        <v>0.40630000000000005</v>
      </c>
      <c r="O313" s="3">
        <v>3.67</v>
      </c>
      <c r="P313" s="8" t="s">
        <v>27</v>
      </c>
    </row>
    <row r="314" spans="1:16" x14ac:dyDescent="0.35">
      <c r="A314" s="7">
        <v>312</v>
      </c>
      <c r="B314" s="4" t="s">
        <v>366</v>
      </c>
      <c r="C314" s="4" t="s">
        <v>102</v>
      </c>
      <c r="D314" s="1">
        <v>1</v>
      </c>
      <c r="E314" s="1">
        <v>1</v>
      </c>
      <c r="F314" s="2">
        <v>4799</v>
      </c>
      <c r="G314" s="2">
        <v>2735.43</v>
      </c>
      <c r="H314" s="2">
        <v>2.25</v>
      </c>
      <c r="I314" s="2">
        <v>6.5</v>
      </c>
      <c r="J314" s="2">
        <v>151.34</v>
      </c>
      <c r="K314" s="2">
        <v>0.36</v>
      </c>
      <c r="L314" s="2">
        <v>2895.88</v>
      </c>
      <c r="M314" s="2">
        <v>1903.12</v>
      </c>
      <c r="N314" s="5">
        <v>0.39659999999999995</v>
      </c>
      <c r="O314" s="3">
        <v>5</v>
      </c>
      <c r="P314" s="8" t="s">
        <v>18</v>
      </c>
    </row>
    <row r="315" spans="1:16" x14ac:dyDescent="0.35">
      <c r="A315" s="7">
        <v>313</v>
      </c>
      <c r="B315" s="4" t="s">
        <v>367</v>
      </c>
      <c r="C315" s="4" t="s">
        <v>148</v>
      </c>
      <c r="D315" s="1">
        <v>3</v>
      </c>
      <c r="E315" s="1">
        <v>3</v>
      </c>
      <c r="F315" s="2">
        <v>4797</v>
      </c>
      <c r="G315" s="2">
        <v>2014.74</v>
      </c>
      <c r="H315" s="2">
        <v>6.75</v>
      </c>
      <c r="I315" s="2">
        <v>19.5</v>
      </c>
      <c r="J315" s="2">
        <v>300.69</v>
      </c>
      <c r="K315" s="2">
        <v>1.08</v>
      </c>
      <c r="L315" s="2">
        <v>2342.7600000000002</v>
      </c>
      <c r="M315" s="2">
        <v>2454.2399999999998</v>
      </c>
      <c r="N315" s="5">
        <v>0.51159999999999994</v>
      </c>
      <c r="O315" s="3">
        <v>2.33</v>
      </c>
      <c r="P315" s="8" t="s">
        <v>24</v>
      </c>
    </row>
    <row r="316" spans="1:16" x14ac:dyDescent="0.35">
      <c r="A316" s="7">
        <v>314</v>
      </c>
      <c r="B316" s="4" t="s">
        <v>368</v>
      </c>
      <c r="C316" s="4" t="s">
        <v>64</v>
      </c>
      <c r="D316" s="1">
        <v>3</v>
      </c>
      <c r="E316" s="1">
        <v>2</v>
      </c>
      <c r="F316" s="2">
        <v>4797</v>
      </c>
      <c r="G316" s="2">
        <v>2734.29</v>
      </c>
      <c r="H316" s="2">
        <v>3</v>
      </c>
      <c r="I316" s="2">
        <v>8</v>
      </c>
      <c r="J316" s="2">
        <v>87.21</v>
      </c>
      <c r="K316" s="2">
        <v>1.08</v>
      </c>
      <c r="L316" s="2">
        <v>2833.58</v>
      </c>
      <c r="M316" s="2">
        <v>1963.42</v>
      </c>
      <c r="N316" s="5">
        <v>0.4093</v>
      </c>
      <c r="O316" s="3">
        <v>1.67</v>
      </c>
      <c r="P316" s="8" t="s">
        <v>24</v>
      </c>
    </row>
    <row r="317" spans="1:16" x14ac:dyDescent="0.35">
      <c r="A317" s="7">
        <v>315</v>
      </c>
      <c r="B317" s="4" t="s">
        <v>369</v>
      </c>
      <c r="C317" s="4" t="s">
        <v>44</v>
      </c>
      <c r="D317" s="1">
        <v>48</v>
      </c>
      <c r="E317" s="1">
        <v>48</v>
      </c>
      <c r="F317" s="2">
        <v>4795.2</v>
      </c>
      <c r="G317" s="2">
        <v>2157.84</v>
      </c>
      <c r="H317" s="2">
        <v>240</v>
      </c>
      <c r="I317" s="2">
        <v>480</v>
      </c>
      <c r="J317" s="2">
        <v>1028.32</v>
      </c>
      <c r="K317" s="2">
        <v>17.28</v>
      </c>
      <c r="L317" s="2">
        <v>3923.44</v>
      </c>
      <c r="M317" s="2">
        <v>871.76</v>
      </c>
      <c r="N317" s="5">
        <v>0.18179999999999999</v>
      </c>
      <c r="O317" s="3">
        <v>4.29</v>
      </c>
      <c r="P317" s="8" t="s">
        <v>27</v>
      </c>
    </row>
    <row r="318" spans="1:16" x14ac:dyDescent="0.35">
      <c r="A318" s="7">
        <v>316</v>
      </c>
      <c r="B318" s="4" t="s">
        <v>370</v>
      </c>
      <c r="C318" s="4" t="s">
        <v>21</v>
      </c>
      <c r="D318" s="1">
        <v>8</v>
      </c>
      <c r="E318" s="1">
        <v>6</v>
      </c>
      <c r="F318" s="2">
        <v>4792</v>
      </c>
      <c r="G318" s="2">
        <v>2731.44</v>
      </c>
      <c r="H318" s="2">
        <v>18</v>
      </c>
      <c r="I318" s="2">
        <v>60</v>
      </c>
      <c r="J318" s="2">
        <v>407.95</v>
      </c>
      <c r="K318" s="2">
        <v>7.2</v>
      </c>
      <c r="L318" s="2">
        <v>3224.59</v>
      </c>
      <c r="M318" s="2">
        <v>1567.41</v>
      </c>
      <c r="N318" s="5">
        <v>0.3271</v>
      </c>
      <c r="O318" s="3">
        <v>4.25</v>
      </c>
      <c r="P318" s="8" t="s">
        <v>18</v>
      </c>
    </row>
    <row r="319" spans="1:16" x14ac:dyDescent="0.35">
      <c r="A319" s="7">
        <v>317</v>
      </c>
      <c r="B319" s="4" t="s">
        <v>371</v>
      </c>
      <c r="C319" s="4" t="s">
        <v>104</v>
      </c>
      <c r="D319" s="1">
        <v>86</v>
      </c>
      <c r="E319" s="1">
        <v>83</v>
      </c>
      <c r="F319" s="2">
        <v>4789.3999999999996</v>
      </c>
      <c r="G319" s="2">
        <v>2011.55</v>
      </c>
      <c r="H319" s="2">
        <v>86</v>
      </c>
      <c r="I319" s="2">
        <v>332</v>
      </c>
      <c r="J319" s="2">
        <v>1233.07</v>
      </c>
      <c r="K319" s="2">
        <v>30.96</v>
      </c>
      <c r="L319" s="2">
        <v>3693.58</v>
      </c>
      <c r="M319" s="2">
        <v>1095.82</v>
      </c>
      <c r="N319" s="5">
        <v>0.2288</v>
      </c>
      <c r="O319" s="3">
        <v>4.29</v>
      </c>
      <c r="P319" s="8" t="s">
        <v>27</v>
      </c>
    </row>
    <row r="320" spans="1:16" x14ac:dyDescent="0.35">
      <c r="A320" s="7">
        <v>318</v>
      </c>
      <c r="B320" s="4" t="s">
        <v>372</v>
      </c>
      <c r="C320" s="4" t="s">
        <v>87</v>
      </c>
      <c r="D320" s="1">
        <v>18</v>
      </c>
      <c r="E320" s="1">
        <v>18</v>
      </c>
      <c r="F320" s="2">
        <v>4770</v>
      </c>
      <c r="G320" s="2">
        <v>2146.5</v>
      </c>
      <c r="H320" s="2">
        <v>40.5</v>
      </c>
      <c r="I320" s="2">
        <v>117</v>
      </c>
      <c r="J320" s="2">
        <v>931.32</v>
      </c>
      <c r="K320" s="2">
        <v>6.48</v>
      </c>
      <c r="L320" s="2">
        <v>3241.8</v>
      </c>
      <c r="M320" s="2">
        <v>1528.2</v>
      </c>
      <c r="N320" s="5">
        <v>0.32040000000000002</v>
      </c>
      <c r="O320" s="3">
        <v>3.67</v>
      </c>
      <c r="P320" s="8" t="s">
        <v>27</v>
      </c>
    </row>
    <row r="321" spans="1:16" x14ac:dyDescent="0.35">
      <c r="A321" s="7">
        <v>319</v>
      </c>
      <c r="B321" s="4" t="s">
        <v>373</v>
      </c>
      <c r="C321" s="4" t="s">
        <v>23</v>
      </c>
      <c r="D321" s="1">
        <v>35</v>
      </c>
      <c r="E321" s="1">
        <v>33</v>
      </c>
      <c r="F321" s="2">
        <v>4763.5</v>
      </c>
      <c r="G321" s="2">
        <v>2715.2</v>
      </c>
      <c r="H321" s="2">
        <v>78.75</v>
      </c>
      <c r="I321" s="2">
        <v>330</v>
      </c>
      <c r="J321" s="2">
        <v>594.97</v>
      </c>
      <c r="K321" s="2">
        <v>31.5</v>
      </c>
      <c r="L321" s="2">
        <v>3750.42</v>
      </c>
      <c r="M321" s="2">
        <v>1013.08</v>
      </c>
      <c r="N321" s="5">
        <v>0.2127</v>
      </c>
      <c r="O321" s="3">
        <v>3.71</v>
      </c>
      <c r="P321" s="8" t="s">
        <v>27</v>
      </c>
    </row>
    <row r="322" spans="1:16" x14ac:dyDescent="0.35">
      <c r="A322" s="7">
        <v>320</v>
      </c>
      <c r="B322" s="4" t="s">
        <v>374</v>
      </c>
      <c r="C322" s="4" t="s">
        <v>23</v>
      </c>
      <c r="D322" s="1">
        <v>37</v>
      </c>
      <c r="E322" s="1">
        <v>36</v>
      </c>
      <c r="F322" s="2">
        <v>4753</v>
      </c>
      <c r="G322" s="2">
        <v>2709.21</v>
      </c>
      <c r="H322" s="2">
        <v>83.25</v>
      </c>
      <c r="I322" s="2">
        <v>360</v>
      </c>
      <c r="J322" s="2">
        <v>669.5</v>
      </c>
      <c r="K322" s="2">
        <v>33.299999999999997</v>
      </c>
      <c r="L322" s="2">
        <v>3855.26</v>
      </c>
      <c r="M322" s="2">
        <v>897.74</v>
      </c>
      <c r="N322" s="5">
        <v>0.18890000000000001</v>
      </c>
      <c r="O322" s="3">
        <v>4.08</v>
      </c>
      <c r="P322" s="8" t="s">
        <v>27</v>
      </c>
    </row>
    <row r="323" spans="1:16" x14ac:dyDescent="0.35">
      <c r="A323" s="7">
        <v>321</v>
      </c>
      <c r="B323" s="4" t="s">
        <v>375</v>
      </c>
      <c r="C323" s="4" t="s">
        <v>116</v>
      </c>
      <c r="D323" s="1">
        <v>7</v>
      </c>
      <c r="E323" s="1">
        <v>7</v>
      </c>
      <c r="F323" s="2">
        <v>4749.3</v>
      </c>
      <c r="G323" s="2">
        <v>1994.71</v>
      </c>
      <c r="H323" s="2">
        <v>7</v>
      </c>
      <c r="I323" s="2">
        <v>28</v>
      </c>
      <c r="J323" s="2">
        <v>200.62</v>
      </c>
      <c r="K323" s="2">
        <v>2.52</v>
      </c>
      <c r="L323" s="2">
        <v>2232.85</v>
      </c>
      <c r="M323" s="2">
        <v>2516.4499999999998</v>
      </c>
      <c r="N323" s="5">
        <v>0.52990000000000004</v>
      </c>
      <c r="O323" s="3">
        <v>4.43</v>
      </c>
      <c r="P323" s="8" t="s">
        <v>18</v>
      </c>
    </row>
    <row r="324" spans="1:16" x14ac:dyDescent="0.35">
      <c r="A324" s="7">
        <v>322</v>
      </c>
      <c r="B324" s="4" t="s">
        <v>376</v>
      </c>
      <c r="C324" s="4" t="s">
        <v>36</v>
      </c>
      <c r="D324" s="1">
        <v>19</v>
      </c>
      <c r="E324" s="1">
        <v>19</v>
      </c>
      <c r="F324" s="2">
        <v>4748.1000000000004</v>
      </c>
      <c r="G324" s="2">
        <v>2136.65</v>
      </c>
      <c r="H324" s="2">
        <v>95</v>
      </c>
      <c r="I324" s="2">
        <v>190</v>
      </c>
      <c r="J324" s="2">
        <v>1217.01</v>
      </c>
      <c r="K324" s="2">
        <v>6.84</v>
      </c>
      <c r="L324" s="2">
        <v>3645.5</v>
      </c>
      <c r="M324" s="2">
        <v>1102.5999999999999</v>
      </c>
      <c r="N324" s="5">
        <v>0.23219999999999999</v>
      </c>
      <c r="O324" s="3">
        <v>4.21</v>
      </c>
      <c r="P324" s="8" t="s">
        <v>27</v>
      </c>
    </row>
    <row r="325" spans="1:16" x14ac:dyDescent="0.35">
      <c r="A325" s="7">
        <v>323</v>
      </c>
      <c r="B325" s="4" t="s">
        <v>377</v>
      </c>
      <c r="C325" s="4" t="s">
        <v>98</v>
      </c>
      <c r="D325" s="1">
        <v>59</v>
      </c>
      <c r="E325" s="1">
        <v>27</v>
      </c>
      <c r="F325" s="2">
        <v>4739.41</v>
      </c>
      <c r="G325" s="2">
        <v>2132.73</v>
      </c>
      <c r="H325" s="2">
        <v>295</v>
      </c>
      <c r="I325" s="2">
        <v>270</v>
      </c>
      <c r="J325" s="2">
        <v>1756.31</v>
      </c>
      <c r="K325" s="2">
        <v>21.24</v>
      </c>
      <c r="L325" s="2">
        <v>4475.28</v>
      </c>
      <c r="M325" s="2">
        <v>264.13</v>
      </c>
      <c r="N325" s="5">
        <v>5.57E-2</v>
      </c>
      <c r="O325" s="3">
        <v>3.19</v>
      </c>
      <c r="P325" s="8" t="s">
        <v>24</v>
      </c>
    </row>
    <row r="326" spans="1:16" x14ac:dyDescent="0.35">
      <c r="A326" s="7">
        <v>324</v>
      </c>
      <c r="B326" s="4" t="s">
        <v>378</v>
      </c>
      <c r="C326" s="4" t="s">
        <v>116</v>
      </c>
      <c r="D326" s="1">
        <v>34</v>
      </c>
      <c r="E326" s="1">
        <v>32</v>
      </c>
      <c r="F326" s="2">
        <v>4698.7</v>
      </c>
      <c r="G326" s="2">
        <v>1973.45</v>
      </c>
      <c r="H326" s="2">
        <v>34</v>
      </c>
      <c r="I326" s="2">
        <v>128</v>
      </c>
      <c r="J326" s="2">
        <v>675.73</v>
      </c>
      <c r="K326" s="2">
        <v>12.24</v>
      </c>
      <c r="L326" s="2">
        <v>2823.42</v>
      </c>
      <c r="M326" s="2">
        <v>1875.28</v>
      </c>
      <c r="N326" s="5">
        <v>0.39909999999999995</v>
      </c>
      <c r="O326" s="3">
        <v>4.0599999999999996</v>
      </c>
      <c r="P326" s="8" t="s">
        <v>18</v>
      </c>
    </row>
    <row r="327" spans="1:16" x14ac:dyDescent="0.35">
      <c r="A327" s="7">
        <v>325</v>
      </c>
      <c r="B327" s="4" t="s">
        <v>379</v>
      </c>
      <c r="C327" s="4" t="s">
        <v>34</v>
      </c>
      <c r="D327" s="1">
        <v>21</v>
      </c>
      <c r="E327" s="1">
        <v>21</v>
      </c>
      <c r="F327" s="2">
        <v>4695.03</v>
      </c>
      <c r="G327" s="2">
        <v>1971.91</v>
      </c>
      <c r="H327" s="2">
        <v>21</v>
      </c>
      <c r="I327" s="2">
        <v>84</v>
      </c>
      <c r="J327" s="2">
        <v>408.74</v>
      </c>
      <c r="K327" s="2">
        <v>7.56</v>
      </c>
      <c r="L327" s="2">
        <v>2493.21</v>
      </c>
      <c r="M327" s="2">
        <v>2201.8200000000002</v>
      </c>
      <c r="N327" s="5">
        <v>0.46899999999999997</v>
      </c>
      <c r="O327" s="3">
        <v>4.05</v>
      </c>
      <c r="P327" s="8" t="s">
        <v>18</v>
      </c>
    </row>
    <row r="328" spans="1:16" x14ac:dyDescent="0.35">
      <c r="A328" s="7">
        <v>326</v>
      </c>
      <c r="B328" s="4" t="s">
        <v>380</v>
      </c>
      <c r="C328" s="4" t="s">
        <v>102</v>
      </c>
      <c r="D328" s="1">
        <v>1</v>
      </c>
      <c r="E328" s="1">
        <v>1</v>
      </c>
      <c r="F328" s="2">
        <v>4690</v>
      </c>
      <c r="G328" s="2">
        <v>2673.3</v>
      </c>
      <c r="H328" s="2">
        <v>2.25</v>
      </c>
      <c r="I328" s="2">
        <v>6.5</v>
      </c>
      <c r="J328" s="2">
        <v>74.34</v>
      </c>
      <c r="K328" s="2">
        <v>0.36</v>
      </c>
      <c r="L328" s="2">
        <v>2756.75</v>
      </c>
      <c r="M328" s="2">
        <v>1933.25</v>
      </c>
      <c r="N328" s="5">
        <v>0.41220000000000001</v>
      </c>
      <c r="O328" s="3">
        <v>4</v>
      </c>
      <c r="P328" s="8" t="s">
        <v>18</v>
      </c>
    </row>
    <row r="329" spans="1:16" x14ac:dyDescent="0.35">
      <c r="A329" s="7">
        <v>327</v>
      </c>
      <c r="B329" s="4" t="s">
        <v>381</v>
      </c>
      <c r="C329" s="4" t="s">
        <v>245</v>
      </c>
      <c r="D329" s="1">
        <v>9</v>
      </c>
      <c r="E329" s="1">
        <v>9</v>
      </c>
      <c r="F329" s="2">
        <v>4686.1000000000004</v>
      </c>
      <c r="G329" s="2">
        <v>1874.44</v>
      </c>
      <c r="H329" s="2">
        <v>9</v>
      </c>
      <c r="I329" s="2">
        <v>36</v>
      </c>
      <c r="J329" s="2">
        <v>176.19</v>
      </c>
      <c r="K329" s="2">
        <v>0.9</v>
      </c>
      <c r="L329" s="2">
        <v>2096.5300000000002</v>
      </c>
      <c r="M329" s="2">
        <v>2589.5700000000002</v>
      </c>
      <c r="N329" s="5">
        <v>0.55259999999999998</v>
      </c>
      <c r="O329" s="3">
        <v>4.67</v>
      </c>
      <c r="P329" s="8" t="s">
        <v>18</v>
      </c>
    </row>
    <row r="330" spans="1:16" x14ac:dyDescent="0.35">
      <c r="A330" s="7">
        <v>328</v>
      </c>
      <c r="B330" s="4" t="s">
        <v>382</v>
      </c>
      <c r="C330" s="4" t="s">
        <v>30</v>
      </c>
      <c r="D330" s="1">
        <v>21</v>
      </c>
      <c r="E330" s="1">
        <v>21</v>
      </c>
      <c r="F330" s="2">
        <v>4683</v>
      </c>
      <c r="G330" s="2">
        <v>1966.86</v>
      </c>
      <c r="H330" s="2">
        <v>21</v>
      </c>
      <c r="I330" s="2">
        <v>84</v>
      </c>
      <c r="J330" s="2">
        <v>400.32</v>
      </c>
      <c r="K330" s="2">
        <v>7.56</v>
      </c>
      <c r="L330" s="2">
        <v>2479.7399999999998</v>
      </c>
      <c r="M330" s="2">
        <v>2203.2600000000002</v>
      </c>
      <c r="N330" s="5">
        <v>0.47049999999999997</v>
      </c>
      <c r="O330" s="3">
        <v>4.43</v>
      </c>
      <c r="P330" s="8" t="s">
        <v>18</v>
      </c>
    </row>
    <row r="331" spans="1:16" x14ac:dyDescent="0.35">
      <c r="A331" s="7">
        <v>329</v>
      </c>
      <c r="B331" s="4" t="s">
        <v>383</v>
      </c>
      <c r="C331" s="4" t="s">
        <v>34</v>
      </c>
      <c r="D331" s="1">
        <v>8</v>
      </c>
      <c r="E331" s="1">
        <v>8</v>
      </c>
      <c r="F331" s="2">
        <v>4663.58</v>
      </c>
      <c r="G331" s="2">
        <v>1958.7</v>
      </c>
      <c r="H331" s="2">
        <v>8</v>
      </c>
      <c r="I331" s="2">
        <v>32</v>
      </c>
      <c r="J331" s="2">
        <v>205.18</v>
      </c>
      <c r="K331" s="2">
        <v>2.88</v>
      </c>
      <c r="L331" s="2">
        <v>2206.7600000000002</v>
      </c>
      <c r="M331" s="2">
        <v>2456.8200000000002</v>
      </c>
      <c r="N331" s="5">
        <v>0.52680000000000005</v>
      </c>
      <c r="O331" s="3">
        <v>3.5</v>
      </c>
      <c r="P331" s="8" t="s">
        <v>27</v>
      </c>
    </row>
    <row r="332" spans="1:16" x14ac:dyDescent="0.35">
      <c r="A332" s="7">
        <v>330</v>
      </c>
      <c r="B332" s="4" t="s">
        <v>384</v>
      </c>
      <c r="C332" s="4" t="s">
        <v>23</v>
      </c>
      <c r="D332" s="1">
        <v>5</v>
      </c>
      <c r="E332" s="1">
        <v>5</v>
      </c>
      <c r="F332" s="2">
        <v>4652.09</v>
      </c>
      <c r="G332" s="2">
        <v>2651.69</v>
      </c>
      <c r="H332" s="2">
        <v>11.25</v>
      </c>
      <c r="I332" s="2">
        <v>50</v>
      </c>
      <c r="J332" s="2">
        <v>150.68</v>
      </c>
      <c r="K332" s="2">
        <v>4.5</v>
      </c>
      <c r="L332" s="2">
        <v>2868.12</v>
      </c>
      <c r="M332" s="2">
        <v>1783.97</v>
      </c>
      <c r="N332" s="5">
        <v>0.38350000000000001</v>
      </c>
      <c r="O332" s="3">
        <v>4.5999999999999996</v>
      </c>
      <c r="P332" s="8" t="s">
        <v>18</v>
      </c>
    </row>
    <row r="333" spans="1:16" x14ac:dyDescent="0.35">
      <c r="A333" s="7">
        <v>331</v>
      </c>
      <c r="B333" s="4" t="s">
        <v>385</v>
      </c>
      <c r="C333" s="4" t="s">
        <v>23</v>
      </c>
      <c r="D333" s="1">
        <v>4</v>
      </c>
      <c r="E333" s="1">
        <v>4</v>
      </c>
      <c r="F333" s="2">
        <v>4649.49</v>
      </c>
      <c r="G333" s="2">
        <v>2650.21</v>
      </c>
      <c r="H333" s="2">
        <v>9</v>
      </c>
      <c r="I333" s="2">
        <v>40</v>
      </c>
      <c r="J333" s="2">
        <v>75.59</v>
      </c>
      <c r="K333" s="2">
        <v>3.6</v>
      </c>
      <c r="L333" s="2">
        <v>2778.4</v>
      </c>
      <c r="M333" s="2">
        <v>1871.09</v>
      </c>
      <c r="N333" s="5">
        <v>0.40240000000000004</v>
      </c>
      <c r="O333" s="3">
        <v>3.25</v>
      </c>
      <c r="P333" s="8" t="s">
        <v>27</v>
      </c>
    </row>
    <row r="334" spans="1:16" x14ac:dyDescent="0.35">
      <c r="A334" s="7">
        <v>332</v>
      </c>
      <c r="B334" s="4" t="s">
        <v>386</v>
      </c>
      <c r="C334" s="4" t="s">
        <v>204</v>
      </c>
      <c r="D334" s="1">
        <v>23</v>
      </c>
      <c r="E334" s="1">
        <v>23</v>
      </c>
      <c r="F334" s="2">
        <v>4649.4799999999996</v>
      </c>
      <c r="G334" s="2">
        <v>2650.2</v>
      </c>
      <c r="H334" s="2">
        <v>51.75</v>
      </c>
      <c r="I334" s="2">
        <v>149.5</v>
      </c>
      <c r="J334" s="2">
        <v>429.27</v>
      </c>
      <c r="K334" s="2">
        <v>20.7</v>
      </c>
      <c r="L334" s="2">
        <v>3301.42</v>
      </c>
      <c r="M334" s="2">
        <v>1348.06</v>
      </c>
      <c r="N334" s="5">
        <v>0.28989999999999999</v>
      </c>
      <c r="O334" s="3">
        <v>4.17</v>
      </c>
      <c r="P334" s="8" t="s">
        <v>18</v>
      </c>
    </row>
    <row r="335" spans="1:16" x14ac:dyDescent="0.35">
      <c r="A335" s="7">
        <v>333</v>
      </c>
      <c r="B335" s="4" t="s">
        <v>387</v>
      </c>
      <c r="C335" s="4" t="s">
        <v>157</v>
      </c>
      <c r="D335" s="1">
        <v>40</v>
      </c>
      <c r="E335" s="1">
        <v>40</v>
      </c>
      <c r="F335" s="2">
        <v>4646.8</v>
      </c>
      <c r="G335" s="2">
        <v>1858.72</v>
      </c>
      <c r="H335" s="2">
        <v>40</v>
      </c>
      <c r="I335" s="2">
        <v>160</v>
      </c>
      <c r="J335" s="2">
        <v>1027.26</v>
      </c>
      <c r="K335" s="2">
        <v>4</v>
      </c>
      <c r="L335" s="2">
        <v>3089.98</v>
      </c>
      <c r="M335" s="2">
        <v>1556.82</v>
      </c>
      <c r="N335" s="5">
        <v>0.33500000000000002</v>
      </c>
      <c r="O335" s="3">
        <v>4.18</v>
      </c>
      <c r="P335" s="8" t="s">
        <v>18</v>
      </c>
    </row>
    <row r="336" spans="1:16" x14ac:dyDescent="0.35">
      <c r="A336" s="7">
        <v>334</v>
      </c>
      <c r="B336" s="4" t="s">
        <v>388</v>
      </c>
      <c r="C336" s="4" t="s">
        <v>36</v>
      </c>
      <c r="D336" s="1">
        <v>22</v>
      </c>
      <c r="E336" s="1">
        <v>22</v>
      </c>
      <c r="F336" s="2">
        <v>4646.3999999999996</v>
      </c>
      <c r="G336" s="2">
        <v>2090.88</v>
      </c>
      <c r="H336" s="2">
        <v>110</v>
      </c>
      <c r="I336" s="2">
        <v>220</v>
      </c>
      <c r="J336" s="2">
        <v>454.54</v>
      </c>
      <c r="K336" s="2">
        <v>7.92</v>
      </c>
      <c r="L336" s="2">
        <v>2883.34</v>
      </c>
      <c r="M336" s="2">
        <v>1763.06</v>
      </c>
      <c r="N336" s="5">
        <v>0.37939999999999996</v>
      </c>
      <c r="O336" s="3">
        <v>3.86</v>
      </c>
      <c r="P336" s="8" t="s">
        <v>27</v>
      </c>
    </row>
    <row r="337" spans="1:16" x14ac:dyDescent="0.35">
      <c r="A337" s="7">
        <v>335</v>
      </c>
      <c r="B337" s="4" t="s">
        <v>389</v>
      </c>
      <c r="C337" s="4" t="s">
        <v>138</v>
      </c>
      <c r="D337" s="1">
        <v>2</v>
      </c>
      <c r="E337" s="1">
        <v>2</v>
      </c>
      <c r="F337" s="2">
        <v>4600</v>
      </c>
      <c r="G337" s="2">
        <v>2070</v>
      </c>
      <c r="H337" s="2">
        <v>10</v>
      </c>
      <c r="I337" s="2">
        <v>20</v>
      </c>
      <c r="J337" s="2">
        <v>65.8</v>
      </c>
      <c r="K337" s="2">
        <v>0.72</v>
      </c>
      <c r="L337" s="2">
        <v>2166.52</v>
      </c>
      <c r="M337" s="2">
        <v>2433.48</v>
      </c>
      <c r="N337" s="5">
        <v>0.52900000000000003</v>
      </c>
      <c r="O337" s="3">
        <v>5</v>
      </c>
      <c r="P337" s="8" t="s">
        <v>18</v>
      </c>
    </row>
    <row r="338" spans="1:16" x14ac:dyDescent="0.35">
      <c r="A338" s="7">
        <v>336</v>
      </c>
      <c r="B338" s="4" t="s">
        <v>390</v>
      </c>
      <c r="C338" s="4" t="s">
        <v>104</v>
      </c>
      <c r="D338" s="1">
        <v>89</v>
      </c>
      <c r="E338" s="1">
        <v>85</v>
      </c>
      <c r="F338" s="2">
        <v>4598.1099999999997</v>
      </c>
      <c r="G338" s="2">
        <v>1931.21</v>
      </c>
      <c r="H338" s="2">
        <v>89</v>
      </c>
      <c r="I338" s="2">
        <v>340</v>
      </c>
      <c r="J338" s="2">
        <v>1157.47</v>
      </c>
      <c r="K338" s="2">
        <v>32.04</v>
      </c>
      <c r="L338" s="2">
        <v>3549.72</v>
      </c>
      <c r="M338" s="2">
        <v>1048.3900000000001</v>
      </c>
      <c r="N338" s="5">
        <v>0.22800000000000001</v>
      </c>
      <c r="O338" s="3">
        <v>4.07</v>
      </c>
      <c r="P338" s="8" t="s">
        <v>27</v>
      </c>
    </row>
    <row r="339" spans="1:16" x14ac:dyDescent="0.35">
      <c r="A339" s="7">
        <v>337</v>
      </c>
      <c r="B339" s="4" t="s">
        <v>391</v>
      </c>
      <c r="C339" s="4" t="s">
        <v>21</v>
      </c>
      <c r="D339" s="1">
        <v>1</v>
      </c>
      <c r="E339" s="1">
        <v>1</v>
      </c>
      <c r="F339" s="2">
        <v>4590</v>
      </c>
      <c r="G339" s="2">
        <v>2616.3000000000002</v>
      </c>
      <c r="H339" s="2">
        <v>2.25</v>
      </c>
      <c r="I339" s="2">
        <v>10</v>
      </c>
      <c r="J339" s="2">
        <v>91.78</v>
      </c>
      <c r="K339" s="2">
        <v>0.9</v>
      </c>
      <c r="L339" s="2">
        <v>2721.23</v>
      </c>
      <c r="M339" s="2">
        <v>1868.77</v>
      </c>
      <c r="N339" s="5">
        <v>0.40710000000000002</v>
      </c>
      <c r="O339" s="3">
        <v>5</v>
      </c>
      <c r="P339" s="8" t="s">
        <v>18</v>
      </c>
    </row>
    <row r="340" spans="1:16" x14ac:dyDescent="0.35">
      <c r="A340" s="7">
        <v>338</v>
      </c>
      <c r="B340" s="4" t="s">
        <v>392</v>
      </c>
      <c r="C340" s="4" t="s">
        <v>393</v>
      </c>
      <c r="D340" s="1">
        <v>93</v>
      </c>
      <c r="E340" s="1">
        <v>84</v>
      </c>
      <c r="F340" s="2">
        <v>4581.75</v>
      </c>
      <c r="G340" s="2">
        <v>2061.79</v>
      </c>
      <c r="H340" s="2">
        <v>209.25</v>
      </c>
      <c r="I340" s="2">
        <v>546</v>
      </c>
      <c r="J340" s="2">
        <v>1314.82</v>
      </c>
      <c r="K340" s="2">
        <v>9.3000000000000007</v>
      </c>
      <c r="L340" s="2">
        <v>4141.16</v>
      </c>
      <c r="M340" s="2">
        <v>440.59</v>
      </c>
      <c r="N340" s="5">
        <v>9.6199999999999994E-2</v>
      </c>
      <c r="O340" s="3">
        <v>4.24</v>
      </c>
      <c r="P340" s="8" t="s">
        <v>24</v>
      </c>
    </row>
    <row r="341" spans="1:16" x14ac:dyDescent="0.35">
      <c r="A341" s="7">
        <v>339</v>
      </c>
      <c r="B341" s="4" t="s">
        <v>394</v>
      </c>
      <c r="C341" s="4" t="s">
        <v>76</v>
      </c>
      <c r="D341" s="1">
        <v>2</v>
      </c>
      <c r="E341" s="1">
        <v>2</v>
      </c>
      <c r="F341" s="2">
        <v>4571</v>
      </c>
      <c r="G341" s="2">
        <v>2605.4699999999998</v>
      </c>
      <c r="H341" s="2">
        <v>10</v>
      </c>
      <c r="I341" s="2">
        <v>20</v>
      </c>
      <c r="J341" s="2">
        <v>209.34</v>
      </c>
      <c r="K341" s="2">
        <v>0.72</v>
      </c>
      <c r="L341" s="2">
        <v>2845.53</v>
      </c>
      <c r="M341" s="2">
        <v>1725.47</v>
      </c>
      <c r="N341" s="5">
        <v>0.3775</v>
      </c>
      <c r="O341" s="3">
        <v>2.5</v>
      </c>
      <c r="P341" s="8" t="s">
        <v>24</v>
      </c>
    </row>
    <row r="342" spans="1:16" x14ac:dyDescent="0.35">
      <c r="A342" s="7">
        <v>340</v>
      </c>
      <c r="B342" s="4" t="s">
        <v>395</v>
      </c>
      <c r="C342" s="4" t="s">
        <v>17</v>
      </c>
      <c r="D342" s="1">
        <v>8</v>
      </c>
      <c r="E342" s="1">
        <v>7</v>
      </c>
      <c r="F342" s="2">
        <v>4557</v>
      </c>
      <c r="G342" s="2">
        <v>1913.94</v>
      </c>
      <c r="H342" s="2">
        <v>8</v>
      </c>
      <c r="I342" s="2">
        <v>28</v>
      </c>
      <c r="J342" s="2">
        <v>214.67</v>
      </c>
      <c r="K342" s="2">
        <v>2.88</v>
      </c>
      <c r="L342" s="2">
        <v>2167.4899999999998</v>
      </c>
      <c r="M342" s="2">
        <v>2389.5100000000002</v>
      </c>
      <c r="N342" s="5">
        <v>0.52439999999999998</v>
      </c>
      <c r="O342" s="3">
        <v>3.89</v>
      </c>
      <c r="P342" s="8" t="s">
        <v>27</v>
      </c>
    </row>
    <row r="343" spans="1:16" x14ac:dyDescent="0.35">
      <c r="A343" s="7">
        <v>341</v>
      </c>
      <c r="B343" s="4" t="s">
        <v>396</v>
      </c>
      <c r="C343" s="4" t="s">
        <v>34</v>
      </c>
      <c r="D343" s="1">
        <v>12</v>
      </c>
      <c r="E343" s="1">
        <v>12</v>
      </c>
      <c r="F343" s="2">
        <v>4555.87</v>
      </c>
      <c r="G343" s="2">
        <v>1913.47</v>
      </c>
      <c r="H343" s="2">
        <v>12</v>
      </c>
      <c r="I343" s="2">
        <v>48</v>
      </c>
      <c r="J343" s="2">
        <v>171.76</v>
      </c>
      <c r="K343" s="2">
        <v>4.32</v>
      </c>
      <c r="L343" s="2">
        <v>2149.5500000000002</v>
      </c>
      <c r="M343" s="2">
        <v>2406.3200000000002</v>
      </c>
      <c r="N343" s="5">
        <v>0.5282</v>
      </c>
      <c r="O343" s="3">
        <v>4.58</v>
      </c>
      <c r="P343" s="8" t="s">
        <v>18</v>
      </c>
    </row>
    <row r="344" spans="1:16" x14ac:dyDescent="0.35">
      <c r="A344" s="7">
        <v>342</v>
      </c>
      <c r="B344" s="4" t="s">
        <v>397</v>
      </c>
      <c r="C344" s="4" t="s">
        <v>17</v>
      </c>
      <c r="D344" s="1">
        <v>5</v>
      </c>
      <c r="E344" s="1">
        <v>5</v>
      </c>
      <c r="F344" s="2">
        <v>4554.25</v>
      </c>
      <c r="G344" s="2">
        <v>1912.79</v>
      </c>
      <c r="H344" s="2">
        <v>5</v>
      </c>
      <c r="I344" s="2">
        <v>20</v>
      </c>
      <c r="J344" s="2">
        <v>155.72</v>
      </c>
      <c r="K344" s="2">
        <v>1.8</v>
      </c>
      <c r="L344" s="2">
        <v>2095.31</v>
      </c>
      <c r="M344" s="2">
        <v>2458.94</v>
      </c>
      <c r="N344" s="5">
        <v>0.53990000000000005</v>
      </c>
      <c r="O344" s="3">
        <v>4.8</v>
      </c>
      <c r="P344" s="8" t="s">
        <v>18</v>
      </c>
    </row>
    <row r="345" spans="1:16" x14ac:dyDescent="0.35">
      <c r="A345" s="7">
        <v>343</v>
      </c>
      <c r="B345" s="4" t="s">
        <v>398</v>
      </c>
      <c r="C345" s="4" t="s">
        <v>17</v>
      </c>
      <c r="D345" s="1">
        <v>11</v>
      </c>
      <c r="E345" s="1">
        <v>11</v>
      </c>
      <c r="F345" s="2">
        <v>4543.3599999999997</v>
      </c>
      <c r="G345" s="2">
        <v>1908.21</v>
      </c>
      <c r="H345" s="2">
        <v>11</v>
      </c>
      <c r="I345" s="2">
        <v>44</v>
      </c>
      <c r="J345" s="2">
        <v>284.02999999999997</v>
      </c>
      <c r="K345" s="2">
        <v>3.96</v>
      </c>
      <c r="L345" s="2">
        <v>2251.1999999999998</v>
      </c>
      <c r="M345" s="2">
        <v>2292.16</v>
      </c>
      <c r="N345" s="5">
        <v>0.50450000000000006</v>
      </c>
      <c r="O345" s="3">
        <v>4.45</v>
      </c>
      <c r="P345" s="8" t="s">
        <v>18</v>
      </c>
    </row>
    <row r="346" spans="1:16" x14ac:dyDescent="0.35">
      <c r="A346" s="7">
        <v>344</v>
      </c>
      <c r="B346" s="4" t="s">
        <v>399</v>
      </c>
      <c r="C346" s="4" t="s">
        <v>57</v>
      </c>
      <c r="D346" s="1">
        <v>2</v>
      </c>
      <c r="E346" s="1">
        <v>2</v>
      </c>
      <c r="F346" s="2">
        <v>4516</v>
      </c>
      <c r="G346" s="2">
        <v>2032.2</v>
      </c>
      <c r="H346" s="2">
        <v>4.5</v>
      </c>
      <c r="I346" s="2">
        <v>13</v>
      </c>
      <c r="J346" s="2">
        <v>111</v>
      </c>
      <c r="K346" s="2">
        <v>0.72</v>
      </c>
      <c r="L346" s="2">
        <v>2161.42</v>
      </c>
      <c r="M346" s="2">
        <v>2354.58</v>
      </c>
      <c r="N346" s="5">
        <v>0.52139999999999997</v>
      </c>
      <c r="O346" s="3">
        <v>3</v>
      </c>
      <c r="P346" s="8" t="s">
        <v>27</v>
      </c>
    </row>
    <row r="347" spans="1:16" x14ac:dyDescent="0.35">
      <c r="A347" s="7">
        <v>345</v>
      </c>
      <c r="B347" s="4" t="s">
        <v>400</v>
      </c>
      <c r="C347" s="4" t="s">
        <v>23</v>
      </c>
      <c r="D347" s="1">
        <v>33</v>
      </c>
      <c r="E347" s="1">
        <v>31</v>
      </c>
      <c r="F347" s="2">
        <v>4497</v>
      </c>
      <c r="G347" s="2">
        <v>2563.29</v>
      </c>
      <c r="H347" s="2">
        <v>74.25</v>
      </c>
      <c r="I347" s="2">
        <v>310</v>
      </c>
      <c r="J347" s="2">
        <v>592.42999999999995</v>
      </c>
      <c r="K347" s="2">
        <v>29.7</v>
      </c>
      <c r="L347" s="2">
        <v>3569.67</v>
      </c>
      <c r="M347" s="2">
        <v>927.33</v>
      </c>
      <c r="N347" s="5">
        <v>0.20620000000000002</v>
      </c>
      <c r="O347" s="3">
        <v>4.3600000000000003</v>
      </c>
      <c r="P347" s="8" t="s">
        <v>27</v>
      </c>
    </row>
    <row r="348" spans="1:16" x14ac:dyDescent="0.35">
      <c r="A348" s="7">
        <v>346</v>
      </c>
      <c r="B348" s="4" t="s">
        <v>401</v>
      </c>
      <c r="C348" s="4" t="s">
        <v>34</v>
      </c>
      <c r="D348" s="1">
        <v>5</v>
      </c>
      <c r="E348" s="1">
        <v>5</v>
      </c>
      <c r="F348" s="2">
        <v>4495</v>
      </c>
      <c r="G348" s="2">
        <v>1887.9</v>
      </c>
      <c r="H348" s="2">
        <v>5</v>
      </c>
      <c r="I348" s="2">
        <v>20</v>
      </c>
      <c r="J348" s="2">
        <v>104.62</v>
      </c>
      <c r="K348" s="2">
        <v>1.8</v>
      </c>
      <c r="L348" s="2">
        <v>2019.32</v>
      </c>
      <c r="M348" s="2">
        <v>2475.6799999999998</v>
      </c>
      <c r="N348" s="5">
        <v>0.55079999999999996</v>
      </c>
      <c r="O348" s="3">
        <v>4</v>
      </c>
      <c r="P348" s="8" t="s">
        <v>18</v>
      </c>
    </row>
    <row r="349" spans="1:16" x14ac:dyDescent="0.35">
      <c r="A349" s="7">
        <v>347</v>
      </c>
      <c r="B349" s="4" t="s">
        <v>402</v>
      </c>
      <c r="C349" s="4" t="s">
        <v>148</v>
      </c>
      <c r="D349" s="1">
        <v>5</v>
      </c>
      <c r="E349" s="1">
        <v>5</v>
      </c>
      <c r="F349" s="2">
        <v>4495</v>
      </c>
      <c r="G349" s="2">
        <v>1887.9</v>
      </c>
      <c r="H349" s="2">
        <v>11.25</v>
      </c>
      <c r="I349" s="2">
        <v>32.5</v>
      </c>
      <c r="J349" s="2">
        <v>814.1</v>
      </c>
      <c r="K349" s="2">
        <v>1.8</v>
      </c>
      <c r="L349" s="2">
        <v>2747.55</v>
      </c>
      <c r="M349" s="2">
        <v>1747.45</v>
      </c>
      <c r="N349" s="5">
        <v>0.38880000000000003</v>
      </c>
      <c r="O349" s="3">
        <v>4</v>
      </c>
      <c r="P349" s="8" t="s">
        <v>18</v>
      </c>
    </row>
    <row r="350" spans="1:16" x14ac:dyDescent="0.35">
      <c r="A350" s="7">
        <v>348</v>
      </c>
      <c r="B350" s="4" t="s">
        <v>403</v>
      </c>
      <c r="C350" s="4" t="s">
        <v>44</v>
      </c>
      <c r="D350" s="1">
        <v>17</v>
      </c>
      <c r="E350" s="1">
        <v>15</v>
      </c>
      <c r="F350" s="2">
        <v>4490.92</v>
      </c>
      <c r="G350" s="2">
        <v>2020.91</v>
      </c>
      <c r="H350" s="2">
        <v>85</v>
      </c>
      <c r="I350" s="2">
        <v>150</v>
      </c>
      <c r="J350" s="2">
        <v>1167.03</v>
      </c>
      <c r="K350" s="2">
        <v>6.12</v>
      </c>
      <c r="L350" s="2">
        <v>3429.06</v>
      </c>
      <c r="M350" s="2">
        <v>1061.8599999999999</v>
      </c>
      <c r="N350" s="5">
        <v>0.2364</v>
      </c>
      <c r="O350" s="3">
        <v>4.41</v>
      </c>
      <c r="P350" s="8" t="s">
        <v>27</v>
      </c>
    </row>
    <row r="351" spans="1:16" x14ac:dyDescent="0.35">
      <c r="A351" s="7">
        <v>349</v>
      </c>
      <c r="B351" s="4" t="s">
        <v>404</v>
      </c>
      <c r="C351" s="4" t="s">
        <v>34</v>
      </c>
      <c r="D351" s="1">
        <v>25</v>
      </c>
      <c r="E351" s="1">
        <v>25</v>
      </c>
      <c r="F351" s="2">
        <v>4488.25</v>
      </c>
      <c r="G351" s="2">
        <v>1885.07</v>
      </c>
      <c r="H351" s="2">
        <v>25</v>
      </c>
      <c r="I351" s="2">
        <v>100</v>
      </c>
      <c r="J351" s="2">
        <v>467.42</v>
      </c>
      <c r="K351" s="2">
        <v>9</v>
      </c>
      <c r="L351" s="2">
        <v>2486.4899999999998</v>
      </c>
      <c r="M351" s="2">
        <v>2001.76</v>
      </c>
      <c r="N351" s="5">
        <v>0.44600000000000001</v>
      </c>
      <c r="O351" s="3">
        <v>4.2</v>
      </c>
      <c r="P351" s="8" t="s">
        <v>18</v>
      </c>
    </row>
    <row r="352" spans="1:16" x14ac:dyDescent="0.35">
      <c r="A352" s="7">
        <v>350</v>
      </c>
      <c r="B352" s="4" t="s">
        <v>405</v>
      </c>
      <c r="C352" s="4" t="s">
        <v>104</v>
      </c>
      <c r="D352" s="1">
        <v>13</v>
      </c>
      <c r="E352" s="1">
        <v>13</v>
      </c>
      <c r="F352" s="2">
        <v>4478.79</v>
      </c>
      <c r="G352" s="2">
        <v>1881.09</v>
      </c>
      <c r="H352" s="2">
        <v>13</v>
      </c>
      <c r="I352" s="2">
        <v>52</v>
      </c>
      <c r="J352" s="2">
        <v>236.62</v>
      </c>
      <c r="K352" s="2">
        <v>4.68</v>
      </c>
      <c r="L352" s="2">
        <v>2187.39</v>
      </c>
      <c r="M352" s="2">
        <v>2291.4</v>
      </c>
      <c r="N352" s="5">
        <v>0.51159999999999994</v>
      </c>
      <c r="O352" s="3">
        <v>4.62</v>
      </c>
      <c r="P352" s="8" t="s">
        <v>18</v>
      </c>
    </row>
    <row r="353" spans="1:16" x14ac:dyDescent="0.35">
      <c r="A353" s="7">
        <v>351</v>
      </c>
      <c r="B353" s="4" t="s">
        <v>406</v>
      </c>
      <c r="C353" s="4" t="s">
        <v>26</v>
      </c>
      <c r="D353" s="1">
        <v>43</v>
      </c>
      <c r="E353" s="1">
        <v>42</v>
      </c>
      <c r="F353" s="2">
        <v>4465.7</v>
      </c>
      <c r="G353" s="2">
        <v>2009.57</v>
      </c>
      <c r="H353" s="2">
        <v>96.75</v>
      </c>
      <c r="I353" s="2">
        <v>273</v>
      </c>
      <c r="J353" s="2">
        <v>775.54</v>
      </c>
      <c r="K353" s="2">
        <v>15.48</v>
      </c>
      <c r="L353" s="2">
        <v>3170.34</v>
      </c>
      <c r="M353" s="2">
        <v>1295.3599999999999</v>
      </c>
      <c r="N353" s="5">
        <v>0.29010000000000002</v>
      </c>
      <c r="O353" s="3">
        <v>2.93</v>
      </c>
      <c r="P353" s="8" t="s">
        <v>24</v>
      </c>
    </row>
    <row r="354" spans="1:16" x14ac:dyDescent="0.35">
      <c r="A354" s="7">
        <v>352</v>
      </c>
      <c r="B354" s="4" t="s">
        <v>407</v>
      </c>
      <c r="C354" s="4" t="s">
        <v>408</v>
      </c>
      <c r="D354" s="1">
        <v>54</v>
      </c>
      <c r="E354" s="1">
        <v>53</v>
      </c>
      <c r="F354" s="2">
        <v>4461.0200000000004</v>
      </c>
      <c r="G354" s="2">
        <v>2007.46</v>
      </c>
      <c r="H354" s="2">
        <v>121.5</v>
      </c>
      <c r="I354" s="2">
        <v>344.5</v>
      </c>
      <c r="J354" s="2">
        <v>631.32000000000005</v>
      </c>
      <c r="K354" s="2">
        <v>5.4</v>
      </c>
      <c r="L354" s="2">
        <v>3110.18</v>
      </c>
      <c r="M354" s="2">
        <v>1350.84</v>
      </c>
      <c r="N354" s="5">
        <v>0.30280000000000001</v>
      </c>
      <c r="O354" s="3">
        <v>4.83</v>
      </c>
      <c r="P354" s="8" t="s">
        <v>18</v>
      </c>
    </row>
    <row r="355" spans="1:16" x14ac:dyDescent="0.35">
      <c r="A355" s="7">
        <v>353</v>
      </c>
      <c r="B355" s="4" t="s">
        <v>409</v>
      </c>
      <c r="C355" s="4" t="s">
        <v>23</v>
      </c>
      <c r="D355" s="1">
        <v>18</v>
      </c>
      <c r="E355" s="1">
        <v>9</v>
      </c>
      <c r="F355" s="2">
        <v>4402.04</v>
      </c>
      <c r="G355" s="2">
        <v>2509.16</v>
      </c>
      <c r="H355" s="2">
        <v>40.5</v>
      </c>
      <c r="I355" s="2">
        <v>90</v>
      </c>
      <c r="J355" s="2">
        <v>375.06</v>
      </c>
      <c r="K355" s="2">
        <v>16.2</v>
      </c>
      <c r="L355" s="2">
        <v>3030.92</v>
      </c>
      <c r="M355" s="2">
        <v>1371.12</v>
      </c>
      <c r="N355" s="5">
        <v>0.3115</v>
      </c>
      <c r="O355" s="3">
        <v>3.5</v>
      </c>
      <c r="P355" s="8" t="s">
        <v>27</v>
      </c>
    </row>
    <row r="356" spans="1:16" x14ac:dyDescent="0.35">
      <c r="A356" s="7">
        <v>354</v>
      </c>
      <c r="B356" s="4" t="s">
        <v>410</v>
      </c>
      <c r="C356" s="4" t="s">
        <v>46</v>
      </c>
      <c r="D356" s="1">
        <v>1</v>
      </c>
      <c r="E356" s="1">
        <v>1</v>
      </c>
      <c r="F356" s="2">
        <v>4399.87</v>
      </c>
      <c r="G356" s="2">
        <v>1759.95</v>
      </c>
      <c r="H356" s="2">
        <v>2.25</v>
      </c>
      <c r="I356" s="2">
        <v>6.5</v>
      </c>
      <c r="J356" s="2">
        <v>113.45</v>
      </c>
      <c r="K356" s="2">
        <v>0.1</v>
      </c>
      <c r="L356" s="2">
        <v>1882.25</v>
      </c>
      <c r="M356" s="2">
        <v>2517.62</v>
      </c>
      <c r="N356" s="5">
        <v>0.57220000000000004</v>
      </c>
      <c r="O356" s="3">
        <v>5</v>
      </c>
      <c r="P356" s="8" t="s">
        <v>18</v>
      </c>
    </row>
    <row r="357" spans="1:16" x14ac:dyDescent="0.35">
      <c r="A357" s="7">
        <v>355</v>
      </c>
      <c r="B357" s="4" t="s">
        <v>411</v>
      </c>
      <c r="C357" s="4" t="s">
        <v>104</v>
      </c>
      <c r="D357" s="1">
        <v>15</v>
      </c>
      <c r="E357" s="1">
        <v>14</v>
      </c>
      <c r="F357" s="2">
        <v>4393.5</v>
      </c>
      <c r="G357" s="2">
        <v>1845.27</v>
      </c>
      <c r="H357" s="2">
        <v>15</v>
      </c>
      <c r="I357" s="2">
        <v>56</v>
      </c>
      <c r="J357" s="2">
        <v>278.20999999999998</v>
      </c>
      <c r="K357" s="2">
        <v>5.4</v>
      </c>
      <c r="L357" s="2">
        <v>2199.88</v>
      </c>
      <c r="M357" s="2">
        <v>2193.62</v>
      </c>
      <c r="N357" s="5">
        <v>0.49930000000000002</v>
      </c>
      <c r="O357" s="3">
        <v>4.13</v>
      </c>
      <c r="P357" s="8" t="s">
        <v>18</v>
      </c>
    </row>
    <row r="358" spans="1:16" x14ac:dyDescent="0.35">
      <c r="A358" s="7">
        <v>356</v>
      </c>
      <c r="B358" s="4" t="s">
        <v>412</v>
      </c>
      <c r="C358" s="4" t="s">
        <v>102</v>
      </c>
      <c r="D358" s="1">
        <v>4</v>
      </c>
      <c r="E358" s="1">
        <v>4</v>
      </c>
      <c r="F358" s="2">
        <v>4392</v>
      </c>
      <c r="G358" s="2">
        <v>2503.44</v>
      </c>
      <c r="H358" s="2">
        <v>9</v>
      </c>
      <c r="I358" s="2">
        <v>26</v>
      </c>
      <c r="J358" s="2">
        <v>258</v>
      </c>
      <c r="K358" s="2">
        <v>1.44</v>
      </c>
      <c r="L358" s="2">
        <v>2797.88</v>
      </c>
      <c r="M358" s="2">
        <v>1594.12</v>
      </c>
      <c r="N358" s="5">
        <v>0.36299999999999999</v>
      </c>
      <c r="O358" s="3">
        <v>4.25</v>
      </c>
      <c r="P358" s="8" t="s">
        <v>18</v>
      </c>
    </row>
    <row r="359" spans="1:16" x14ac:dyDescent="0.35">
      <c r="A359" s="7">
        <v>357</v>
      </c>
      <c r="B359" s="4" t="s">
        <v>413</v>
      </c>
      <c r="C359" s="4" t="s">
        <v>116</v>
      </c>
      <c r="D359" s="1">
        <v>99</v>
      </c>
      <c r="E359" s="1">
        <v>94</v>
      </c>
      <c r="F359" s="2">
        <v>4353.42</v>
      </c>
      <c r="G359" s="2">
        <v>1828.44</v>
      </c>
      <c r="H359" s="2">
        <v>99</v>
      </c>
      <c r="I359" s="2">
        <v>376</v>
      </c>
      <c r="J359" s="2">
        <v>1422.84</v>
      </c>
      <c r="K359" s="2">
        <v>35.64</v>
      </c>
      <c r="L359" s="2">
        <v>3761.92</v>
      </c>
      <c r="M359" s="2">
        <v>591.5</v>
      </c>
      <c r="N359" s="5">
        <v>0.13589999999999999</v>
      </c>
      <c r="O359" s="3">
        <v>4.34</v>
      </c>
      <c r="P359" s="8" t="s">
        <v>27</v>
      </c>
    </row>
    <row r="360" spans="1:16" x14ac:dyDescent="0.35">
      <c r="A360" s="7">
        <v>358</v>
      </c>
      <c r="B360" s="4" t="s">
        <v>414</v>
      </c>
      <c r="C360" s="4" t="s">
        <v>104</v>
      </c>
      <c r="D360" s="1">
        <v>24</v>
      </c>
      <c r="E360" s="1">
        <v>23</v>
      </c>
      <c r="F360" s="2">
        <v>4350.7700000000004</v>
      </c>
      <c r="G360" s="2">
        <v>1827.32</v>
      </c>
      <c r="H360" s="2">
        <v>24</v>
      </c>
      <c r="I360" s="2">
        <v>92</v>
      </c>
      <c r="J360" s="2">
        <v>421.01</v>
      </c>
      <c r="K360" s="2">
        <v>8.64</v>
      </c>
      <c r="L360" s="2">
        <v>2372.9699999999998</v>
      </c>
      <c r="M360" s="2">
        <v>1977.8</v>
      </c>
      <c r="N360" s="5">
        <v>0.4546</v>
      </c>
      <c r="O360" s="3">
        <v>4.04</v>
      </c>
      <c r="P360" s="8" t="s">
        <v>18</v>
      </c>
    </row>
    <row r="361" spans="1:16" x14ac:dyDescent="0.35">
      <c r="A361" s="7">
        <v>359</v>
      </c>
      <c r="B361" s="4" t="s">
        <v>415</v>
      </c>
      <c r="C361" s="4" t="s">
        <v>102</v>
      </c>
      <c r="D361" s="1">
        <v>3</v>
      </c>
      <c r="E361" s="1">
        <v>3</v>
      </c>
      <c r="F361" s="2">
        <v>4347</v>
      </c>
      <c r="G361" s="2">
        <v>2477.79</v>
      </c>
      <c r="H361" s="2">
        <v>6.75</v>
      </c>
      <c r="I361" s="2">
        <v>19.5</v>
      </c>
      <c r="J361" s="2">
        <v>98.05</v>
      </c>
      <c r="K361" s="2">
        <v>1.08</v>
      </c>
      <c r="L361" s="2">
        <v>2603.17</v>
      </c>
      <c r="M361" s="2">
        <v>1743.83</v>
      </c>
      <c r="N361" s="5">
        <v>0.4012</v>
      </c>
      <c r="O361" s="3">
        <v>4.67</v>
      </c>
      <c r="P361" s="8" t="s">
        <v>18</v>
      </c>
    </row>
    <row r="362" spans="1:16" x14ac:dyDescent="0.35">
      <c r="A362" s="7">
        <v>360</v>
      </c>
      <c r="B362" s="4" t="s">
        <v>416</v>
      </c>
      <c r="C362" s="4" t="s">
        <v>17</v>
      </c>
      <c r="D362" s="1">
        <v>9</v>
      </c>
      <c r="E362" s="1">
        <v>9</v>
      </c>
      <c r="F362" s="2">
        <v>4329.96</v>
      </c>
      <c r="G362" s="2">
        <v>1818.58</v>
      </c>
      <c r="H362" s="2">
        <v>9</v>
      </c>
      <c r="I362" s="2">
        <v>36</v>
      </c>
      <c r="J362" s="2">
        <v>169.49</v>
      </c>
      <c r="K362" s="2">
        <v>3.24</v>
      </c>
      <c r="L362" s="2">
        <v>2036.31</v>
      </c>
      <c r="M362" s="2">
        <v>2293.65</v>
      </c>
      <c r="N362" s="5">
        <v>0.52969999999999995</v>
      </c>
      <c r="O362" s="3">
        <v>3.89</v>
      </c>
      <c r="P362" s="8" t="s">
        <v>27</v>
      </c>
    </row>
    <row r="363" spans="1:16" x14ac:dyDescent="0.35">
      <c r="A363" s="7">
        <v>361</v>
      </c>
      <c r="B363" s="4" t="s">
        <v>417</v>
      </c>
      <c r="C363" s="4" t="s">
        <v>148</v>
      </c>
      <c r="D363" s="1">
        <v>66</v>
      </c>
      <c r="E363" s="1">
        <v>60</v>
      </c>
      <c r="F363" s="2">
        <v>4329.8</v>
      </c>
      <c r="G363" s="2">
        <v>1818.52</v>
      </c>
      <c r="H363" s="2">
        <v>148.5</v>
      </c>
      <c r="I363" s="2">
        <v>390</v>
      </c>
      <c r="J363" s="2">
        <v>1174.78</v>
      </c>
      <c r="K363" s="2">
        <v>23.76</v>
      </c>
      <c r="L363" s="2">
        <v>3555.56</v>
      </c>
      <c r="M363" s="2">
        <v>774.24</v>
      </c>
      <c r="N363" s="5">
        <v>0.17879999999999999</v>
      </c>
      <c r="O363" s="3">
        <v>4.29</v>
      </c>
      <c r="P363" s="8" t="s">
        <v>27</v>
      </c>
    </row>
    <row r="364" spans="1:16" x14ac:dyDescent="0.35">
      <c r="A364" s="7">
        <v>362</v>
      </c>
      <c r="B364" s="4" t="s">
        <v>418</v>
      </c>
      <c r="C364" s="4" t="s">
        <v>98</v>
      </c>
      <c r="D364" s="1">
        <v>15</v>
      </c>
      <c r="E364" s="1">
        <v>12</v>
      </c>
      <c r="F364" s="2">
        <v>4317</v>
      </c>
      <c r="G364" s="2">
        <v>1942.65</v>
      </c>
      <c r="H364" s="2">
        <v>75</v>
      </c>
      <c r="I364" s="2">
        <v>120</v>
      </c>
      <c r="J364" s="2">
        <v>1168.98</v>
      </c>
      <c r="K364" s="2">
        <v>5.4</v>
      </c>
      <c r="L364" s="2">
        <v>3312.03</v>
      </c>
      <c r="M364" s="2">
        <v>1004.97</v>
      </c>
      <c r="N364" s="5">
        <v>0.23280000000000001</v>
      </c>
      <c r="O364" s="3">
        <v>3.93</v>
      </c>
      <c r="P364" s="8" t="s">
        <v>27</v>
      </c>
    </row>
    <row r="365" spans="1:16" x14ac:dyDescent="0.35">
      <c r="A365" s="7">
        <v>363</v>
      </c>
      <c r="B365" s="4" t="s">
        <v>419</v>
      </c>
      <c r="C365" s="4" t="s">
        <v>76</v>
      </c>
      <c r="D365" s="1">
        <v>4</v>
      </c>
      <c r="E365" s="1">
        <v>4</v>
      </c>
      <c r="F365" s="2">
        <v>4310</v>
      </c>
      <c r="G365" s="2">
        <v>2456.6999999999998</v>
      </c>
      <c r="H365" s="2">
        <v>20</v>
      </c>
      <c r="I365" s="2">
        <v>40</v>
      </c>
      <c r="J365" s="2">
        <v>299.58</v>
      </c>
      <c r="K365" s="2">
        <v>1.44</v>
      </c>
      <c r="L365" s="2">
        <v>2817.72</v>
      </c>
      <c r="M365" s="2">
        <v>1492.28</v>
      </c>
      <c r="N365" s="5">
        <v>0.34619999999999995</v>
      </c>
      <c r="O365" s="3">
        <v>4.5</v>
      </c>
      <c r="P365" s="8" t="s">
        <v>18</v>
      </c>
    </row>
    <row r="366" spans="1:16" x14ac:dyDescent="0.35">
      <c r="A366" s="7">
        <v>364</v>
      </c>
      <c r="B366" s="4" t="s">
        <v>420</v>
      </c>
      <c r="C366" s="4" t="s">
        <v>148</v>
      </c>
      <c r="D366" s="1">
        <v>5</v>
      </c>
      <c r="E366" s="1">
        <v>4</v>
      </c>
      <c r="F366" s="2">
        <v>4295</v>
      </c>
      <c r="G366" s="2">
        <v>1803.9</v>
      </c>
      <c r="H366" s="2">
        <v>11.25</v>
      </c>
      <c r="I366" s="2">
        <v>26</v>
      </c>
      <c r="J366" s="2">
        <v>415.74</v>
      </c>
      <c r="K366" s="2">
        <v>1.8</v>
      </c>
      <c r="L366" s="2">
        <v>2258.69</v>
      </c>
      <c r="M366" s="2">
        <v>2036.31</v>
      </c>
      <c r="N366" s="5">
        <v>0.47409999999999997</v>
      </c>
      <c r="O366" s="3">
        <v>5</v>
      </c>
      <c r="P366" s="8" t="s">
        <v>18</v>
      </c>
    </row>
    <row r="367" spans="1:16" x14ac:dyDescent="0.35">
      <c r="A367" s="7">
        <v>365</v>
      </c>
      <c r="B367" s="4" t="s">
        <v>421</v>
      </c>
      <c r="C367" s="4" t="s">
        <v>422</v>
      </c>
      <c r="D367" s="1">
        <v>41</v>
      </c>
      <c r="E367" s="1">
        <v>40</v>
      </c>
      <c r="F367" s="2">
        <v>4293</v>
      </c>
      <c r="G367" s="2">
        <v>1931.85</v>
      </c>
      <c r="H367" s="2">
        <v>41</v>
      </c>
      <c r="I367" s="2">
        <v>160</v>
      </c>
      <c r="J367" s="2">
        <v>1056.1300000000001</v>
      </c>
      <c r="K367" s="2">
        <v>14.76</v>
      </c>
      <c r="L367" s="2">
        <v>3203.74</v>
      </c>
      <c r="M367" s="2">
        <v>1089.26</v>
      </c>
      <c r="N367" s="5">
        <v>0.25370000000000004</v>
      </c>
      <c r="O367" s="3">
        <v>4.29</v>
      </c>
      <c r="P367" s="8" t="s">
        <v>18</v>
      </c>
    </row>
    <row r="368" spans="1:16" x14ac:dyDescent="0.35">
      <c r="A368" s="7">
        <v>366</v>
      </c>
      <c r="B368" s="4" t="s">
        <v>423</v>
      </c>
      <c r="C368" s="4" t="s">
        <v>148</v>
      </c>
      <c r="D368" s="1">
        <v>16</v>
      </c>
      <c r="E368" s="1">
        <v>16</v>
      </c>
      <c r="F368" s="2">
        <v>4288.7</v>
      </c>
      <c r="G368" s="2">
        <v>1801.25</v>
      </c>
      <c r="H368" s="2">
        <v>36</v>
      </c>
      <c r="I368" s="2">
        <v>104</v>
      </c>
      <c r="J368" s="2">
        <v>375.41</v>
      </c>
      <c r="K368" s="2">
        <v>5.76</v>
      </c>
      <c r="L368" s="2">
        <v>2322.42</v>
      </c>
      <c r="M368" s="2">
        <v>1966.28</v>
      </c>
      <c r="N368" s="5">
        <v>0.45850000000000002</v>
      </c>
      <c r="O368" s="3">
        <v>4.57</v>
      </c>
      <c r="P368" s="8" t="s">
        <v>18</v>
      </c>
    </row>
    <row r="369" spans="1:16" x14ac:dyDescent="0.35">
      <c r="A369" s="7">
        <v>367</v>
      </c>
      <c r="B369" s="4" t="s">
        <v>424</v>
      </c>
      <c r="C369" s="4" t="s">
        <v>34</v>
      </c>
      <c r="D369" s="1">
        <v>5</v>
      </c>
      <c r="E369" s="1">
        <v>5</v>
      </c>
      <c r="F369" s="2">
        <v>4280</v>
      </c>
      <c r="G369" s="2">
        <v>1797.6</v>
      </c>
      <c r="H369" s="2">
        <v>5</v>
      </c>
      <c r="I369" s="2">
        <v>20</v>
      </c>
      <c r="J369" s="2">
        <v>125.6</v>
      </c>
      <c r="K369" s="2">
        <v>1.8</v>
      </c>
      <c r="L369" s="2">
        <v>1950</v>
      </c>
      <c r="M369" s="2">
        <v>2330</v>
      </c>
      <c r="N369" s="5">
        <v>0.5444</v>
      </c>
      <c r="O369" s="3">
        <v>4.2</v>
      </c>
      <c r="P369" s="8" t="s">
        <v>18</v>
      </c>
    </row>
    <row r="370" spans="1:16" x14ac:dyDescent="0.35">
      <c r="A370" s="7">
        <v>368</v>
      </c>
      <c r="B370" s="4" t="s">
        <v>425</v>
      </c>
      <c r="C370" s="4" t="s">
        <v>426</v>
      </c>
      <c r="D370" s="1">
        <v>42</v>
      </c>
      <c r="E370" s="1">
        <v>42</v>
      </c>
      <c r="F370" s="2">
        <v>4279</v>
      </c>
      <c r="G370" s="2">
        <v>1925.55</v>
      </c>
      <c r="H370" s="2">
        <v>42</v>
      </c>
      <c r="I370" s="2">
        <v>168</v>
      </c>
      <c r="J370" s="2">
        <v>1043.8800000000001</v>
      </c>
      <c r="K370" s="2">
        <v>15.12</v>
      </c>
      <c r="L370" s="2">
        <v>3194.55</v>
      </c>
      <c r="M370" s="2">
        <v>1084.45</v>
      </c>
      <c r="N370" s="5">
        <v>0.25340000000000001</v>
      </c>
      <c r="O370" s="3">
        <v>4.38</v>
      </c>
      <c r="P370" s="8" t="s">
        <v>18</v>
      </c>
    </row>
    <row r="371" spans="1:16" x14ac:dyDescent="0.35">
      <c r="A371" s="7">
        <v>369</v>
      </c>
      <c r="B371" s="4" t="s">
        <v>427</v>
      </c>
      <c r="C371" s="4" t="s">
        <v>17</v>
      </c>
      <c r="D371" s="1">
        <v>8</v>
      </c>
      <c r="E371" s="1">
        <v>8</v>
      </c>
      <c r="F371" s="2">
        <v>4276.45</v>
      </c>
      <c r="G371" s="2">
        <v>1796.11</v>
      </c>
      <c r="H371" s="2">
        <v>8</v>
      </c>
      <c r="I371" s="2">
        <v>32</v>
      </c>
      <c r="J371" s="2">
        <v>211.94</v>
      </c>
      <c r="K371" s="2">
        <v>2.88</v>
      </c>
      <c r="L371" s="2">
        <v>2050.9299999999998</v>
      </c>
      <c r="M371" s="2">
        <v>2225.52</v>
      </c>
      <c r="N371" s="5">
        <v>0.52039999999999997</v>
      </c>
      <c r="O371" s="3">
        <v>4.75</v>
      </c>
      <c r="P371" s="8" t="s">
        <v>18</v>
      </c>
    </row>
    <row r="372" spans="1:16" x14ac:dyDescent="0.35">
      <c r="A372" s="7">
        <v>370</v>
      </c>
      <c r="B372" s="4" t="s">
        <v>428</v>
      </c>
      <c r="C372" s="4" t="s">
        <v>23</v>
      </c>
      <c r="D372" s="1">
        <v>23</v>
      </c>
      <c r="E372" s="1">
        <v>13</v>
      </c>
      <c r="F372" s="2">
        <v>4253.66</v>
      </c>
      <c r="G372" s="2">
        <v>2424.59</v>
      </c>
      <c r="H372" s="2">
        <v>51.75</v>
      </c>
      <c r="I372" s="2">
        <v>130</v>
      </c>
      <c r="J372" s="2">
        <v>384.44</v>
      </c>
      <c r="K372" s="2">
        <v>20.7</v>
      </c>
      <c r="L372" s="2">
        <v>3011.48</v>
      </c>
      <c r="M372" s="2">
        <v>1242.18</v>
      </c>
      <c r="N372" s="5">
        <v>0.29199999999999998</v>
      </c>
      <c r="O372" s="3">
        <v>4.09</v>
      </c>
      <c r="P372" s="8" t="s">
        <v>18</v>
      </c>
    </row>
    <row r="373" spans="1:16" x14ac:dyDescent="0.35">
      <c r="A373" s="7">
        <v>371</v>
      </c>
      <c r="B373" s="4" t="s">
        <v>429</v>
      </c>
      <c r="C373" s="4" t="s">
        <v>23</v>
      </c>
      <c r="D373" s="1">
        <v>28</v>
      </c>
      <c r="E373" s="1">
        <v>21</v>
      </c>
      <c r="F373" s="2">
        <v>4238.8</v>
      </c>
      <c r="G373" s="2">
        <v>2416.12</v>
      </c>
      <c r="H373" s="2">
        <v>63</v>
      </c>
      <c r="I373" s="2">
        <v>210</v>
      </c>
      <c r="J373" s="2">
        <v>533.21</v>
      </c>
      <c r="K373" s="2">
        <v>25.2</v>
      </c>
      <c r="L373" s="2">
        <v>3247.53</v>
      </c>
      <c r="M373" s="2">
        <v>991.27</v>
      </c>
      <c r="N373" s="5">
        <v>0.2339</v>
      </c>
      <c r="O373" s="3">
        <v>3.7</v>
      </c>
      <c r="P373" s="8" t="s">
        <v>27</v>
      </c>
    </row>
    <row r="374" spans="1:16" x14ac:dyDescent="0.35">
      <c r="A374" s="7">
        <v>372</v>
      </c>
      <c r="B374" s="4" t="s">
        <v>430</v>
      </c>
      <c r="C374" s="4" t="s">
        <v>98</v>
      </c>
      <c r="D374" s="1">
        <v>30</v>
      </c>
      <c r="E374" s="1">
        <v>29</v>
      </c>
      <c r="F374" s="2">
        <v>4238.66</v>
      </c>
      <c r="G374" s="2">
        <v>1907.4</v>
      </c>
      <c r="H374" s="2">
        <v>150</v>
      </c>
      <c r="I374" s="2">
        <v>290</v>
      </c>
      <c r="J374" s="2">
        <v>928.16</v>
      </c>
      <c r="K374" s="2">
        <v>10.8</v>
      </c>
      <c r="L374" s="2">
        <v>3286.36</v>
      </c>
      <c r="M374" s="2">
        <v>952.3</v>
      </c>
      <c r="N374" s="5">
        <v>0.22469999999999998</v>
      </c>
      <c r="O374" s="3">
        <v>3.97</v>
      </c>
      <c r="P374" s="8" t="s">
        <v>27</v>
      </c>
    </row>
    <row r="375" spans="1:16" x14ac:dyDescent="0.35">
      <c r="A375" s="7">
        <v>373</v>
      </c>
      <c r="B375" s="4" t="s">
        <v>431</v>
      </c>
      <c r="C375" s="4" t="s">
        <v>21</v>
      </c>
      <c r="D375" s="1">
        <v>5</v>
      </c>
      <c r="E375" s="1">
        <v>4</v>
      </c>
      <c r="F375" s="2">
        <v>4237</v>
      </c>
      <c r="G375" s="2">
        <v>2415.09</v>
      </c>
      <c r="H375" s="2">
        <v>11.25</v>
      </c>
      <c r="I375" s="2">
        <v>40</v>
      </c>
      <c r="J375" s="2">
        <v>365.3</v>
      </c>
      <c r="K375" s="2">
        <v>4.5</v>
      </c>
      <c r="L375" s="2">
        <v>2836.14</v>
      </c>
      <c r="M375" s="2">
        <v>1400.86</v>
      </c>
      <c r="N375" s="5">
        <v>0.3306</v>
      </c>
      <c r="O375" s="3">
        <v>3.2</v>
      </c>
      <c r="P375" s="8" t="s">
        <v>27</v>
      </c>
    </row>
    <row r="376" spans="1:16" x14ac:dyDescent="0.35">
      <c r="A376" s="7">
        <v>374</v>
      </c>
      <c r="B376" s="4" t="s">
        <v>432</v>
      </c>
      <c r="C376" s="4" t="s">
        <v>66</v>
      </c>
      <c r="D376" s="1">
        <v>6</v>
      </c>
      <c r="E376" s="1">
        <v>6</v>
      </c>
      <c r="F376" s="2">
        <v>4227</v>
      </c>
      <c r="G376" s="2">
        <v>2409.39</v>
      </c>
      <c r="H376" s="2">
        <v>6</v>
      </c>
      <c r="I376" s="2">
        <v>24</v>
      </c>
      <c r="J376" s="2">
        <v>94.28</v>
      </c>
      <c r="K376" s="2">
        <v>5.4</v>
      </c>
      <c r="L376" s="2">
        <v>2539.0700000000002</v>
      </c>
      <c r="M376" s="2">
        <v>1687.93</v>
      </c>
      <c r="N376" s="5">
        <v>0.39929999999999999</v>
      </c>
      <c r="O376" s="3">
        <v>2</v>
      </c>
      <c r="P376" s="8" t="s">
        <v>24</v>
      </c>
    </row>
    <row r="377" spans="1:16" x14ac:dyDescent="0.35">
      <c r="A377" s="7">
        <v>375</v>
      </c>
      <c r="B377" s="4" t="s">
        <v>433</v>
      </c>
      <c r="C377" s="4" t="s">
        <v>30</v>
      </c>
      <c r="D377" s="1">
        <v>2</v>
      </c>
      <c r="E377" s="1">
        <v>2</v>
      </c>
      <c r="F377" s="2">
        <v>4220</v>
      </c>
      <c r="G377" s="2">
        <v>1772.4</v>
      </c>
      <c r="H377" s="2">
        <v>2</v>
      </c>
      <c r="I377" s="2">
        <v>8</v>
      </c>
      <c r="J377" s="2">
        <v>405.32</v>
      </c>
      <c r="K377" s="2">
        <v>0.72</v>
      </c>
      <c r="L377" s="2">
        <v>2188.44</v>
      </c>
      <c r="M377" s="2">
        <v>2031.56</v>
      </c>
      <c r="N377" s="5">
        <v>0.48139999999999999</v>
      </c>
      <c r="O377" s="3">
        <v>1</v>
      </c>
      <c r="P377" s="8" t="s">
        <v>24</v>
      </c>
    </row>
    <row r="378" spans="1:16" x14ac:dyDescent="0.35">
      <c r="A378" s="7">
        <v>376</v>
      </c>
      <c r="B378" s="4" t="s">
        <v>434</v>
      </c>
      <c r="C378" s="4" t="s">
        <v>66</v>
      </c>
      <c r="D378" s="1">
        <v>5</v>
      </c>
      <c r="E378" s="1">
        <v>5</v>
      </c>
      <c r="F378" s="2">
        <v>4201</v>
      </c>
      <c r="G378" s="2">
        <v>2394.5700000000002</v>
      </c>
      <c r="H378" s="2">
        <v>5</v>
      </c>
      <c r="I378" s="2">
        <v>20</v>
      </c>
      <c r="J378" s="2">
        <v>129.41999999999999</v>
      </c>
      <c r="K378" s="2">
        <v>4.5</v>
      </c>
      <c r="L378" s="2">
        <v>2553.4899999999998</v>
      </c>
      <c r="M378" s="2">
        <v>1647.51</v>
      </c>
      <c r="N378" s="5">
        <v>0.39219999999999999</v>
      </c>
      <c r="O378" s="3">
        <v>3</v>
      </c>
      <c r="P378" s="8" t="s">
        <v>27</v>
      </c>
    </row>
    <row r="379" spans="1:16" x14ac:dyDescent="0.35">
      <c r="A379" s="7">
        <v>377</v>
      </c>
      <c r="B379" s="4" t="s">
        <v>435</v>
      </c>
      <c r="C379" s="4" t="s">
        <v>76</v>
      </c>
      <c r="D379" s="1">
        <v>2</v>
      </c>
      <c r="E379" s="1">
        <v>2</v>
      </c>
      <c r="F379" s="2">
        <v>4199.9799999999996</v>
      </c>
      <c r="G379" s="2">
        <v>2393.9899999999998</v>
      </c>
      <c r="H379" s="2">
        <v>10</v>
      </c>
      <c r="I379" s="2">
        <v>20</v>
      </c>
      <c r="J379" s="2">
        <v>149.56</v>
      </c>
      <c r="K379" s="2">
        <v>0.72</v>
      </c>
      <c r="L379" s="2">
        <v>2574.27</v>
      </c>
      <c r="M379" s="2">
        <v>1625.71</v>
      </c>
      <c r="N379" s="5">
        <v>0.3871</v>
      </c>
      <c r="O379" s="3">
        <v>4.5</v>
      </c>
      <c r="P379" s="8" t="s">
        <v>18</v>
      </c>
    </row>
    <row r="380" spans="1:16" x14ac:dyDescent="0.35">
      <c r="A380" s="7">
        <v>378</v>
      </c>
      <c r="B380" s="4" t="s">
        <v>436</v>
      </c>
      <c r="C380" s="4" t="s">
        <v>66</v>
      </c>
      <c r="D380" s="1">
        <v>5</v>
      </c>
      <c r="E380" s="1">
        <v>5</v>
      </c>
      <c r="F380" s="2">
        <v>4199.95</v>
      </c>
      <c r="G380" s="2">
        <v>2393.9699999999998</v>
      </c>
      <c r="H380" s="2">
        <v>5</v>
      </c>
      <c r="I380" s="2">
        <v>20</v>
      </c>
      <c r="J380" s="2">
        <v>188.16</v>
      </c>
      <c r="K380" s="2">
        <v>4.5</v>
      </c>
      <c r="L380" s="2">
        <v>2611.63</v>
      </c>
      <c r="M380" s="2">
        <v>1588.32</v>
      </c>
      <c r="N380" s="5">
        <v>0.37819999999999998</v>
      </c>
      <c r="O380" s="3">
        <v>4</v>
      </c>
      <c r="P380" s="8" t="s">
        <v>18</v>
      </c>
    </row>
    <row r="381" spans="1:16" x14ac:dyDescent="0.35">
      <c r="A381" s="7">
        <v>379</v>
      </c>
      <c r="B381" s="4" t="s">
        <v>437</v>
      </c>
      <c r="C381" s="4" t="s">
        <v>116</v>
      </c>
      <c r="D381" s="1">
        <v>16</v>
      </c>
      <c r="E381" s="1">
        <v>16</v>
      </c>
      <c r="F381" s="2">
        <v>4197.5</v>
      </c>
      <c r="G381" s="2">
        <v>1762.95</v>
      </c>
      <c r="H381" s="2">
        <v>16</v>
      </c>
      <c r="I381" s="2">
        <v>64</v>
      </c>
      <c r="J381" s="2">
        <v>340.46</v>
      </c>
      <c r="K381" s="2">
        <v>5.76</v>
      </c>
      <c r="L381" s="2">
        <v>2189.17</v>
      </c>
      <c r="M381" s="2">
        <v>2008.33</v>
      </c>
      <c r="N381" s="5">
        <v>0.47850000000000004</v>
      </c>
      <c r="O381" s="3">
        <v>3.29</v>
      </c>
      <c r="P381" s="8" t="s">
        <v>27</v>
      </c>
    </row>
    <row r="382" spans="1:16" x14ac:dyDescent="0.35">
      <c r="A382" s="7">
        <v>380</v>
      </c>
      <c r="B382" s="4" t="s">
        <v>438</v>
      </c>
      <c r="C382" s="4" t="s">
        <v>44</v>
      </c>
      <c r="D382" s="1">
        <v>11</v>
      </c>
      <c r="E382" s="1">
        <v>11</v>
      </c>
      <c r="F382" s="2">
        <v>4180</v>
      </c>
      <c r="G382" s="2">
        <v>1881</v>
      </c>
      <c r="H382" s="2">
        <v>55</v>
      </c>
      <c r="I382" s="2">
        <v>110</v>
      </c>
      <c r="J382" s="2">
        <v>462.28</v>
      </c>
      <c r="K382" s="2">
        <v>3.96</v>
      </c>
      <c r="L382" s="2">
        <v>2512.2399999999998</v>
      </c>
      <c r="M382" s="2">
        <v>1667.76</v>
      </c>
      <c r="N382" s="5">
        <v>0.39899999999999997</v>
      </c>
      <c r="O382" s="3">
        <v>3.09</v>
      </c>
      <c r="P382" s="8" t="s">
        <v>27</v>
      </c>
    </row>
    <row r="383" spans="1:16" x14ac:dyDescent="0.35">
      <c r="A383" s="7">
        <v>381</v>
      </c>
      <c r="B383" s="4" t="s">
        <v>439</v>
      </c>
      <c r="C383" s="4" t="s">
        <v>23</v>
      </c>
      <c r="D383" s="1">
        <v>16</v>
      </c>
      <c r="E383" s="1">
        <v>16</v>
      </c>
      <c r="F383" s="2">
        <v>4162.8599999999997</v>
      </c>
      <c r="G383" s="2">
        <v>2372.83</v>
      </c>
      <c r="H383" s="2">
        <v>36</v>
      </c>
      <c r="I383" s="2">
        <v>160</v>
      </c>
      <c r="J383" s="2">
        <v>218.65</v>
      </c>
      <c r="K383" s="2">
        <v>14.4</v>
      </c>
      <c r="L383" s="2">
        <v>2801.88</v>
      </c>
      <c r="M383" s="2">
        <v>1360.98</v>
      </c>
      <c r="N383" s="5">
        <v>0.32689999999999997</v>
      </c>
      <c r="O383" s="3">
        <v>4.3099999999999996</v>
      </c>
      <c r="P383" s="8" t="s">
        <v>18</v>
      </c>
    </row>
    <row r="384" spans="1:16" x14ac:dyDescent="0.35">
      <c r="A384" s="7">
        <v>382</v>
      </c>
      <c r="B384" s="4" t="s">
        <v>440</v>
      </c>
      <c r="C384" s="4" t="s">
        <v>30</v>
      </c>
      <c r="D384" s="1">
        <v>10</v>
      </c>
      <c r="E384" s="1">
        <v>9</v>
      </c>
      <c r="F384" s="2">
        <v>4159</v>
      </c>
      <c r="G384" s="2">
        <v>1746.78</v>
      </c>
      <c r="H384" s="2">
        <v>10</v>
      </c>
      <c r="I384" s="2">
        <v>36</v>
      </c>
      <c r="J384" s="2">
        <v>458.77</v>
      </c>
      <c r="K384" s="2">
        <v>3.6</v>
      </c>
      <c r="L384" s="2">
        <v>2255.15</v>
      </c>
      <c r="M384" s="2">
        <v>1903.85</v>
      </c>
      <c r="N384" s="5">
        <v>0.45779999999999998</v>
      </c>
      <c r="O384" s="3">
        <v>3.4</v>
      </c>
      <c r="P384" s="8" t="s">
        <v>27</v>
      </c>
    </row>
    <row r="385" spans="1:16" x14ac:dyDescent="0.35">
      <c r="A385" s="7">
        <v>383</v>
      </c>
      <c r="B385" s="4" t="s">
        <v>441</v>
      </c>
      <c r="C385" s="4" t="s">
        <v>32</v>
      </c>
      <c r="D385" s="1">
        <v>18</v>
      </c>
      <c r="E385" s="1">
        <v>17</v>
      </c>
      <c r="F385" s="2">
        <v>4149.82</v>
      </c>
      <c r="G385" s="2">
        <v>1867.42</v>
      </c>
      <c r="H385" s="2">
        <v>18</v>
      </c>
      <c r="I385" s="2">
        <v>68</v>
      </c>
      <c r="J385" s="2">
        <v>338.17</v>
      </c>
      <c r="K385" s="2">
        <v>6.48</v>
      </c>
      <c r="L385" s="2">
        <v>2298.0700000000002</v>
      </c>
      <c r="M385" s="2">
        <v>1851.75</v>
      </c>
      <c r="N385" s="5">
        <v>0.44619999999999999</v>
      </c>
      <c r="O385" s="3">
        <v>4.21</v>
      </c>
      <c r="P385" s="8" t="s">
        <v>18</v>
      </c>
    </row>
    <row r="386" spans="1:16" x14ac:dyDescent="0.35">
      <c r="A386" s="7">
        <v>384</v>
      </c>
      <c r="B386" s="4" t="s">
        <v>442</v>
      </c>
      <c r="C386" s="4" t="s">
        <v>57</v>
      </c>
      <c r="D386" s="1">
        <v>3</v>
      </c>
      <c r="E386" s="1">
        <v>3</v>
      </c>
      <c r="F386" s="2">
        <v>4149.7</v>
      </c>
      <c r="G386" s="2">
        <v>1867.37</v>
      </c>
      <c r="H386" s="2">
        <v>6.75</v>
      </c>
      <c r="I386" s="2">
        <v>19.5</v>
      </c>
      <c r="J386" s="2">
        <v>127.55</v>
      </c>
      <c r="K386" s="2">
        <v>1.08</v>
      </c>
      <c r="L386" s="2">
        <v>2022.25</v>
      </c>
      <c r="M386" s="2">
        <v>2127.4499999999998</v>
      </c>
      <c r="N386" s="5">
        <v>0.51270000000000004</v>
      </c>
      <c r="O386" s="3">
        <v>4</v>
      </c>
      <c r="P386" s="8" t="s">
        <v>18</v>
      </c>
    </row>
    <row r="387" spans="1:16" x14ac:dyDescent="0.35">
      <c r="A387" s="7">
        <v>385</v>
      </c>
      <c r="B387" s="4" t="s">
        <v>443</v>
      </c>
      <c r="C387" s="4" t="s">
        <v>92</v>
      </c>
      <c r="D387" s="1">
        <v>3</v>
      </c>
      <c r="E387" s="1">
        <v>3</v>
      </c>
      <c r="F387" s="2">
        <v>4140</v>
      </c>
      <c r="G387" s="2">
        <v>2359.8000000000002</v>
      </c>
      <c r="H387" s="2">
        <v>3</v>
      </c>
      <c r="I387" s="2">
        <v>12</v>
      </c>
      <c r="J387" s="2">
        <v>117.31</v>
      </c>
      <c r="K387" s="2">
        <v>2.7</v>
      </c>
      <c r="L387" s="2">
        <v>2494.81</v>
      </c>
      <c r="M387" s="2">
        <v>1645.19</v>
      </c>
      <c r="N387" s="5">
        <v>0.39740000000000003</v>
      </c>
      <c r="O387" s="3">
        <v>4</v>
      </c>
      <c r="P387" s="8" t="s">
        <v>18</v>
      </c>
    </row>
    <row r="388" spans="1:16" x14ac:dyDescent="0.35">
      <c r="A388" s="7">
        <v>386</v>
      </c>
      <c r="B388" s="4" t="s">
        <v>444</v>
      </c>
      <c r="C388" s="4" t="s">
        <v>76</v>
      </c>
      <c r="D388" s="1">
        <v>2</v>
      </c>
      <c r="E388" s="1">
        <v>2</v>
      </c>
      <c r="F388" s="2">
        <v>4140</v>
      </c>
      <c r="G388" s="2">
        <v>2359.8000000000002</v>
      </c>
      <c r="H388" s="2">
        <v>10</v>
      </c>
      <c r="I388" s="2">
        <v>20</v>
      </c>
      <c r="J388" s="2">
        <v>76.14</v>
      </c>
      <c r="K388" s="2">
        <v>0.72</v>
      </c>
      <c r="L388" s="2">
        <v>2466.66</v>
      </c>
      <c r="M388" s="2">
        <v>1673.34</v>
      </c>
      <c r="N388" s="5">
        <v>0.4042</v>
      </c>
      <c r="O388" s="3">
        <v>5</v>
      </c>
      <c r="P388" s="8" t="s">
        <v>18</v>
      </c>
    </row>
    <row r="389" spans="1:16" x14ac:dyDescent="0.35">
      <c r="A389" s="7">
        <v>387</v>
      </c>
      <c r="B389" s="4" t="s">
        <v>445</v>
      </c>
      <c r="C389" s="4" t="s">
        <v>138</v>
      </c>
      <c r="D389" s="1">
        <v>4</v>
      </c>
      <c r="E389" s="1">
        <v>4</v>
      </c>
      <c r="F389" s="2">
        <v>4118</v>
      </c>
      <c r="G389" s="2">
        <v>1853.1</v>
      </c>
      <c r="H389" s="2">
        <v>20</v>
      </c>
      <c r="I389" s="2">
        <v>40</v>
      </c>
      <c r="J389" s="2">
        <v>85.47</v>
      </c>
      <c r="K389" s="2">
        <v>1.44</v>
      </c>
      <c r="L389" s="2">
        <v>2000.01</v>
      </c>
      <c r="M389" s="2">
        <v>2117.9899999999998</v>
      </c>
      <c r="N389" s="5">
        <v>0.51429999999999998</v>
      </c>
      <c r="O389" s="3">
        <v>3.75</v>
      </c>
      <c r="P389" s="8" t="s">
        <v>27</v>
      </c>
    </row>
    <row r="390" spans="1:16" x14ac:dyDescent="0.35">
      <c r="A390" s="7">
        <v>388</v>
      </c>
      <c r="B390" s="4" t="s">
        <v>446</v>
      </c>
      <c r="C390" s="4" t="s">
        <v>17</v>
      </c>
      <c r="D390" s="1">
        <v>42</v>
      </c>
      <c r="E390" s="1">
        <v>41</v>
      </c>
      <c r="F390" s="2">
        <v>4111.6099999999997</v>
      </c>
      <c r="G390" s="2">
        <v>1726.88</v>
      </c>
      <c r="H390" s="2">
        <v>42</v>
      </c>
      <c r="I390" s="2">
        <v>164</v>
      </c>
      <c r="J390" s="2">
        <v>790.52</v>
      </c>
      <c r="K390" s="2">
        <v>15.12</v>
      </c>
      <c r="L390" s="2">
        <v>2738.52</v>
      </c>
      <c r="M390" s="2">
        <v>1373.09</v>
      </c>
      <c r="N390" s="5">
        <v>0.33399999999999996</v>
      </c>
      <c r="O390" s="3">
        <v>4.37</v>
      </c>
      <c r="P390" s="8" t="s">
        <v>18</v>
      </c>
    </row>
    <row r="391" spans="1:16" x14ac:dyDescent="0.35">
      <c r="A391" s="7">
        <v>389</v>
      </c>
      <c r="B391" s="4" t="s">
        <v>447</v>
      </c>
      <c r="C391" s="4" t="s">
        <v>148</v>
      </c>
      <c r="D391" s="1">
        <v>94</v>
      </c>
      <c r="E391" s="1">
        <v>82</v>
      </c>
      <c r="F391" s="2">
        <v>4111.2</v>
      </c>
      <c r="G391" s="2">
        <v>1726.7</v>
      </c>
      <c r="H391" s="2">
        <v>211.5</v>
      </c>
      <c r="I391" s="2">
        <v>533</v>
      </c>
      <c r="J391" s="2">
        <v>1174.44</v>
      </c>
      <c r="K391" s="2">
        <v>33.840000000000003</v>
      </c>
      <c r="L391" s="2">
        <v>3679.48</v>
      </c>
      <c r="M391" s="2">
        <v>431.72</v>
      </c>
      <c r="N391" s="5">
        <v>0.105</v>
      </c>
      <c r="O391" s="3">
        <v>4.01</v>
      </c>
      <c r="P391" s="8" t="s">
        <v>27</v>
      </c>
    </row>
    <row r="392" spans="1:16" x14ac:dyDescent="0.35">
      <c r="A392" s="7">
        <v>390</v>
      </c>
      <c r="B392" s="4" t="s">
        <v>448</v>
      </c>
      <c r="C392" s="4" t="s">
        <v>64</v>
      </c>
      <c r="D392" s="1">
        <v>1</v>
      </c>
      <c r="E392" s="1">
        <v>1</v>
      </c>
      <c r="F392" s="2">
        <v>4099.99</v>
      </c>
      <c r="G392" s="2">
        <v>2336.9899999999998</v>
      </c>
      <c r="H392" s="2">
        <v>1</v>
      </c>
      <c r="I392" s="2">
        <v>4</v>
      </c>
      <c r="J392" s="2">
        <v>75.27</v>
      </c>
      <c r="K392" s="2">
        <v>0.36</v>
      </c>
      <c r="L392" s="2">
        <v>2417.62</v>
      </c>
      <c r="M392" s="2">
        <v>1682.37</v>
      </c>
      <c r="N392" s="5">
        <v>0.4103</v>
      </c>
      <c r="O392" s="3">
        <v>5</v>
      </c>
      <c r="P392" s="8" t="s">
        <v>18</v>
      </c>
    </row>
    <row r="393" spans="1:16" x14ac:dyDescent="0.35">
      <c r="A393" s="7">
        <v>391</v>
      </c>
      <c r="B393" s="4" t="s">
        <v>449</v>
      </c>
      <c r="C393" s="4" t="s">
        <v>17</v>
      </c>
      <c r="D393" s="1">
        <v>137</v>
      </c>
      <c r="E393" s="1">
        <v>131</v>
      </c>
      <c r="F393" s="2">
        <v>4096.3</v>
      </c>
      <c r="G393" s="2">
        <v>1720.45</v>
      </c>
      <c r="H393" s="2">
        <v>137</v>
      </c>
      <c r="I393" s="2">
        <v>524</v>
      </c>
      <c r="J393" s="2">
        <v>1388.67</v>
      </c>
      <c r="K393" s="2">
        <v>49.32</v>
      </c>
      <c r="L393" s="2">
        <v>3819.44</v>
      </c>
      <c r="M393" s="2">
        <v>276.86</v>
      </c>
      <c r="N393" s="5">
        <v>6.7599999999999993E-2</v>
      </c>
      <c r="O393" s="3">
        <v>4.4800000000000004</v>
      </c>
      <c r="P393" s="8" t="s">
        <v>24</v>
      </c>
    </row>
    <row r="394" spans="1:16" x14ac:dyDescent="0.35">
      <c r="A394" s="7">
        <v>392</v>
      </c>
      <c r="B394" s="4" t="s">
        <v>450</v>
      </c>
      <c r="C394" s="4" t="s">
        <v>138</v>
      </c>
      <c r="D394" s="1">
        <v>7</v>
      </c>
      <c r="E394" s="1">
        <v>7</v>
      </c>
      <c r="F394" s="2">
        <v>4059.93</v>
      </c>
      <c r="G394" s="2">
        <v>1826.97</v>
      </c>
      <c r="H394" s="2">
        <v>35</v>
      </c>
      <c r="I394" s="2">
        <v>70</v>
      </c>
      <c r="J394" s="2">
        <v>210.07</v>
      </c>
      <c r="K394" s="2">
        <v>2.52</v>
      </c>
      <c r="L394" s="2">
        <v>2144.56</v>
      </c>
      <c r="M394" s="2">
        <v>1915.37</v>
      </c>
      <c r="N394" s="5">
        <v>0.4718</v>
      </c>
      <c r="O394" s="3">
        <v>4</v>
      </c>
      <c r="P394" s="8" t="s">
        <v>18</v>
      </c>
    </row>
    <row r="395" spans="1:16" x14ac:dyDescent="0.35">
      <c r="A395" s="7">
        <v>393</v>
      </c>
      <c r="B395" s="4" t="s">
        <v>451</v>
      </c>
      <c r="C395" s="4" t="s">
        <v>34</v>
      </c>
      <c r="D395" s="1">
        <v>6</v>
      </c>
      <c r="E395" s="1">
        <v>6</v>
      </c>
      <c r="F395" s="2">
        <v>4055.85</v>
      </c>
      <c r="G395" s="2">
        <v>1703.46</v>
      </c>
      <c r="H395" s="2">
        <v>6</v>
      </c>
      <c r="I395" s="2">
        <v>24</v>
      </c>
      <c r="J395" s="2">
        <v>128.86000000000001</v>
      </c>
      <c r="K395" s="2">
        <v>2.16</v>
      </c>
      <c r="L395" s="2">
        <v>1864.48</v>
      </c>
      <c r="M395" s="2">
        <v>2191.37</v>
      </c>
      <c r="N395" s="5">
        <v>0.5403</v>
      </c>
      <c r="O395" s="3">
        <v>4.33</v>
      </c>
      <c r="P395" s="8" t="s">
        <v>18</v>
      </c>
    </row>
    <row r="396" spans="1:16" x14ac:dyDescent="0.35">
      <c r="A396" s="7">
        <v>394</v>
      </c>
      <c r="B396" s="4" t="s">
        <v>452</v>
      </c>
      <c r="C396" s="4" t="s">
        <v>116</v>
      </c>
      <c r="D396" s="1">
        <v>3</v>
      </c>
      <c r="E396" s="1">
        <v>3</v>
      </c>
      <c r="F396" s="2">
        <v>4050</v>
      </c>
      <c r="G396" s="2">
        <v>1701</v>
      </c>
      <c r="H396" s="2">
        <v>3</v>
      </c>
      <c r="I396" s="2">
        <v>12</v>
      </c>
      <c r="J396" s="2">
        <v>399.48</v>
      </c>
      <c r="K396" s="2">
        <v>1.08</v>
      </c>
      <c r="L396" s="2">
        <v>2116.56</v>
      </c>
      <c r="M396" s="2">
        <v>1933.44</v>
      </c>
      <c r="N396" s="5">
        <v>0.47740000000000005</v>
      </c>
      <c r="O396" s="3">
        <v>3.33</v>
      </c>
      <c r="P396" s="8" t="s">
        <v>27</v>
      </c>
    </row>
    <row r="397" spans="1:16" x14ac:dyDescent="0.35">
      <c r="A397" s="7">
        <v>395</v>
      </c>
      <c r="B397" s="4" t="s">
        <v>453</v>
      </c>
      <c r="C397" s="4" t="s">
        <v>34</v>
      </c>
      <c r="D397" s="1">
        <v>6</v>
      </c>
      <c r="E397" s="1">
        <v>6</v>
      </c>
      <c r="F397" s="2">
        <v>4044.31</v>
      </c>
      <c r="G397" s="2">
        <v>1698.61</v>
      </c>
      <c r="H397" s="2">
        <v>6</v>
      </c>
      <c r="I397" s="2">
        <v>24</v>
      </c>
      <c r="J397" s="2">
        <v>97.51</v>
      </c>
      <c r="K397" s="2">
        <v>2.16</v>
      </c>
      <c r="L397" s="2">
        <v>1828.28</v>
      </c>
      <c r="M397" s="2">
        <v>2216.0300000000002</v>
      </c>
      <c r="N397" s="5">
        <v>0.54789999999999994</v>
      </c>
      <c r="O397" s="3">
        <v>4.67</v>
      </c>
      <c r="P397" s="8" t="s">
        <v>18</v>
      </c>
    </row>
    <row r="398" spans="1:16" x14ac:dyDescent="0.35">
      <c r="A398" s="7">
        <v>396</v>
      </c>
      <c r="B398" s="4" t="s">
        <v>454</v>
      </c>
      <c r="C398" s="4" t="s">
        <v>455</v>
      </c>
      <c r="D398" s="1">
        <v>8</v>
      </c>
      <c r="E398" s="1">
        <v>6</v>
      </c>
      <c r="F398" s="2">
        <v>4040</v>
      </c>
      <c r="G398" s="2">
        <v>1818</v>
      </c>
      <c r="H398" s="2">
        <v>40</v>
      </c>
      <c r="I398" s="2">
        <v>60</v>
      </c>
      <c r="J398" s="2">
        <v>401.14</v>
      </c>
      <c r="K398" s="2">
        <v>2.88</v>
      </c>
      <c r="L398" s="2">
        <v>2322.02</v>
      </c>
      <c r="M398" s="2">
        <v>1717.98</v>
      </c>
      <c r="N398" s="5">
        <v>0.42520000000000002</v>
      </c>
      <c r="O398" s="3">
        <v>4.75</v>
      </c>
      <c r="P398" s="8" t="s">
        <v>18</v>
      </c>
    </row>
    <row r="399" spans="1:16" x14ac:dyDescent="0.35">
      <c r="A399" s="7">
        <v>397</v>
      </c>
      <c r="B399" s="4" t="s">
        <v>456</v>
      </c>
      <c r="C399" s="4" t="s">
        <v>34</v>
      </c>
      <c r="D399" s="1">
        <v>22</v>
      </c>
      <c r="E399" s="1">
        <v>22</v>
      </c>
      <c r="F399" s="2">
        <v>4034.53</v>
      </c>
      <c r="G399" s="2">
        <v>1694.5</v>
      </c>
      <c r="H399" s="2">
        <v>22</v>
      </c>
      <c r="I399" s="2">
        <v>88</v>
      </c>
      <c r="J399" s="2">
        <v>441.29</v>
      </c>
      <c r="K399" s="2">
        <v>7.92</v>
      </c>
      <c r="L399" s="2">
        <v>2253.71</v>
      </c>
      <c r="M399" s="2">
        <v>1780.82</v>
      </c>
      <c r="N399" s="5">
        <v>0.44140000000000001</v>
      </c>
      <c r="O399" s="3">
        <v>4.3600000000000003</v>
      </c>
      <c r="P399" s="8" t="s">
        <v>18</v>
      </c>
    </row>
    <row r="400" spans="1:16" x14ac:dyDescent="0.35">
      <c r="A400" s="7">
        <v>398</v>
      </c>
      <c r="B400" s="4" t="s">
        <v>457</v>
      </c>
      <c r="C400" s="4" t="s">
        <v>104</v>
      </c>
      <c r="D400" s="1">
        <v>16</v>
      </c>
      <c r="E400" s="1">
        <v>15</v>
      </c>
      <c r="F400" s="2">
        <v>4018.29</v>
      </c>
      <c r="G400" s="2">
        <v>1687.68</v>
      </c>
      <c r="H400" s="2">
        <v>16</v>
      </c>
      <c r="I400" s="2">
        <v>60</v>
      </c>
      <c r="J400" s="2">
        <v>227.48</v>
      </c>
      <c r="K400" s="2">
        <v>5.76</v>
      </c>
      <c r="L400" s="2">
        <v>1996.92</v>
      </c>
      <c r="M400" s="2">
        <v>2021.37</v>
      </c>
      <c r="N400" s="5">
        <v>0.503</v>
      </c>
      <c r="O400" s="3">
        <v>3.75</v>
      </c>
      <c r="P400" s="8" t="s">
        <v>27</v>
      </c>
    </row>
    <row r="401" spans="1:16" x14ac:dyDescent="0.35">
      <c r="A401" s="7">
        <v>399</v>
      </c>
      <c r="B401" s="4" t="s">
        <v>458</v>
      </c>
      <c r="C401" s="4" t="s">
        <v>426</v>
      </c>
      <c r="D401" s="1">
        <v>37</v>
      </c>
      <c r="E401" s="1">
        <v>36</v>
      </c>
      <c r="F401" s="2">
        <v>4004</v>
      </c>
      <c r="G401" s="2">
        <v>1801.8</v>
      </c>
      <c r="H401" s="2">
        <v>37</v>
      </c>
      <c r="I401" s="2">
        <v>144</v>
      </c>
      <c r="J401" s="2">
        <v>753.1</v>
      </c>
      <c r="K401" s="2">
        <v>13.32</v>
      </c>
      <c r="L401" s="2">
        <v>2749.22</v>
      </c>
      <c r="M401" s="2">
        <v>1254.78</v>
      </c>
      <c r="N401" s="5">
        <v>0.31340000000000001</v>
      </c>
      <c r="O401" s="3">
        <v>4.49</v>
      </c>
      <c r="P401" s="8" t="s">
        <v>18</v>
      </c>
    </row>
    <row r="402" spans="1:16" x14ac:dyDescent="0.35">
      <c r="A402" s="7">
        <v>400</v>
      </c>
      <c r="B402" s="4" t="s">
        <v>459</v>
      </c>
      <c r="C402" s="4" t="s">
        <v>34</v>
      </c>
      <c r="D402" s="1">
        <v>1</v>
      </c>
      <c r="E402" s="1">
        <v>1</v>
      </c>
      <c r="F402" s="2">
        <v>3999.9</v>
      </c>
      <c r="G402" s="2">
        <v>1679.96</v>
      </c>
      <c r="H402" s="2">
        <v>1</v>
      </c>
      <c r="I402" s="2">
        <v>4</v>
      </c>
      <c r="J402" s="2">
        <v>17.010000000000002</v>
      </c>
      <c r="K402" s="2">
        <v>0.36</v>
      </c>
      <c r="L402" s="2">
        <v>1702.33</v>
      </c>
      <c r="M402" s="2">
        <v>2297.5700000000002</v>
      </c>
      <c r="N402" s="5">
        <v>0.57440000000000002</v>
      </c>
      <c r="O402" s="3">
        <v>5</v>
      </c>
      <c r="P402" s="8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9793-5183-46B3-8E2F-9AAEEDFC96DC}">
  <dimension ref="A2:N412"/>
  <sheetViews>
    <sheetView zoomScale="60" zoomScaleNormal="50" workbookViewId="0">
      <pane xSplit="2" ySplit="2" topLeftCell="C35" activePane="bottomRight" state="frozen"/>
      <selection pane="topRight" activeCell="C1" sqref="C1"/>
      <selection pane="bottomLeft" activeCell="A3" sqref="A3"/>
      <selection pane="bottomRight" activeCell="A57" sqref="A57"/>
    </sheetView>
  </sheetViews>
  <sheetFormatPr defaultRowHeight="14.5" x14ac:dyDescent="0.35"/>
  <cols>
    <col min="1" max="1" width="35.08984375" bestFit="1" customWidth="1"/>
    <col min="2" max="2" width="17.453125" customWidth="1"/>
    <col min="3" max="3" width="16.54296875" bestFit="1" customWidth="1"/>
    <col min="4" max="4" width="14.7265625" bestFit="1" customWidth="1"/>
    <col min="5" max="5" width="12.26953125" customWidth="1"/>
    <col min="6" max="6" width="16.6328125" customWidth="1"/>
    <col min="7" max="7" width="21.26953125" customWidth="1"/>
    <col min="8" max="8" width="16.1796875" customWidth="1"/>
    <col min="9" max="9" width="29.7265625" style="10" bestFit="1" customWidth="1"/>
    <col min="10" max="10" width="21.453125" style="10" bestFit="1" customWidth="1"/>
    <col min="11" max="11" width="42" bestFit="1" customWidth="1"/>
    <col min="12" max="12" width="10.26953125" style="11" bestFit="1" customWidth="1"/>
    <col min="14" max="14" width="12" bestFit="1" customWidth="1"/>
  </cols>
  <sheetData>
    <row r="2" spans="1:14" x14ac:dyDescent="0.35">
      <c r="A2" s="1" t="s">
        <v>1</v>
      </c>
      <c r="B2" s="1" t="s">
        <v>2</v>
      </c>
      <c r="C2" s="1" t="s">
        <v>5</v>
      </c>
      <c r="D2" s="1" t="s">
        <v>10</v>
      </c>
      <c r="E2" s="1" t="s">
        <v>460</v>
      </c>
      <c r="F2" s="1" t="s">
        <v>6</v>
      </c>
      <c r="G2" s="1" t="s">
        <v>461</v>
      </c>
      <c r="H2" s="1" t="s">
        <v>462</v>
      </c>
      <c r="I2" s="10" t="s">
        <v>463</v>
      </c>
      <c r="J2" s="10" t="s">
        <v>464</v>
      </c>
      <c r="K2" t="s">
        <v>465</v>
      </c>
      <c r="L2" s="11" t="s">
        <v>15</v>
      </c>
    </row>
    <row r="3" spans="1:14" x14ac:dyDescent="0.35">
      <c r="A3" s="3" t="str">
        <f>tbl_raw[[#This Row],[product_id]]</f>
        <v>bb50f2e236e5eea0100680137654686c</v>
      </c>
      <c r="B3" s="4" t="str">
        <f>tbl_raw[[#This Row],[category]]</f>
        <v>health_beauty</v>
      </c>
      <c r="C3" s="2">
        <f>tbl_raw[[#This Row],[gross_revenue]]</f>
        <v>63885</v>
      </c>
      <c r="D3" s="2">
        <f>tbl_raw[[#This Row],[return_loss]]</f>
        <v>70.2</v>
      </c>
      <c r="E3" s="2">
        <f>C3-D3</f>
        <v>63814.8</v>
      </c>
      <c r="F3" s="2">
        <f>tbl_raw[[#This Row],[cogs]]</f>
        <v>26831.7</v>
      </c>
      <c r="G3" s="2">
        <f>SUM(tbl_raw[[#This Row],[storage_cost]:[freight_cost]])</f>
        <v>4664.1000000000004</v>
      </c>
      <c r="H3" s="2">
        <f>tbl_profitability[[#This Row],[net_revenue_after_returns]]-tbl_profitability[[#This Row],[cogs]]-tbl_profitability[[#This Row],[operating_costs]]</f>
        <v>32319.000000000007</v>
      </c>
      <c r="I3" s="10">
        <f>(tbl_profitability[[#This Row],[gross_revenue]]-tbl_profitability[[#This Row],[cogs]])/tbl_profitability[[#This Row],[gross_revenue]]</f>
        <v>0.58000000000000007</v>
      </c>
      <c r="J3" s="10">
        <f>tbl_profitability[[#This Row],[net_profit]]/tbl_profitability[[#This Row],[gross_revenue]]</f>
        <v>0.505893402207091</v>
      </c>
      <c r="K3" s="2">
        <f>(tbl_profitability[[#This Row],[cogs]]+tbl_profitability[[#This Row],[return_loss]]+tbl_profitability[[#This Row],[operating_costs]])/tbl_raw[[#This Row],[units_sold]]</f>
        <v>161.87692307692308</v>
      </c>
      <c r="L3" s="8" t="str">
        <f>tbl_raw[[#This Row],[decision]]</f>
        <v>SCALE</v>
      </c>
      <c r="N3" s="2"/>
    </row>
    <row r="4" spans="1:14" x14ac:dyDescent="0.35">
      <c r="A4" s="3" t="str">
        <f>tbl_raw[[#This Row],[product_id]]</f>
        <v>6cdd53843498f92890544667809f1595</v>
      </c>
      <c r="B4" s="4" t="str">
        <f>tbl_raw[[#This Row],[category]]</f>
        <v>health_beauty</v>
      </c>
      <c r="C4" s="2">
        <f>tbl_raw[[#This Row],[gross_revenue]]</f>
        <v>54730.2</v>
      </c>
      <c r="D4" s="2">
        <f>tbl_raw[[#This Row],[return_loss]]</f>
        <v>56.16</v>
      </c>
      <c r="E4" s="2">
        <f t="shared" ref="E4:E67" si="0">C4-D4</f>
        <v>54674.039999999994</v>
      </c>
      <c r="F4" s="2">
        <f>tbl_raw[[#This Row],[cogs]]</f>
        <v>22986.68</v>
      </c>
      <c r="G4" s="2">
        <f>SUM(tbl_raw[[#This Row],[storage_cost]:[freight_cost]])</f>
        <v>5123.79</v>
      </c>
      <c r="H4" s="2">
        <f>tbl_profitability[[#This Row],[net_revenue_after_returns]]-tbl_profitability[[#This Row],[cogs]]-tbl_profitability[[#This Row],[operating_costs]]</f>
        <v>26563.569999999992</v>
      </c>
      <c r="I4" s="10">
        <f>(tbl_profitability[[#This Row],[gross_revenue]]-tbl_profitability[[#This Row],[cogs]])/tbl_profitability[[#This Row],[gross_revenue]]</f>
        <v>0.58000007308579171</v>
      </c>
      <c r="J4" s="10">
        <f>tbl_profitability[[#This Row],[net_profit]]/tbl_profitability[[#This Row],[gross_revenue]]</f>
        <v>0.48535488633332224</v>
      </c>
      <c r="K4" s="2">
        <f>(tbl_profitability[[#This Row],[cogs]]+tbl_profitability[[#This Row],[return_loss]]+tbl_profitability[[#This Row],[operating_costs]])/tbl_raw[[#This Row],[units_sold]]</f>
        <v>180.55532051282051</v>
      </c>
      <c r="L4" s="8" t="str">
        <f>tbl_raw[[#This Row],[decision]]</f>
        <v>SCALE</v>
      </c>
    </row>
    <row r="5" spans="1:14" x14ac:dyDescent="0.35">
      <c r="A5" s="3" t="str">
        <f>tbl_raw[[#This Row],[product_id]]</f>
        <v>d6160fb7873f184099d9bc95e30376af</v>
      </c>
      <c r="B5" s="4" t="str">
        <f>tbl_raw[[#This Row],[category]]</f>
        <v>computers</v>
      </c>
      <c r="C5" s="2">
        <f>tbl_raw[[#This Row],[gross_revenue]]</f>
        <v>48899.34</v>
      </c>
      <c r="D5" s="2">
        <f>tbl_raw[[#This Row],[return_loss]]</f>
        <v>31.5</v>
      </c>
      <c r="E5" s="2">
        <f t="shared" si="0"/>
        <v>48867.839999999997</v>
      </c>
      <c r="F5" s="2">
        <f>tbl_raw[[#This Row],[cogs]]</f>
        <v>27872.62</v>
      </c>
      <c r="G5" s="2">
        <f>SUM(tbl_raw[[#This Row],[storage_cost]:[freight_cost]])</f>
        <v>1855.59</v>
      </c>
      <c r="H5" s="2">
        <f>tbl_profitability[[#This Row],[net_revenue_after_returns]]-tbl_profitability[[#This Row],[cogs]]-tbl_profitability[[#This Row],[operating_costs]]</f>
        <v>19139.629999999997</v>
      </c>
      <c r="I5" s="10">
        <f>(tbl_profitability[[#This Row],[gross_revenue]]-tbl_profitability[[#This Row],[cogs]])/tbl_profitability[[#This Row],[gross_revenue]]</f>
        <v>0.43000007771066029</v>
      </c>
      <c r="J5" s="10">
        <f>tbl_profitability[[#This Row],[net_profit]]/tbl_profitability[[#This Row],[gross_revenue]]</f>
        <v>0.39140875930022773</v>
      </c>
      <c r="K5" s="2">
        <f>(tbl_profitability[[#This Row],[cogs]]+tbl_profitability[[#This Row],[return_loss]]+tbl_profitability[[#This Row],[operating_costs]])/tbl_raw[[#This Row],[units_sold]]</f>
        <v>850.27742857142857</v>
      </c>
      <c r="L5" s="8" t="str">
        <f>tbl_raw[[#This Row],[decision]]</f>
        <v>SCALE</v>
      </c>
    </row>
    <row r="6" spans="1:14" x14ac:dyDescent="0.35">
      <c r="A6" s="3" t="str">
        <f>tbl_raw[[#This Row],[product_id]]</f>
        <v>d1c427060a0f73f6b889a5c7c61f2ac4</v>
      </c>
      <c r="B6" s="4" t="str">
        <f>tbl_raw[[#This Row],[category]]</f>
        <v>computers_accessories</v>
      </c>
      <c r="C6" s="2">
        <f>tbl_raw[[#This Row],[gross_revenue]]</f>
        <v>46916.51</v>
      </c>
      <c r="D6" s="2">
        <f>tbl_raw[[#This Row],[return_loss]]</f>
        <v>306.89999999999998</v>
      </c>
      <c r="E6" s="2">
        <f t="shared" si="0"/>
        <v>46609.61</v>
      </c>
      <c r="F6" s="2">
        <f>tbl_raw[[#This Row],[cogs]]</f>
        <v>26742.41</v>
      </c>
      <c r="G6" s="2">
        <f>SUM(tbl_raw[[#This Row],[storage_cost]:[freight_cost]])</f>
        <v>17658.03</v>
      </c>
      <c r="H6" s="2">
        <f>tbl_profitability[[#This Row],[net_revenue_after_returns]]-tbl_profitability[[#This Row],[cogs]]-tbl_profitability[[#This Row],[operating_costs]]</f>
        <v>2209.1700000000019</v>
      </c>
      <c r="I6" s="10">
        <f>(tbl_profitability[[#This Row],[gross_revenue]]-tbl_profitability[[#This Row],[cogs]])/tbl_profitability[[#This Row],[gross_revenue]]</f>
        <v>0.43000001492012091</v>
      </c>
      <c r="J6" s="10">
        <f>tbl_profitability[[#This Row],[net_profit]]/tbl_profitability[[#This Row],[gross_revenue]]</f>
        <v>4.7087262032065084E-2</v>
      </c>
      <c r="K6" s="2">
        <f>(tbl_profitability[[#This Row],[cogs]]+tbl_profitability[[#This Row],[return_loss]]+tbl_profitability[[#This Row],[operating_costs]])/tbl_raw[[#This Row],[units_sold]]</f>
        <v>131.106568914956</v>
      </c>
      <c r="L6" s="8" t="str">
        <f>tbl_raw[[#This Row],[decision]]</f>
        <v>EXIT</v>
      </c>
    </row>
    <row r="7" spans="1:14" x14ac:dyDescent="0.35">
      <c r="A7" s="3" t="str">
        <f>tbl_raw[[#This Row],[product_id]]</f>
        <v>99a4788cb24856965c36a24e339b6058</v>
      </c>
      <c r="B7" s="4" t="str">
        <f>tbl_raw[[#This Row],[category]]</f>
        <v>bed_bath_table</v>
      </c>
      <c r="C7" s="2">
        <f>tbl_raw[[#This Row],[gross_revenue]]</f>
        <v>42938.66</v>
      </c>
      <c r="D7" s="2">
        <f>tbl_raw[[#This Row],[return_loss]]</f>
        <v>175.32</v>
      </c>
      <c r="E7" s="2">
        <f t="shared" si="0"/>
        <v>42763.340000000004</v>
      </c>
      <c r="F7" s="2">
        <f>tbl_raw[[#This Row],[cogs]]</f>
        <v>19322.400000000001</v>
      </c>
      <c r="G7" s="2">
        <f>SUM(tbl_raw[[#This Row],[storage_cost]:[freight_cost]])</f>
        <v>12149.689999999999</v>
      </c>
      <c r="H7" s="2">
        <f>tbl_profitability[[#This Row],[net_revenue_after_returns]]-tbl_profitability[[#This Row],[cogs]]-tbl_profitability[[#This Row],[operating_costs]]</f>
        <v>11291.250000000004</v>
      </c>
      <c r="I7" s="10">
        <f>(tbl_profitability[[#This Row],[gross_revenue]]-tbl_profitability[[#This Row],[cogs]])/tbl_profitability[[#This Row],[gross_revenue]]</f>
        <v>0.54999993013289195</v>
      </c>
      <c r="J7" s="10">
        <f>tbl_profitability[[#This Row],[net_profit]]/tbl_profitability[[#This Row],[gross_revenue]]</f>
        <v>0.26296232812109188</v>
      </c>
      <c r="K7" s="2">
        <f>(tbl_profitability[[#This Row],[cogs]]+tbl_profitability[[#This Row],[return_loss]]+tbl_profitability[[#This Row],[operating_costs]])/tbl_raw[[#This Row],[units_sold]]</f>
        <v>64.984414784394247</v>
      </c>
      <c r="L7" s="8" t="str">
        <f>tbl_raw[[#This Row],[decision]]</f>
        <v>OPTIMIZE</v>
      </c>
    </row>
    <row r="8" spans="1:14" x14ac:dyDescent="0.35">
      <c r="A8" s="3" t="str">
        <f>tbl_raw[[#This Row],[product_id]]</f>
        <v>3dd2a17168ec895c781a9191c1e95ad7</v>
      </c>
      <c r="B8" s="4" t="str">
        <f>tbl_raw[[#This Row],[category]]</f>
        <v>computers_accessories</v>
      </c>
      <c r="C8" s="2">
        <f>tbl_raw[[#This Row],[gross_revenue]]</f>
        <v>41082.6</v>
      </c>
      <c r="D8" s="2">
        <f>tbl_raw[[#This Row],[return_loss]]</f>
        <v>246.6</v>
      </c>
      <c r="E8" s="2">
        <f t="shared" si="0"/>
        <v>40836</v>
      </c>
      <c r="F8" s="2">
        <f>tbl_raw[[#This Row],[cogs]]</f>
        <v>23417.08</v>
      </c>
      <c r="G8" s="2">
        <f>SUM(tbl_raw[[#This Row],[storage_cost]:[freight_cost]])</f>
        <v>10296.119999999999</v>
      </c>
      <c r="H8" s="2">
        <f>tbl_profitability[[#This Row],[net_revenue_after_returns]]-tbl_profitability[[#This Row],[cogs]]-tbl_profitability[[#This Row],[operating_costs]]</f>
        <v>7122.7999999999993</v>
      </c>
      <c r="I8" s="10">
        <f>(tbl_profitability[[#This Row],[gross_revenue]]-tbl_profitability[[#This Row],[cogs]])/tbl_profitability[[#This Row],[gross_revenue]]</f>
        <v>0.43000004868241049</v>
      </c>
      <c r="J8" s="10">
        <f>tbl_profitability[[#This Row],[net_profit]]/tbl_profitability[[#This Row],[gross_revenue]]</f>
        <v>0.17337753696212022</v>
      </c>
      <c r="K8" s="2">
        <f>(tbl_profitability[[#This Row],[cogs]]+tbl_profitability[[#This Row],[return_loss]]+tbl_profitability[[#This Row],[operating_costs]])/tbl_raw[[#This Row],[units_sold]]</f>
        <v>123.94087591240877</v>
      </c>
      <c r="L8" s="8" t="str">
        <f>tbl_raw[[#This Row],[decision]]</f>
        <v>OPTIMIZE</v>
      </c>
    </row>
    <row r="9" spans="1:14" x14ac:dyDescent="0.35">
      <c r="A9" s="3" t="str">
        <f>tbl_raw[[#This Row],[product_id]]</f>
        <v>25c38557cf793876c5abdd5931f922db</v>
      </c>
      <c r="B9" s="4" t="str">
        <f>tbl_raw[[#This Row],[category]]</f>
        <v>baby</v>
      </c>
      <c r="C9" s="2">
        <f>tbl_raw[[#This Row],[gross_revenue]]</f>
        <v>38907.32</v>
      </c>
      <c r="D9" s="2">
        <f>tbl_raw[[#This Row],[return_loss]]</f>
        <v>13.68</v>
      </c>
      <c r="E9" s="2">
        <f t="shared" si="0"/>
        <v>38893.64</v>
      </c>
      <c r="F9" s="2">
        <f>tbl_raw[[#This Row],[cogs]]</f>
        <v>16341.07</v>
      </c>
      <c r="G9" s="2">
        <f>SUM(tbl_raw[[#This Row],[storage_cost]:[freight_cost]])</f>
        <v>1594.63</v>
      </c>
      <c r="H9" s="2">
        <f>tbl_profitability[[#This Row],[net_revenue_after_returns]]-tbl_profitability[[#This Row],[cogs]]-tbl_profitability[[#This Row],[operating_costs]]</f>
        <v>20957.939999999999</v>
      </c>
      <c r="I9" s="10">
        <f>(tbl_profitability[[#This Row],[gross_revenue]]-tbl_profitability[[#This Row],[cogs]])/tbl_profitability[[#This Row],[gross_revenue]]</f>
        <v>0.58000011308925925</v>
      </c>
      <c r="J9" s="10">
        <f>tbl_profitability[[#This Row],[net_profit]]/tbl_profitability[[#This Row],[gross_revenue]]</f>
        <v>0.53866316158501792</v>
      </c>
      <c r="K9" s="2">
        <f>(tbl_profitability[[#This Row],[cogs]]+tbl_profitability[[#This Row],[return_loss]]+tbl_profitability[[#This Row],[operating_costs]])/tbl_raw[[#This Row],[units_sold]]</f>
        <v>472.35210526315791</v>
      </c>
      <c r="L9" s="8" t="str">
        <f>tbl_raw[[#This Row],[decision]]</f>
        <v>EXIT</v>
      </c>
    </row>
    <row r="10" spans="1:14" x14ac:dyDescent="0.35">
      <c r="A10" s="3" t="str">
        <f>tbl_raw[[#This Row],[product_id]]</f>
        <v>5f504b3a1c75b73d6151be81eb05bdc9</v>
      </c>
      <c r="B10" s="4" t="str">
        <f>tbl_raw[[#This Row],[category]]</f>
        <v>cool_stuff</v>
      </c>
      <c r="C10" s="2">
        <f>tbl_raw[[#This Row],[gross_revenue]]</f>
        <v>37733.9</v>
      </c>
      <c r="D10" s="2">
        <f>tbl_raw[[#This Row],[return_loss]]</f>
        <v>22.68</v>
      </c>
      <c r="E10" s="2">
        <f t="shared" si="0"/>
        <v>37711.22</v>
      </c>
      <c r="F10" s="2">
        <f>tbl_raw[[#This Row],[cogs]]</f>
        <v>16980.259999999998</v>
      </c>
      <c r="G10" s="2">
        <f>SUM(tbl_raw[[#This Row],[storage_cost]:[freight_cost]])</f>
        <v>4306.91</v>
      </c>
      <c r="H10" s="2">
        <f>tbl_profitability[[#This Row],[net_revenue_after_returns]]-tbl_profitability[[#This Row],[cogs]]-tbl_profitability[[#This Row],[operating_costs]]</f>
        <v>16424.050000000003</v>
      </c>
      <c r="I10" s="10">
        <f>(tbl_profitability[[#This Row],[gross_revenue]]-tbl_profitability[[#This Row],[cogs]])/tbl_profitability[[#This Row],[gross_revenue]]</f>
        <v>0.5499998674931561</v>
      </c>
      <c r="J10" s="10">
        <f>tbl_profitability[[#This Row],[net_profit]]/tbl_profitability[[#This Row],[gross_revenue]]</f>
        <v>0.43525980616898868</v>
      </c>
      <c r="K10" s="2">
        <f>(tbl_profitability[[#This Row],[cogs]]+tbl_profitability[[#This Row],[return_loss]]+tbl_profitability[[#This Row],[operating_costs]])/tbl_raw[[#This Row],[units_sold]]</f>
        <v>338.25158730158728</v>
      </c>
      <c r="L10" s="8" t="str">
        <f>tbl_raw[[#This Row],[decision]]</f>
        <v>SCALE</v>
      </c>
    </row>
    <row r="11" spans="1:14" x14ac:dyDescent="0.35">
      <c r="A11" s="3" t="str">
        <f>tbl_raw[[#This Row],[product_id]]</f>
        <v>53b36df67ebb7c41585e8d54d6772e08</v>
      </c>
      <c r="B11" s="4" t="str">
        <f>tbl_raw[[#This Row],[category]]</f>
        <v>watches_gifts</v>
      </c>
      <c r="C11" s="2">
        <f>tbl_raw[[#This Row],[gross_revenue]]</f>
        <v>37683.42</v>
      </c>
      <c r="D11" s="2">
        <f>tbl_raw[[#This Row],[return_loss]]</f>
        <v>116.28</v>
      </c>
      <c r="E11" s="2">
        <f t="shared" si="0"/>
        <v>37567.14</v>
      </c>
      <c r="F11" s="2">
        <f>tbl_raw[[#This Row],[cogs]]</f>
        <v>15827.04</v>
      </c>
      <c r="G11" s="2">
        <f>SUM(tbl_raw[[#This Row],[storage_cost]:[freight_cost]])</f>
        <v>3821.51</v>
      </c>
      <c r="H11" s="2">
        <f>tbl_profitability[[#This Row],[net_revenue_after_returns]]-tbl_profitability[[#This Row],[cogs]]-tbl_profitability[[#This Row],[operating_costs]]</f>
        <v>17918.589999999997</v>
      </c>
      <c r="I11" s="10">
        <f>(tbl_profitability[[#This Row],[gross_revenue]]-tbl_profitability[[#This Row],[cogs]])/tbl_profitability[[#This Row],[gross_revenue]]</f>
        <v>0.57999990446726968</v>
      </c>
      <c r="J11" s="10">
        <f>tbl_profitability[[#This Row],[net_profit]]/tbl_profitability[[#This Row],[gross_revenue]]</f>
        <v>0.47550328499907912</v>
      </c>
      <c r="K11" s="2">
        <f>(tbl_profitability[[#This Row],[cogs]]+tbl_profitability[[#This Row],[return_loss]]+tbl_profitability[[#This Row],[operating_costs]])/tbl_raw[[#This Row],[units_sold]]</f>
        <v>61.191424148606814</v>
      </c>
      <c r="L11" s="8" t="str">
        <f>tbl_raw[[#This Row],[decision]]</f>
        <v>SCALE</v>
      </c>
    </row>
    <row r="12" spans="1:14" x14ac:dyDescent="0.35">
      <c r="A12" s="3" t="str">
        <f>tbl_raw[[#This Row],[product_id]]</f>
        <v>aca2eb7d00ea1a7b8ebd4e68314663af</v>
      </c>
      <c r="B12" s="4" t="str">
        <f>tbl_raw[[#This Row],[category]]</f>
        <v>furniture_decor</v>
      </c>
      <c r="C12" s="2">
        <f>tbl_raw[[#This Row],[gross_revenue]]</f>
        <v>37608.9</v>
      </c>
      <c r="D12" s="2">
        <f>tbl_raw[[#This Row],[return_loss]]</f>
        <v>189.72</v>
      </c>
      <c r="E12" s="2">
        <f t="shared" si="0"/>
        <v>37419.18</v>
      </c>
      <c r="F12" s="2">
        <f>tbl_raw[[#This Row],[cogs]]</f>
        <v>16924.009999999998</v>
      </c>
      <c r="G12" s="2">
        <f>SUM(tbl_raw[[#This Row],[storage_cost]:[freight_cost]])</f>
        <v>14156.86</v>
      </c>
      <c r="H12" s="2">
        <f>tbl_profitability[[#This Row],[net_revenue_after_returns]]-tbl_profitability[[#This Row],[cogs]]-tbl_profitability[[#This Row],[operating_costs]]</f>
        <v>6338.3100000000013</v>
      </c>
      <c r="I12" s="10">
        <f>(tbl_profitability[[#This Row],[gross_revenue]]-tbl_profitability[[#This Row],[cogs]])/tbl_profitability[[#This Row],[gross_revenue]]</f>
        <v>0.54999986705274551</v>
      </c>
      <c r="J12" s="10">
        <f>tbl_profitability[[#This Row],[net_profit]]/tbl_profitability[[#This Row],[gross_revenue]]</f>
        <v>0.16853218254189836</v>
      </c>
      <c r="K12" s="2">
        <f>(tbl_profitability[[#This Row],[cogs]]+tbl_profitability[[#This Row],[return_loss]]+tbl_profitability[[#This Row],[operating_costs]])/tbl_raw[[#This Row],[units_sold]]</f>
        <v>59.336982922201138</v>
      </c>
      <c r="L12" s="8" t="str">
        <f>tbl_raw[[#This Row],[decision]]</f>
        <v>OPTIMIZE</v>
      </c>
    </row>
    <row r="13" spans="1:14" x14ac:dyDescent="0.35">
      <c r="A13" s="3" t="str">
        <f>tbl_raw[[#This Row],[product_id]]</f>
        <v>e0d64dcfaa3b6db5c54ca298ae101d05</v>
      </c>
      <c r="B13" s="4" t="str">
        <f>tbl_raw[[#This Row],[category]]</f>
        <v>watches_gifts</v>
      </c>
      <c r="C13" s="2">
        <f>tbl_raw[[#This Row],[gross_revenue]]</f>
        <v>31786.82</v>
      </c>
      <c r="D13" s="2">
        <f>tbl_raw[[#This Row],[return_loss]]</f>
        <v>69.84</v>
      </c>
      <c r="E13" s="2">
        <f t="shared" si="0"/>
        <v>31716.98</v>
      </c>
      <c r="F13" s="2">
        <f>tbl_raw[[#This Row],[cogs]]</f>
        <v>13350.46</v>
      </c>
      <c r="G13" s="2">
        <f>SUM(tbl_raw[[#This Row],[storage_cost]:[freight_cost]])</f>
        <v>4527.2700000000004</v>
      </c>
      <c r="H13" s="2">
        <f>tbl_profitability[[#This Row],[net_revenue_after_returns]]-tbl_profitability[[#This Row],[cogs]]-tbl_profitability[[#This Row],[operating_costs]]</f>
        <v>13839.25</v>
      </c>
      <c r="I13" s="10">
        <f>(tbl_profitability[[#This Row],[gross_revenue]]-tbl_profitability[[#This Row],[cogs]])/tbl_profitability[[#This Row],[gross_revenue]]</f>
        <v>0.58000013842215115</v>
      </c>
      <c r="J13" s="10">
        <f>tbl_profitability[[#This Row],[net_profit]]/tbl_profitability[[#This Row],[gross_revenue]]</f>
        <v>0.43537698958247473</v>
      </c>
      <c r="K13" s="2">
        <f>(tbl_profitability[[#This Row],[cogs]]+tbl_profitability[[#This Row],[return_loss]]+tbl_profitability[[#This Row],[operating_costs]])/tbl_raw[[#This Row],[units_sold]]</f>
        <v>92.513247422680408</v>
      </c>
      <c r="L13" s="8" t="str">
        <f>tbl_raw[[#This Row],[decision]]</f>
        <v>OPTIMIZE</v>
      </c>
    </row>
    <row r="14" spans="1:14" x14ac:dyDescent="0.35">
      <c r="A14" s="3" t="str">
        <f>tbl_raw[[#This Row],[product_id]]</f>
        <v>d285360f29ac7fd97640bf0baef03de0</v>
      </c>
      <c r="B14" s="4" t="str">
        <f>tbl_raw[[#This Row],[category]]</f>
        <v>watches_gifts</v>
      </c>
      <c r="C14" s="2">
        <f>tbl_raw[[#This Row],[gross_revenue]]</f>
        <v>31623.81</v>
      </c>
      <c r="D14" s="2">
        <f>tbl_raw[[#This Row],[return_loss]]</f>
        <v>44.28</v>
      </c>
      <c r="E14" s="2">
        <f t="shared" si="0"/>
        <v>31579.530000000002</v>
      </c>
      <c r="F14" s="2">
        <f>tbl_raw[[#This Row],[cogs]]</f>
        <v>13282</v>
      </c>
      <c r="G14" s="2">
        <f>SUM(tbl_raw[[#This Row],[storage_cost]:[freight_cost]])</f>
        <v>2594.7600000000002</v>
      </c>
      <c r="H14" s="2">
        <f>tbl_profitability[[#This Row],[net_revenue_after_returns]]-tbl_profitability[[#This Row],[cogs]]-tbl_profitability[[#This Row],[operating_costs]]</f>
        <v>15702.770000000002</v>
      </c>
      <c r="I14" s="10">
        <f>(tbl_profitability[[#This Row],[gross_revenue]]-tbl_profitability[[#This Row],[cogs]])/tbl_profitability[[#This Row],[gross_revenue]]</f>
        <v>0.58000000632434867</v>
      </c>
      <c r="J14" s="10">
        <f>tbl_profitability[[#This Row],[net_profit]]/tbl_profitability[[#This Row],[gross_revenue]]</f>
        <v>0.49654896105181512</v>
      </c>
      <c r="K14" s="2">
        <f>(tbl_profitability[[#This Row],[cogs]]+tbl_profitability[[#This Row],[return_loss]]+tbl_profitability[[#This Row],[operating_costs]])/tbl_raw[[#This Row],[units_sold]]</f>
        <v>129.43934959349593</v>
      </c>
      <c r="L14" s="8" t="str">
        <f>tbl_raw[[#This Row],[decision]]</f>
        <v>OPTIMIZE</v>
      </c>
    </row>
    <row r="15" spans="1:14" x14ac:dyDescent="0.35">
      <c r="A15" s="3" t="str">
        <f>tbl_raw[[#This Row],[product_id]]</f>
        <v>7a10781637204d8d10485c71a6108a2e</v>
      </c>
      <c r="B15" s="4" t="str">
        <f>tbl_raw[[#This Row],[category]]</f>
        <v>watches_gifts</v>
      </c>
      <c r="C15" s="2">
        <f>tbl_raw[[#This Row],[gross_revenue]]</f>
        <v>30467.5</v>
      </c>
      <c r="D15" s="2">
        <f>tbl_raw[[#This Row],[return_loss]]</f>
        <v>51.48</v>
      </c>
      <c r="E15" s="2">
        <f t="shared" si="0"/>
        <v>30416.02</v>
      </c>
      <c r="F15" s="2">
        <f>tbl_raw[[#This Row],[cogs]]</f>
        <v>12796.35</v>
      </c>
      <c r="G15" s="2">
        <f>SUM(tbl_raw[[#This Row],[storage_cost]:[freight_cost]])</f>
        <v>3034.24</v>
      </c>
      <c r="H15" s="2">
        <f>tbl_profitability[[#This Row],[net_revenue_after_returns]]-tbl_profitability[[#This Row],[cogs]]-tbl_profitability[[#This Row],[operating_costs]]</f>
        <v>14585.429999999998</v>
      </c>
      <c r="I15" s="10">
        <f>(tbl_profitability[[#This Row],[gross_revenue]]-tbl_profitability[[#This Row],[cogs]])/tbl_profitability[[#This Row],[gross_revenue]]</f>
        <v>0.58000000000000007</v>
      </c>
      <c r="J15" s="10">
        <f>tbl_profitability[[#This Row],[net_profit]]/tbl_profitability[[#This Row],[gross_revenue]]</f>
        <v>0.47872093214080574</v>
      </c>
      <c r="K15" s="2">
        <f>(tbl_profitability[[#This Row],[cogs]]+tbl_profitability[[#This Row],[return_loss]]+tbl_profitability[[#This Row],[operating_costs]])/tbl_raw[[#This Row],[units_sold]]</f>
        <v>111.06342657342657</v>
      </c>
      <c r="L15" s="8" t="str">
        <f>tbl_raw[[#This Row],[decision]]</f>
        <v>SCALE</v>
      </c>
    </row>
    <row r="16" spans="1:14" x14ac:dyDescent="0.35">
      <c r="A16" s="3" t="str">
        <f>tbl_raw[[#This Row],[product_id]]</f>
        <v>f1c7f353075ce59d8a6f3cf58f419c9c</v>
      </c>
      <c r="B16" s="4" t="str">
        <f>tbl_raw[[#This Row],[category]]</f>
        <v>bed_bath_table</v>
      </c>
      <c r="C16" s="2">
        <f>tbl_raw[[#This Row],[gross_revenue]]</f>
        <v>29997.360000000001</v>
      </c>
      <c r="D16" s="2">
        <f>tbl_raw[[#This Row],[return_loss]]</f>
        <v>55.44</v>
      </c>
      <c r="E16" s="2">
        <f t="shared" si="0"/>
        <v>29941.920000000002</v>
      </c>
      <c r="F16" s="2">
        <f>tbl_raw[[#This Row],[cogs]]</f>
        <v>13498.81</v>
      </c>
      <c r="G16" s="2">
        <f>SUM(tbl_raw[[#This Row],[storage_cost]:[freight_cost]])</f>
        <v>4640.8999999999996</v>
      </c>
      <c r="H16" s="2">
        <f>tbl_profitability[[#This Row],[net_revenue_after_returns]]-tbl_profitability[[#This Row],[cogs]]-tbl_profitability[[#This Row],[operating_costs]]</f>
        <v>11802.210000000001</v>
      </c>
      <c r="I16" s="10">
        <f>(tbl_profitability[[#This Row],[gross_revenue]]-tbl_profitability[[#This Row],[cogs]])/tbl_profitability[[#This Row],[gross_revenue]]</f>
        <v>0.55000006667253398</v>
      </c>
      <c r="J16" s="10">
        <f>tbl_profitability[[#This Row],[net_profit]]/tbl_profitability[[#This Row],[gross_revenue]]</f>
        <v>0.39344162286281192</v>
      </c>
      <c r="K16" s="2">
        <f>(tbl_profitability[[#This Row],[cogs]]+tbl_profitability[[#This Row],[return_loss]]+tbl_profitability[[#This Row],[operating_costs]])/tbl_raw[[#This Row],[units_sold]]</f>
        <v>118.15032467532468</v>
      </c>
      <c r="L16" s="8" t="str">
        <f>tbl_raw[[#This Row],[decision]]</f>
        <v>SCALE</v>
      </c>
    </row>
    <row r="17" spans="1:12" x14ac:dyDescent="0.35">
      <c r="A17" s="3" t="str">
        <f>tbl_raw[[#This Row],[product_id]]</f>
        <v>f819f0c84a64f02d3a5606ca95edd272</v>
      </c>
      <c r="B17" s="4" t="str">
        <f>tbl_raw[[#This Row],[category]]</f>
        <v>watches_gifts</v>
      </c>
      <c r="C17" s="2">
        <f>tbl_raw[[#This Row],[gross_revenue]]</f>
        <v>29024.48</v>
      </c>
      <c r="D17" s="2">
        <f>tbl_raw[[#This Row],[return_loss]]</f>
        <v>16.2</v>
      </c>
      <c r="E17" s="2">
        <f t="shared" si="0"/>
        <v>29008.28</v>
      </c>
      <c r="F17" s="2">
        <f>tbl_raw[[#This Row],[cogs]]</f>
        <v>12190.28</v>
      </c>
      <c r="G17" s="2">
        <f>SUM(tbl_raw[[#This Row],[storage_cost]:[freight_cost]])</f>
        <v>1650.21</v>
      </c>
      <c r="H17" s="2">
        <f>tbl_profitability[[#This Row],[net_revenue_after_returns]]-tbl_profitability[[#This Row],[cogs]]-tbl_profitability[[#This Row],[operating_costs]]</f>
        <v>15167.79</v>
      </c>
      <c r="I17" s="10">
        <f>(tbl_profitability[[#This Row],[gross_revenue]]-tbl_profitability[[#This Row],[cogs]])/tbl_profitability[[#This Row],[gross_revenue]]</f>
        <v>0.58000005512587982</v>
      </c>
      <c r="J17" s="10">
        <f>tbl_profitability[[#This Row],[net_profit]]/tbl_profitability[[#This Row],[gross_revenue]]</f>
        <v>0.52258610662447702</v>
      </c>
      <c r="K17" s="2">
        <f>(tbl_profitability[[#This Row],[cogs]]+tbl_profitability[[#This Row],[return_loss]]+tbl_profitability[[#This Row],[operating_costs]])/tbl_raw[[#This Row],[units_sold]]</f>
        <v>307.92644444444448</v>
      </c>
      <c r="L17" s="8" t="str">
        <f>tbl_raw[[#This Row],[decision]]</f>
        <v>SCALE</v>
      </c>
    </row>
    <row r="18" spans="1:12" x14ac:dyDescent="0.35">
      <c r="A18" s="3" t="str">
        <f>tbl_raw[[#This Row],[product_id]]</f>
        <v>588531f8ec37e7d5ff5b7b22ea0488f8</v>
      </c>
      <c r="B18" s="4" t="str">
        <f>tbl_raw[[#This Row],[category]]</f>
        <v>computers</v>
      </c>
      <c r="C18" s="2">
        <f>tbl_raw[[#This Row],[gross_revenue]]</f>
        <v>28291.99</v>
      </c>
      <c r="D18" s="2">
        <f>tbl_raw[[#This Row],[return_loss]]</f>
        <v>18</v>
      </c>
      <c r="E18" s="2">
        <f t="shared" si="0"/>
        <v>28273.99</v>
      </c>
      <c r="F18" s="2">
        <f>tbl_raw[[#This Row],[cogs]]</f>
        <v>16126.43</v>
      </c>
      <c r="G18" s="2">
        <f>SUM(tbl_raw[[#This Row],[storage_cost]:[freight_cost]])</f>
        <v>1023.22</v>
      </c>
      <c r="H18" s="2">
        <f>tbl_profitability[[#This Row],[net_revenue_after_returns]]-tbl_profitability[[#This Row],[cogs]]-tbl_profitability[[#This Row],[operating_costs]]</f>
        <v>11124.340000000002</v>
      </c>
      <c r="I18" s="10">
        <f>(tbl_profitability[[#This Row],[gross_revenue]]-tbl_profitability[[#This Row],[cogs]])/tbl_profitability[[#This Row],[gross_revenue]]</f>
        <v>0.43000015198648101</v>
      </c>
      <c r="J18" s="10">
        <f>tbl_profitability[[#This Row],[net_profit]]/tbl_profitability[[#This Row],[gross_revenue]]</f>
        <v>0.39319750925968805</v>
      </c>
      <c r="K18" s="2">
        <f>(tbl_profitability[[#This Row],[cogs]]+tbl_profitability[[#This Row],[return_loss]]+tbl_profitability[[#This Row],[operating_costs]])/tbl_raw[[#This Row],[units_sold]]</f>
        <v>858.38250000000005</v>
      </c>
      <c r="L18" s="8" t="str">
        <f>tbl_raw[[#This Row],[decision]]</f>
        <v>SCALE</v>
      </c>
    </row>
    <row r="19" spans="1:12" x14ac:dyDescent="0.35">
      <c r="A19" s="3" t="str">
        <f>tbl_raw[[#This Row],[product_id]]</f>
        <v>422879e10f46682990de24d770e7f83d</v>
      </c>
      <c r="B19" s="4" t="str">
        <f>tbl_raw[[#This Row],[category]]</f>
        <v>garden_tools</v>
      </c>
      <c r="C19" s="2">
        <f>tbl_raw[[#This Row],[gross_revenue]]</f>
        <v>26577.22</v>
      </c>
      <c r="D19" s="2">
        <f>tbl_raw[[#This Row],[return_loss]]</f>
        <v>174.24</v>
      </c>
      <c r="E19" s="2">
        <f t="shared" si="0"/>
        <v>26402.98</v>
      </c>
      <c r="F19" s="2">
        <f>tbl_raw[[#This Row],[cogs]]</f>
        <v>11959.75</v>
      </c>
      <c r="G19" s="2">
        <f>SUM(tbl_raw[[#This Row],[storage_cost]:[freight_cost]])</f>
        <v>13564.04</v>
      </c>
      <c r="H19" s="2">
        <f>tbl_profitability[[#This Row],[net_revenue_after_returns]]-tbl_profitability[[#This Row],[cogs]]-tbl_profitability[[#This Row],[operating_costs]]</f>
        <v>879.18999999999869</v>
      </c>
      <c r="I19" s="10">
        <f>(tbl_profitability[[#This Row],[gross_revenue]]-tbl_profitability[[#This Row],[cogs]])/tbl_profitability[[#This Row],[gross_revenue]]</f>
        <v>0.54999996237379234</v>
      </c>
      <c r="J19" s="10">
        <f>tbl_profitability[[#This Row],[net_profit]]/tbl_profitability[[#This Row],[gross_revenue]]</f>
        <v>3.3080585554094773E-2</v>
      </c>
      <c r="K19" s="2">
        <f>(tbl_profitability[[#This Row],[cogs]]+tbl_profitability[[#This Row],[return_loss]]+tbl_profitability[[#This Row],[operating_costs]])/tbl_raw[[#This Row],[units_sold]]</f>
        <v>53.095103305785123</v>
      </c>
      <c r="L19" s="8" t="str">
        <f>tbl_raw[[#This Row],[decision]]</f>
        <v>EXIT</v>
      </c>
    </row>
    <row r="20" spans="1:12" x14ac:dyDescent="0.35">
      <c r="A20" s="3" t="str">
        <f>tbl_raw[[#This Row],[product_id]]</f>
        <v>16c4e87b98a9370a9cbc3a4658a3f45b</v>
      </c>
      <c r="B20" s="4" t="str">
        <f>tbl_raw[[#This Row],[category]]</f>
        <v>musical_instruments</v>
      </c>
      <c r="C20" s="2">
        <f>tbl_raw[[#This Row],[gross_revenue]]</f>
        <v>25034</v>
      </c>
      <c r="D20" s="2">
        <f>tbl_raw[[#This Row],[return_loss]]</f>
        <v>1.3</v>
      </c>
      <c r="E20" s="2">
        <f t="shared" si="0"/>
        <v>25032.7</v>
      </c>
      <c r="F20" s="2">
        <f>tbl_raw[[#This Row],[cogs]]</f>
        <v>10013.6</v>
      </c>
      <c r="G20" s="2">
        <f>SUM(tbl_raw[[#This Row],[storage_cost]:[freight_cost]])</f>
        <v>1709.9</v>
      </c>
      <c r="H20" s="2">
        <f>tbl_profitability[[#This Row],[net_revenue_after_returns]]-tbl_profitability[[#This Row],[cogs]]-tbl_profitability[[#This Row],[operating_costs]]</f>
        <v>13309.2</v>
      </c>
      <c r="I20" s="10">
        <f>(tbl_profitability[[#This Row],[gross_revenue]]-tbl_profitability[[#This Row],[cogs]])/tbl_profitability[[#This Row],[gross_revenue]]</f>
        <v>0.6</v>
      </c>
      <c r="J20" s="10">
        <f>tbl_profitability[[#This Row],[net_profit]]/tbl_profitability[[#This Row],[gross_revenue]]</f>
        <v>0.53164496285052332</v>
      </c>
      <c r="K20" s="2">
        <f>(tbl_profitability[[#This Row],[cogs]]+tbl_profitability[[#This Row],[return_loss]]+tbl_profitability[[#This Row],[operating_costs]])/tbl_raw[[#This Row],[units_sold]]</f>
        <v>901.90769230769229</v>
      </c>
      <c r="L20" s="8" t="str">
        <f>tbl_raw[[#This Row],[decision]]</f>
        <v>SCALE</v>
      </c>
    </row>
    <row r="21" spans="1:12" x14ac:dyDescent="0.35">
      <c r="A21" s="3" t="str">
        <f>tbl_raw[[#This Row],[product_id]]</f>
        <v>a62e25e09e05e6faf31d90c6ec1aa3d1</v>
      </c>
      <c r="B21" s="4" t="str">
        <f>tbl_raw[[#This Row],[category]]</f>
        <v>watches_gifts</v>
      </c>
      <c r="C21" s="2">
        <f>tbl_raw[[#This Row],[gross_revenue]]</f>
        <v>23943</v>
      </c>
      <c r="D21" s="2">
        <f>tbl_raw[[#This Row],[return_loss]]</f>
        <v>81</v>
      </c>
      <c r="E21" s="2">
        <f t="shared" si="0"/>
        <v>23862</v>
      </c>
      <c r="F21" s="2">
        <f>tbl_raw[[#This Row],[cogs]]</f>
        <v>10056.06</v>
      </c>
      <c r="G21" s="2">
        <f>SUM(tbl_raw[[#This Row],[storage_cost]:[freight_cost]])</f>
        <v>4839.7800000000007</v>
      </c>
      <c r="H21" s="2">
        <f>tbl_profitability[[#This Row],[net_revenue_after_returns]]-tbl_profitability[[#This Row],[cogs]]-tbl_profitability[[#This Row],[operating_costs]]</f>
        <v>8966.16</v>
      </c>
      <c r="I21" s="10">
        <f>(tbl_profitability[[#This Row],[gross_revenue]]-tbl_profitability[[#This Row],[cogs]])/tbl_profitability[[#This Row],[gross_revenue]]</f>
        <v>0.58000000000000007</v>
      </c>
      <c r="J21" s="10">
        <f>tbl_profitability[[#This Row],[net_profit]]/tbl_profitability[[#This Row],[gross_revenue]]</f>
        <v>0.374479388547801</v>
      </c>
      <c r="K21" s="2">
        <f>(tbl_profitability[[#This Row],[cogs]]+tbl_profitability[[#This Row],[return_loss]]+tbl_profitability[[#This Row],[operating_costs]])/tbl_raw[[#This Row],[units_sold]]</f>
        <v>66.563733333333332</v>
      </c>
      <c r="L21" s="8" t="str">
        <f>tbl_raw[[#This Row],[decision]]</f>
        <v>OPTIMIZE</v>
      </c>
    </row>
    <row r="22" spans="1:12" x14ac:dyDescent="0.35">
      <c r="A22" s="3" t="str">
        <f>tbl_raw[[#This Row],[product_id]]</f>
        <v>2b4609f8948be18874494203496bc318</v>
      </c>
      <c r="B22" s="4" t="str">
        <f>tbl_raw[[#This Row],[category]]</f>
        <v>health_beauty</v>
      </c>
      <c r="C22" s="2">
        <f>tbl_raw[[#This Row],[gross_revenue]]</f>
        <v>22627.23</v>
      </c>
      <c r="D22" s="2">
        <f>tbl_raw[[#This Row],[return_loss]]</f>
        <v>93.24</v>
      </c>
      <c r="E22" s="2">
        <f t="shared" si="0"/>
        <v>22533.989999999998</v>
      </c>
      <c r="F22" s="2">
        <f>tbl_raw[[#This Row],[cogs]]</f>
        <v>9503.44</v>
      </c>
      <c r="G22" s="2">
        <f>SUM(tbl_raw[[#This Row],[storage_cost]:[freight_cost]])</f>
        <v>5220.55</v>
      </c>
      <c r="H22" s="2">
        <f>tbl_profitability[[#This Row],[net_revenue_after_returns]]-tbl_profitability[[#This Row],[cogs]]-tbl_profitability[[#This Row],[operating_costs]]</f>
        <v>7809.9999999999973</v>
      </c>
      <c r="I22" s="10">
        <f>(tbl_profitability[[#This Row],[gross_revenue]]-tbl_profitability[[#This Row],[cogs]])/tbl_profitability[[#This Row],[gross_revenue]]</f>
        <v>0.57999984973856722</v>
      </c>
      <c r="J22" s="10">
        <f>tbl_profitability[[#This Row],[net_profit]]/tbl_profitability[[#This Row],[gross_revenue]]</f>
        <v>0.3451593500397529</v>
      </c>
      <c r="K22" s="2">
        <f>(tbl_profitability[[#This Row],[cogs]]+tbl_profitability[[#This Row],[return_loss]]+tbl_profitability[[#This Row],[operating_costs]])/tbl_raw[[#This Row],[units_sold]]</f>
        <v>57.209382239382236</v>
      </c>
      <c r="L22" s="8" t="str">
        <f>tbl_raw[[#This Row],[decision]]</f>
        <v>SCALE</v>
      </c>
    </row>
    <row r="23" spans="1:12" x14ac:dyDescent="0.35">
      <c r="A23" s="3" t="str">
        <f>tbl_raw[[#This Row],[product_id]]</f>
        <v>a5215a7a9f46c4185b12f38e9ddf2abc</v>
      </c>
      <c r="B23" s="4" t="str">
        <f>tbl_raw[[#This Row],[category]]</f>
        <v>computers</v>
      </c>
      <c r="C23" s="2">
        <f>tbl_raw[[#This Row],[gross_revenue]]</f>
        <v>21739.9</v>
      </c>
      <c r="D23" s="2">
        <f>tbl_raw[[#This Row],[return_loss]]</f>
        <v>15.3</v>
      </c>
      <c r="E23" s="2">
        <f t="shared" si="0"/>
        <v>21724.600000000002</v>
      </c>
      <c r="F23" s="2">
        <f>tbl_raw[[#This Row],[cogs]]</f>
        <v>12391.74</v>
      </c>
      <c r="G23" s="2">
        <f>SUM(tbl_raw[[#This Row],[storage_cost]:[freight_cost]])</f>
        <v>869.37</v>
      </c>
      <c r="H23" s="2">
        <f>tbl_profitability[[#This Row],[net_revenue_after_returns]]-tbl_profitability[[#This Row],[cogs]]-tbl_profitability[[#This Row],[operating_costs]]</f>
        <v>8463.4900000000016</v>
      </c>
      <c r="I23" s="10">
        <f>(tbl_profitability[[#This Row],[gross_revenue]]-tbl_profitability[[#This Row],[cogs]])/tbl_profitability[[#This Row],[gross_revenue]]</f>
        <v>0.43000013799511499</v>
      </c>
      <c r="J23" s="10">
        <f>tbl_profitability[[#This Row],[net_profit]]/tbl_profitability[[#This Row],[gross_revenue]]</f>
        <v>0.3893067585407477</v>
      </c>
      <c r="K23" s="2">
        <f>(tbl_profitability[[#This Row],[cogs]]+tbl_profitability[[#This Row],[return_loss]]+tbl_profitability[[#This Row],[operating_costs]])/tbl_raw[[#This Row],[units_sold]]</f>
        <v>780.96529411764709</v>
      </c>
      <c r="L23" s="8" t="str">
        <f>tbl_raw[[#This Row],[decision]]</f>
        <v>SCALE</v>
      </c>
    </row>
    <row r="24" spans="1:12" x14ac:dyDescent="0.35">
      <c r="A24" s="3" t="str">
        <f>tbl_raw[[#This Row],[product_id]]</f>
        <v>bc4cd4da98dd128c39bf0b8c2674032f</v>
      </c>
      <c r="B24" s="4" t="str">
        <f>tbl_raw[[#This Row],[category]]</f>
        <v>computers</v>
      </c>
      <c r="C24" s="2">
        <f>tbl_raw[[#This Row],[gross_revenue]]</f>
        <v>21499.59</v>
      </c>
      <c r="D24" s="2">
        <f>tbl_raw[[#This Row],[return_loss]]</f>
        <v>15.3</v>
      </c>
      <c r="E24" s="2">
        <f t="shared" si="0"/>
        <v>21484.29</v>
      </c>
      <c r="F24" s="2">
        <f>tbl_raw[[#This Row],[cogs]]</f>
        <v>12254.77</v>
      </c>
      <c r="G24" s="2">
        <f>SUM(tbl_raw[[#This Row],[storage_cost]:[freight_cost]])</f>
        <v>893.1</v>
      </c>
      <c r="H24" s="2">
        <f>tbl_profitability[[#This Row],[net_revenue_after_returns]]-tbl_profitability[[#This Row],[cogs]]-tbl_profitability[[#This Row],[operating_costs]]</f>
        <v>8336.42</v>
      </c>
      <c r="I24" s="10">
        <f>(tbl_profitability[[#This Row],[gross_revenue]]-tbl_profitability[[#This Row],[cogs]])/tbl_profitability[[#This Row],[gross_revenue]]</f>
        <v>0.4299998279036949</v>
      </c>
      <c r="J24" s="10">
        <f>tbl_profitability[[#This Row],[net_profit]]/tbl_profitability[[#This Row],[gross_revenue]]</f>
        <v>0.3877478593777835</v>
      </c>
      <c r="K24" s="2">
        <f>(tbl_profitability[[#This Row],[cogs]]+tbl_profitability[[#This Row],[return_loss]]+tbl_profitability[[#This Row],[operating_costs]])/tbl_raw[[#This Row],[units_sold]]</f>
        <v>774.30411764705877</v>
      </c>
      <c r="L24" s="8" t="str">
        <f>tbl_raw[[#This Row],[decision]]</f>
        <v>SCALE</v>
      </c>
    </row>
    <row r="25" spans="1:12" x14ac:dyDescent="0.35">
      <c r="A25" s="3" t="str">
        <f>tbl_raw[[#This Row],[product_id]]</f>
        <v>389d119b48cf3043d311335e499d9c6b</v>
      </c>
      <c r="B25" s="4" t="str">
        <f>tbl_raw[[#This Row],[category]]</f>
        <v>garden_tools</v>
      </c>
      <c r="C25" s="2">
        <f>tbl_raw[[#This Row],[gross_revenue]]</f>
        <v>21390.69</v>
      </c>
      <c r="D25" s="2">
        <f>tbl_raw[[#This Row],[return_loss]]</f>
        <v>140.76</v>
      </c>
      <c r="E25" s="2">
        <f t="shared" si="0"/>
        <v>21249.93</v>
      </c>
      <c r="F25" s="2">
        <f>tbl_raw[[#This Row],[cogs]]</f>
        <v>9625.81</v>
      </c>
      <c r="G25" s="2">
        <f>SUM(tbl_raw[[#This Row],[storage_cost]:[freight_cost]])</f>
        <v>12279.49</v>
      </c>
      <c r="H25" s="2">
        <f>tbl_profitability[[#This Row],[net_revenue_after_returns]]-tbl_profitability[[#This Row],[cogs]]-tbl_profitability[[#This Row],[operating_costs]]</f>
        <v>-655.36999999999898</v>
      </c>
      <c r="I25" s="10">
        <f>(tbl_profitability[[#This Row],[gross_revenue]]-tbl_profitability[[#This Row],[cogs]])/tbl_profitability[[#This Row],[gross_revenue]]</f>
        <v>0.55000002337465503</v>
      </c>
      <c r="J25" s="10">
        <f>tbl_profitability[[#This Row],[net_profit]]/tbl_profitability[[#This Row],[gross_revenue]]</f>
        <v>-3.0638095358307704E-2</v>
      </c>
      <c r="K25" s="2">
        <f>(tbl_profitability[[#This Row],[cogs]]+tbl_profitability[[#This Row],[return_loss]]+tbl_profitability[[#This Row],[operating_costs]])/tbl_raw[[#This Row],[units_sold]]</f>
        <v>56.383785166240401</v>
      </c>
      <c r="L25" s="8" t="str">
        <f>tbl_raw[[#This Row],[decision]]</f>
        <v>EXIT</v>
      </c>
    </row>
    <row r="26" spans="1:12" x14ac:dyDescent="0.35">
      <c r="A26" s="3" t="str">
        <f>tbl_raw[[#This Row],[product_id]]</f>
        <v>368c6c730842d78016ad823897a372db</v>
      </c>
      <c r="B26" s="4" t="str">
        <f>tbl_raw[[#This Row],[category]]</f>
        <v>garden_tools</v>
      </c>
      <c r="C26" s="2">
        <f>tbl_raw[[#This Row],[gross_revenue]]</f>
        <v>21056.799999999999</v>
      </c>
      <c r="D26" s="2">
        <f>tbl_raw[[#This Row],[return_loss]]</f>
        <v>139.68</v>
      </c>
      <c r="E26" s="2">
        <f t="shared" si="0"/>
        <v>20917.12</v>
      </c>
      <c r="F26" s="2">
        <f>tbl_raw[[#This Row],[cogs]]</f>
        <v>9475.56</v>
      </c>
      <c r="G26" s="2">
        <f>SUM(tbl_raw[[#This Row],[storage_cost]:[freight_cost]])</f>
        <v>11777.6</v>
      </c>
      <c r="H26" s="2">
        <f>tbl_profitability[[#This Row],[net_revenue_after_returns]]-tbl_profitability[[#This Row],[cogs]]-tbl_profitability[[#This Row],[operating_costs]]</f>
        <v>-336.04000000000087</v>
      </c>
      <c r="I26" s="10">
        <f>(tbl_profitability[[#This Row],[gross_revenue]]-tbl_profitability[[#This Row],[cogs]])/tbl_profitability[[#This Row],[gross_revenue]]</f>
        <v>0.55000000000000004</v>
      </c>
      <c r="J26" s="10">
        <f>tbl_profitability[[#This Row],[net_profit]]/tbl_profitability[[#This Row],[gross_revenue]]</f>
        <v>-1.5958740169446491E-2</v>
      </c>
      <c r="K26" s="2">
        <f>(tbl_profitability[[#This Row],[cogs]]+tbl_profitability[[#This Row],[return_loss]]+tbl_profitability[[#This Row],[operating_costs]])/tbl_raw[[#This Row],[units_sold]]</f>
        <v>55.136185567010308</v>
      </c>
      <c r="L26" s="8" t="str">
        <f>tbl_raw[[#This Row],[decision]]</f>
        <v>EXIT</v>
      </c>
    </row>
    <row r="27" spans="1:12" x14ac:dyDescent="0.35">
      <c r="A27" s="3" t="str">
        <f>tbl_raw[[#This Row],[product_id]]</f>
        <v>461f43be3bdf8844e65b62d9ac2c7a5a</v>
      </c>
      <c r="B27" s="4" t="str">
        <f>tbl_raw[[#This Row],[category]]</f>
        <v>watches_gifts</v>
      </c>
      <c r="C27" s="2">
        <f>tbl_raw[[#This Row],[gross_revenue]]</f>
        <v>20593.22</v>
      </c>
      <c r="D27" s="2">
        <f>tbl_raw[[#This Row],[return_loss]]</f>
        <v>52.56</v>
      </c>
      <c r="E27" s="2">
        <f t="shared" si="0"/>
        <v>20540.66</v>
      </c>
      <c r="F27" s="2">
        <f>tbl_raw[[#This Row],[cogs]]</f>
        <v>8649.15</v>
      </c>
      <c r="G27" s="2">
        <f>SUM(tbl_raw[[#This Row],[storage_cost]:[freight_cost]])</f>
        <v>3344.61</v>
      </c>
      <c r="H27" s="2">
        <f>tbl_profitability[[#This Row],[net_revenue_after_returns]]-tbl_profitability[[#This Row],[cogs]]-tbl_profitability[[#This Row],[operating_costs]]</f>
        <v>8546.9</v>
      </c>
      <c r="I27" s="10">
        <f>(tbl_profitability[[#This Row],[gross_revenue]]-tbl_profitability[[#This Row],[cogs]])/tbl_profitability[[#This Row],[gross_revenue]]</f>
        <v>0.58000011654321182</v>
      </c>
      <c r="J27" s="10">
        <f>tbl_profitability[[#This Row],[net_profit]]/tbl_profitability[[#This Row],[gross_revenue]]</f>
        <v>0.4150346570376075</v>
      </c>
      <c r="K27" s="2">
        <f>(tbl_profitability[[#This Row],[cogs]]+tbl_profitability[[#This Row],[return_loss]]+tbl_profitability[[#This Row],[operating_costs]])/tbl_raw[[#This Row],[units_sold]]</f>
        <v>82.50904109589041</v>
      </c>
      <c r="L27" s="8" t="str">
        <f>tbl_raw[[#This Row],[decision]]</f>
        <v>OPTIMIZE</v>
      </c>
    </row>
    <row r="28" spans="1:12" x14ac:dyDescent="0.35">
      <c r="A28" s="3" t="str">
        <f>tbl_raw[[#This Row],[product_id]]</f>
        <v>52c80cedd4e90108bf4fa6a206ef6b03</v>
      </c>
      <c r="B28" s="4" t="str">
        <f>tbl_raw[[#This Row],[category]]</f>
        <v>garden_tools</v>
      </c>
      <c r="C28" s="2">
        <f>tbl_raw[[#This Row],[gross_revenue]]</f>
        <v>20495.560000000001</v>
      </c>
      <c r="D28" s="2">
        <f>tbl_raw[[#This Row],[return_loss]]</f>
        <v>42.48</v>
      </c>
      <c r="E28" s="2">
        <f t="shared" si="0"/>
        <v>20453.080000000002</v>
      </c>
      <c r="F28" s="2">
        <f>tbl_raw[[#This Row],[cogs]]</f>
        <v>9223</v>
      </c>
      <c r="G28" s="2">
        <f>SUM(tbl_raw[[#This Row],[storage_cost]:[freight_cost]])</f>
        <v>7120.7</v>
      </c>
      <c r="H28" s="2">
        <f>tbl_profitability[[#This Row],[net_revenue_after_returns]]-tbl_profitability[[#This Row],[cogs]]-tbl_profitability[[#This Row],[operating_costs]]</f>
        <v>4109.3800000000019</v>
      </c>
      <c r="I28" s="10">
        <f>(tbl_profitability[[#This Row],[gross_revenue]]-tbl_profitability[[#This Row],[cogs]])/tbl_profitability[[#This Row],[gross_revenue]]</f>
        <v>0.55000009758211055</v>
      </c>
      <c r="J28" s="10">
        <f>tbl_profitability[[#This Row],[net_profit]]/tbl_profitability[[#This Row],[gross_revenue]]</f>
        <v>0.2005009865551369</v>
      </c>
      <c r="K28" s="2">
        <f>(tbl_profitability[[#This Row],[cogs]]+tbl_profitability[[#This Row],[return_loss]]+tbl_profitability[[#This Row],[operating_costs]])/tbl_raw[[#This Row],[units_sold]]</f>
        <v>138.86593220338983</v>
      </c>
      <c r="L28" s="8" t="str">
        <f>tbl_raw[[#This Row],[decision]]</f>
        <v>OPTIMIZE</v>
      </c>
    </row>
    <row r="29" spans="1:12" x14ac:dyDescent="0.35">
      <c r="A29" s="3" t="str">
        <f>tbl_raw[[#This Row],[product_id]]</f>
        <v>53759a2ecddad2bb87a079a1f1519f73</v>
      </c>
      <c r="B29" s="4" t="str">
        <f>tbl_raw[[#This Row],[category]]</f>
        <v>garden_tools</v>
      </c>
      <c r="C29" s="2">
        <f>tbl_raw[[#This Row],[gross_revenue]]</f>
        <v>20387.2</v>
      </c>
      <c r="D29" s="2">
        <f>tbl_raw[[#This Row],[return_loss]]</f>
        <v>134.28</v>
      </c>
      <c r="E29" s="2">
        <f t="shared" si="0"/>
        <v>20252.920000000002</v>
      </c>
      <c r="F29" s="2">
        <f>tbl_raw[[#This Row],[cogs]]</f>
        <v>9174.24</v>
      </c>
      <c r="G29" s="2">
        <f>SUM(tbl_raw[[#This Row],[storage_cost]:[freight_cost]])</f>
        <v>11616.029999999999</v>
      </c>
      <c r="H29" s="2">
        <f>tbl_profitability[[#This Row],[net_revenue_after_returns]]-tbl_profitability[[#This Row],[cogs]]-tbl_profitability[[#This Row],[operating_costs]]</f>
        <v>-537.34999999999673</v>
      </c>
      <c r="I29" s="10">
        <f>(tbl_profitability[[#This Row],[gross_revenue]]-tbl_profitability[[#This Row],[cogs]])/tbl_profitability[[#This Row],[gross_revenue]]</f>
        <v>0.55000000000000004</v>
      </c>
      <c r="J29" s="10">
        <f>tbl_profitability[[#This Row],[net_profit]]/tbl_profitability[[#This Row],[gross_revenue]]</f>
        <v>-2.6357224140637101E-2</v>
      </c>
      <c r="K29" s="2">
        <f>(tbl_profitability[[#This Row],[cogs]]+tbl_profitability[[#This Row],[return_loss]]+tbl_profitability[[#This Row],[operating_costs]])/tbl_raw[[#This Row],[units_sold]]</f>
        <v>56.097989276139408</v>
      </c>
      <c r="L29" s="8" t="str">
        <f>tbl_raw[[#This Row],[decision]]</f>
        <v>EXIT</v>
      </c>
    </row>
    <row r="30" spans="1:12" x14ac:dyDescent="0.35">
      <c r="A30" s="3" t="str">
        <f>tbl_raw[[#This Row],[product_id]]</f>
        <v>fd0065af7f09af4b82a0ca8f3eed1852</v>
      </c>
      <c r="B30" s="4" t="str">
        <f>tbl_raw[[#This Row],[category]]</f>
        <v>auto</v>
      </c>
      <c r="C30" s="2">
        <f>tbl_raw[[#This Row],[gross_revenue]]</f>
        <v>19999.900000000001</v>
      </c>
      <c r="D30" s="2">
        <f>tbl_raw[[#This Row],[return_loss]]</f>
        <v>3.6</v>
      </c>
      <c r="E30" s="2">
        <f t="shared" si="0"/>
        <v>19996.300000000003</v>
      </c>
      <c r="F30" s="2">
        <f>tbl_raw[[#This Row],[cogs]]</f>
        <v>8999.9599999999991</v>
      </c>
      <c r="G30" s="2">
        <f>SUM(tbl_raw[[#This Row],[storage_cost]:[freight_cost]])</f>
        <v>428.94</v>
      </c>
      <c r="H30" s="2">
        <f>tbl_profitability[[#This Row],[net_revenue_after_returns]]-tbl_profitability[[#This Row],[cogs]]-tbl_profitability[[#This Row],[operating_costs]]</f>
        <v>10567.400000000003</v>
      </c>
      <c r="I30" s="10">
        <f>(tbl_profitability[[#This Row],[gross_revenue]]-tbl_profitability[[#This Row],[cogs]])/tbl_profitability[[#This Row],[gross_revenue]]</f>
        <v>0.54999974999875012</v>
      </c>
      <c r="J30" s="10">
        <f>tbl_profitability[[#This Row],[net_profit]]/tbl_profitability[[#This Row],[gross_revenue]]</f>
        <v>0.52837264186320942</v>
      </c>
      <c r="K30" s="2">
        <f>(tbl_profitability[[#This Row],[cogs]]+tbl_profitability[[#This Row],[return_loss]]+tbl_profitability[[#This Row],[operating_costs]])/tbl_raw[[#This Row],[units_sold]]</f>
        <v>943.25</v>
      </c>
      <c r="L30" s="8" t="str">
        <f>tbl_raw[[#This Row],[decision]]</f>
        <v>EXIT</v>
      </c>
    </row>
    <row r="31" spans="1:12" x14ac:dyDescent="0.35">
      <c r="A31" s="3" t="str">
        <f>tbl_raw[[#This Row],[product_id]]</f>
        <v>1dec4c88c685d5a07bf01dcb0f8bf9f8</v>
      </c>
      <c r="B31" s="4" t="str">
        <f>tbl_raw[[#This Row],[category]]</f>
        <v>auto</v>
      </c>
      <c r="C31" s="2">
        <f>tbl_raw[[#This Row],[gross_revenue]]</f>
        <v>19965</v>
      </c>
      <c r="D31" s="2">
        <f>tbl_raw[[#This Row],[return_loss]]</f>
        <v>12.6</v>
      </c>
      <c r="E31" s="2">
        <f t="shared" si="0"/>
        <v>19952.400000000001</v>
      </c>
      <c r="F31" s="2">
        <f>tbl_raw[[#This Row],[cogs]]</f>
        <v>8984.25</v>
      </c>
      <c r="G31" s="2">
        <f>SUM(tbl_raw[[#This Row],[storage_cost]:[freight_cost]])</f>
        <v>2569.7600000000002</v>
      </c>
      <c r="H31" s="2">
        <f>tbl_profitability[[#This Row],[net_revenue_after_returns]]-tbl_profitability[[#This Row],[cogs]]-tbl_profitability[[#This Row],[operating_costs]]</f>
        <v>8398.3900000000012</v>
      </c>
      <c r="I31" s="10">
        <f>(tbl_profitability[[#This Row],[gross_revenue]]-tbl_profitability[[#This Row],[cogs]])/tbl_profitability[[#This Row],[gross_revenue]]</f>
        <v>0.55000000000000004</v>
      </c>
      <c r="J31" s="10">
        <f>tbl_profitability[[#This Row],[net_profit]]/tbl_profitability[[#This Row],[gross_revenue]]</f>
        <v>0.42065564738292016</v>
      </c>
      <c r="K31" s="2">
        <f>(tbl_profitability[[#This Row],[cogs]]+tbl_profitability[[#This Row],[return_loss]]+tbl_profitability[[#This Row],[operating_costs]])/tbl_raw[[#This Row],[units_sold]]</f>
        <v>330.47457142857144</v>
      </c>
      <c r="L31" s="8" t="str">
        <f>tbl_raw[[#This Row],[decision]]</f>
        <v>EXIT</v>
      </c>
    </row>
    <row r="32" spans="1:12" x14ac:dyDescent="0.35">
      <c r="A32" s="3" t="str">
        <f>tbl_raw[[#This Row],[product_id]]</f>
        <v>6f3b5b605d91b7439c5e3f5a8dffeea7</v>
      </c>
      <c r="B32" s="4" t="str">
        <f>tbl_raw[[#This Row],[category]]</f>
        <v>watches_gifts</v>
      </c>
      <c r="C32" s="2">
        <f>tbl_raw[[#This Row],[gross_revenue]]</f>
        <v>19009.400000000001</v>
      </c>
      <c r="D32" s="2">
        <f>tbl_raw[[#This Row],[return_loss]]</f>
        <v>42.12</v>
      </c>
      <c r="E32" s="2">
        <f t="shared" si="0"/>
        <v>18967.280000000002</v>
      </c>
      <c r="F32" s="2">
        <f>tbl_raw[[#This Row],[cogs]]</f>
        <v>7983.95</v>
      </c>
      <c r="G32" s="2">
        <f>SUM(tbl_raw[[#This Row],[storage_cost]:[freight_cost]])</f>
        <v>2525.5699999999997</v>
      </c>
      <c r="H32" s="2">
        <f>tbl_profitability[[#This Row],[net_revenue_after_returns]]-tbl_profitability[[#This Row],[cogs]]-tbl_profitability[[#This Row],[operating_costs]]</f>
        <v>8457.760000000002</v>
      </c>
      <c r="I32" s="10">
        <f>(tbl_profitability[[#This Row],[gross_revenue]]-tbl_profitability[[#This Row],[cogs]])/tbl_profitability[[#This Row],[gross_revenue]]</f>
        <v>0.57999989478889391</v>
      </c>
      <c r="J32" s="10">
        <f>tbl_profitability[[#This Row],[net_profit]]/tbl_profitability[[#This Row],[gross_revenue]]</f>
        <v>0.44492514229802105</v>
      </c>
      <c r="K32" s="2">
        <f>(tbl_profitability[[#This Row],[cogs]]+tbl_profitability[[#This Row],[return_loss]]+tbl_profitability[[#This Row],[operating_costs]])/tbl_raw[[#This Row],[units_sold]]</f>
        <v>90.184957264957262</v>
      </c>
      <c r="L32" s="8" t="str">
        <f>tbl_raw[[#This Row],[decision]]</f>
        <v>SCALE</v>
      </c>
    </row>
    <row r="33" spans="1:12" x14ac:dyDescent="0.35">
      <c r="A33" s="3" t="str">
        <f>tbl_raw[[#This Row],[product_id]]</f>
        <v>19c91ef95d509ea33eda93495c4d3481</v>
      </c>
      <c r="B33" s="4" t="str">
        <f>tbl_raw[[#This Row],[category]]</f>
        <v>health_beauty</v>
      </c>
      <c r="C33" s="2">
        <f>tbl_raw[[#This Row],[gross_revenue]]</f>
        <v>18889.439999999999</v>
      </c>
      <c r="D33" s="2">
        <f>tbl_raw[[#This Row],[return_loss]]</f>
        <v>56.16</v>
      </c>
      <c r="E33" s="2">
        <f t="shared" si="0"/>
        <v>18833.28</v>
      </c>
      <c r="F33" s="2">
        <f>tbl_raw[[#This Row],[cogs]]</f>
        <v>7933.56</v>
      </c>
      <c r="G33" s="2">
        <f>SUM(tbl_raw[[#This Row],[storage_cost]:[freight_cost]])</f>
        <v>6212.81</v>
      </c>
      <c r="H33" s="2">
        <f>tbl_profitability[[#This Row],[net_revenue_after_returns]]-tbl_profitability[[#This Row],[cogs]]-tbl_profitability[[#This Row],[operating_costs]]</f>
        <v>4686.9099999999971</v>
      </c>
      <c r="I33" s="10">
        <f>(tbl_profitability[[#This Row],[gross_revenue]]-tbl_profitability[[#This Row],[cogs]])/tbl_profitability[[#This Row],[gross_revenue]]</f>
        <v>0.58000025411023293</v>
      </c>
      <c r="J33" s="10">
        <f>tbl_profitability[[#This Row],[net_profit]]/tbl_profitability[[#This Row],[gross_revenue]]</f>
        <v>0.24812329004989017</v>
      </c>
      <c r="K33" s="2">
        <f>(tbl_profitability[[#This Row],[cogs]]+tbl_profitability[[#This Row],[return_loss]]+tbl_profitability[[#This Row],[operating_costs]])/tbl_raw[[#This Row],[units_sold]]</f>
        <v>91.041858974358973</v>
      </c>
      <c r="L33" s="8" t="str">
        <f>tbl_raw[[#This Row],[decision]]</f>
        <v>OPTIMIZE</v>
      </c>
    </row>
    <row r="34" spans="1:12" x14ac:dyDescent="0.35">
      <c r="A34" s="3" t="str">
        <f>tbl_raw[[#This Row],[product_id]]</f>
        <v>1a080577618e7fe4d9ddd8fb2b47a964</v>
      </c>
      <c r="B34" s="4" t="str">
        <f>tbl_raw[[#This Row],[category]]</f>
        <v>watches_gifts</v>
      </c>
      <c r="C34" s="2">
        <f>tbl_raw[[#This Row],[gross_revenue]]</f>
        <v>18262.96</v>
      </c>
      <c r="D34" s="2">
        <f>tbl_raw[[#This Row],[return_loss]]</f>
        <v>11.52</v>
      </c>
      <c r="E34" s="2">
        <f t="shared" si="0"/>
        <v>18251.439999999999</v>
      </c>
      <c r="F34" s="2">
        <f>tbl_raw[[#This Row],[cogs]]</f>
        <v>7670.44</v>
      </c>
      <c r="G34" s="2">
        <f>SUM(tbl_raw[[#This Row],[storage_cost]:[freight_cost]])</f>
        <v>835.21</v>
      </c>
      <c r="H34" s="2">
        <f>tbl_profitability[[#This Row],[net_revenue_after_returns]]-tbl_profitability[[#This Row],[cogs]]-tbl_profitability[[#This Row],[operating_costs]]</f>
        <v>9745.7900000000009</v>
      </c>
      <c r="I34" s="10">
        <f>(tbl_profitability[[#This Row],[gross_revenue]]-tbl_profitability[[#This Row],[cogs]])/tbl_profitability[[#This Row],[gross_revenue]]</f>
        <v>0.58000017521803704</v>
      </c>
      <c r="J34" s="10">
        <f>tbl_profitability[[#This Row],[net_profit]]/tbl_profitability[[#This Row],[gross_revenue]]</f>
        <v>0.53363693508609789</v>
      </c>
      <c r="K34" s="2">
        <f>(tbl_profitability[[#This Row],[cogs]]+tbl_profitability[[#This Row],[return_loss]]+tbl_profitability[[#This Row],[operating_costs]])/tbl_raw[[#This Row],[units_sold]]</f>
        <v>266.1615625</v>
      </c>
      <c r="L34" s="8" t="str">
        <f>tbl_raw[[#This Row],[decision]]</f>
        <v>SCALE</v>
      </c>
    </row>
    <row r="35" spans="1:12" x14ac:dyDescent="0.35">
      <c r="A35" s="3" t="str">
        <f>tbl_raw[[#This Row],[product_id]]</f>
        <v>165f86fe8b799a708a20ee4ba125c289</v>
      </c>
      <c r="B35" s="4" t="str">
        <f>tbl_raw[[#This Row],[category]]</f>
        <v>cool_stuff</v>
      </c>
      <c r="C35" s="2">
        <f>tbl_raw[[#This Row],[gross_revenue]]</f>
        <v>17643.919999999998</v>
      </c>
      <c r="D35" s="2">
        <f>tbl_raw[[#This Row],[return_loss]]</f>
        <v>38.880000000000003</v>
      </c>
      <c r="E35" s="2">
        <f t="shared" si="0"/>
        <v>17605.039999999997</v>
      </c>
      <c r="F35" s="2">
        <f>tbl_raw[[#This Row],[cogs]]</f>
        <v>7939.76</v>
      </c>
      <c r="G35" s="2">
        <f>SUM(tbl_raw[[#This Row],[storage_cost]:[freight_cost]])</f>
        <v>2993.23</v>
      </c>
      <c r="H35" s="2">
        <f>tbl_profitability[[#This Row],[net_revenue_after_returns]]-tbl_profitability[[#This Row],[cogs]]-tbl_profitability[[#This Row],[operating_costs]]</f>
        <v>6672.0499999999975</v>
      </c>
      <c r="I35" s="10">
        <f>(tbl_profitability[[#This Row],[gross_revenue]]-tbl_profitability[[#This Row],[cogs]])/tbl_profitability[[#This Row],[gross_revenue]]</f>
        <v>0.55000022670699023</v>
      </c>
      <c r="J35" s="10">
        <f>tbl_profitability[[#This Row],[net_profit]]/tbl_profitability[[#This Row],[gross_revenue]]</f>
        <v>0.37815009362998686</v>
      </c>
      <c r="K35" s="2">
        <f>(tbl_profitability[[#This Row],[cogs]]+tbl_profitability[[#This Row],[return_loss]]+tbl_profitability[[#This Row],[operating_costs]])/tbl_raw[[#This Row],[units_sold]]</f>
        <v>101.5913888888889</v>
      </c>
      <c r="L35" s="8" t="str">
        <f>tbl_raw[[#This Row],[decision]]</f>
        <v>OPTIMIZE</v>
      </c>
    </row>
    <row r="36" spans="1:12" x14ac:dyDescent="0.35">
      <c r="A36" s="3" t="str">
        <f>tbl_raw[[#This Row],[product_id]]</f>
        <v>fb01a5fc09b9b9563c2ee41a22f07d54</v>
      </c>
      <c r="B36" s="4" t="str">
        <f>tbl_raw[[#This Row],[category]]</f>
        <v>consoles_games</v>
      </c>
      <c r="C36" s="2">
        <f>tbl_raw[[#This Row],[gross_revenue]]</f>
        <v>16731.79</v>
      </c>
      <c r="D36" s="2">
        <f>tbl_raw[[#This Row],[return_loss]]</f>
        <v>8.64</v>
      </c>
      <c r="E36" s="2">
        <f t="shared" si="0"/>
        <v>16723.150000000001</v>
      </c>
      <c r="F36" s="2">
        <f>tbl_raw[[#This Row],[cogs]]</f>
        <v>9537.1200000000008</v>
      </c>
      <c r="G36" s="2">
        <f>SUM(tbl_raw[[#This Row],[storage_cost]:[freight_cost]])</f>
        <v>891.17</v>
      </c>
      <c r="H36" s="2">
        <f>tbl_profitability[[#This Row],[net_revenue_after_returns]]-tbl_profitability[[#This Row],[cogs]]-tbl_profitability[[#This Row],[operating_costs]]</f>
        <v>6294.8600000000006</v>
      </c>
      <c r="I36" s="10">
        <f>(tbl_profitability[[#This Row],[gross_revenue]]-tbl_profitability[[#This Row],[cogs]])/tbl_profitability[[#This Row],[gross_revenue]]</f>
        <v>0.43000001792994053</v>
      </c>
      <c r="J36" s="10">
        <f>tbl_profitability[[#This Row],[net_profit]]/tbl_profitability[[#This Row],[gross_revenue]]</f>
        <v>0.37622155190807438</v>
      </c>
      <c r="K36" s="2">
        <f>(tbl_profitability[[#This Row],[cogs]]+tbl_profitability[[#This Row],[return_loss]]+tbl_profitability[[#This Row],[operating_costs]])/tbl_raw[[#This Row],[units_sold]]</f>
        <v>434.87208333333336</v>
      </c>
      <c r="L36" s="8" t="str">
        <f>tbl_raw[[#This Row],[decision]]</f>
        <v>EXIT</v>
      </c>
    </row>
    <row r="37" spans="1:12" x14ac:dyDescent="0.35">
      <c r="A37" s="3" t="str">
        <f>tbl_raw[[#This Row],[product_id]]</f>
        <v>e7cc48a9daff5436f63d3aad9426f28b</v>
      </c>
      <c r="B37" s="4" t="str">
        <f>tbl_raw[[#This Row],[category]]</f>
        <v>telephony</v>
      </c>
      <c r="C37" s="2">
        <f>tbl_raw[[#This Row],[gross_revenue]]</f>
        <v>16216</v>
      </c>
      <c r="D37" s="2">
        <f>tbl_raw[[#This Row],[return_loss]]</f>
        <v>83.7</v>
      </c>
      <c r="E37" s="2">
        <f t="shared" si="0"/>
        <v>16132.3</v>
      </c>
      <c r="F37" s="2">
        <f>tbl_raw[[#This Row],[cogs]]</f>
        <v>9243.1200000000008</v>
      </c>
      <c r="G37" s="2">
        <f>SUM(tbl_raw[[#This Row],[storage_cost]:[freight_cost]])</f>
        <v>2675.22</v>
      </c>
      <c r="H37" s="2">
        <f>tbl_profitability[[#This Row],[net_revenue_after_returns]]-tbl_profitability[[#This Row],[cogs]]-tbl_profitability[[#This Row],[operating_costs]]</f>
        <v>4213.9599999999991</v>
      </c>
      <c r="I37" s="10">
        <f>(tbl_profitability[[#This Row],[gross_revenue]]-tbl_profitability[[#This Row],[cogs]])/tbl_profitability[[#This Row],[gross_revenue]]</f>
        <v>0.42999999999999994</v>
      </c>
      <c r="J37" s="10">
        <f>tbl_profitability[[#This Row],[net_profit]]/tbl_profitability[[#This Row],[gross_revenue]]</f>
        <v>0.25986433152442029</v>
      </c>
      <c r="K37" s="2">
        <f>(tbl_profitability[[#This Row],[cogs]]+tbl_profitability[[#This Row],[return_loss]]+tbl_profitability[[#This Row],[operating_costs]])/tbl_raw[[#This Row],[units_sold]]</f>
        <v>129.0541935483871</v>
      </c>
      <c r="L37" s="8" t="str">
        <f>tbl_raw[[#This Row],[decision]]</f>
        <v>OPTIMIZE</v>
      </c>
    </row>
    <row r="38" spans="1:12" x14ac:dyDescent="0.35">
      <c r="A38" s="3" t="str">
        <f>tbl_raw[[#This Row],[product_id]]</f>
        <v>a04087ab6a96ffa041f8a2701a72b616</v>
      </c>
      <c r="B38" s="4" t="str">
        <f>tbl_raw[[#This Row],[category]]</f>
        <v>computers</v>
      </c>
      <c r="C38" s="2">
        <f>tbl_raw[[#This Row],[gross_revenue]]</f>
        <v>15785</v>
      </c>
      <c r="D38" s="2">
        <f>tbl_raw[[#This Row],[return_loss]]</f>
        <v>22.5</v>
      </c>
      <c r="E38" s="2">
        <f t="shared" si="0"/>
        <v>15762.5</v>
      </c>
      <c r="F38" s="2">
        <f>tbl_raw[[#This Row],[cogs]]</f>
        <v>8997.4500000000007</v>
      </c>
      <c r="G38" s="2">
        <f>SUM(tbl_raw[[#This Row],[storage_cost]:[freight_cost]])</f>
        <v>1891.29</v>
      </c>
      <c r="H38" s="2">
        <f>tbl_profitability[[#This Row],[net_revenue_after_returns]]-tbl_profitability[[#This Row],[cogs]]-tbl_profitability[[#This Row],[operating_costs]]</f>
        <v>4873.7599999999993</v>
      </c>
      <c r="I38" s="10">
        <f>(tbl_profitability[[#This Row],[gross_revenue]]-tbl_profitability[[#This Row],[cogs]])/tbl_profitability[[#This Row],[gross_revenue]]</f>
        <v>0.42999999999999994</v>
      </c>
      <c r="J38" s="10">
        <f>tbl_profitability[[#This Row],[net_profit]]/tbl_profitability[[#This Row],[gross_revenue]]</f>
        <v>0.30875894836870443</v>
      </c>
      <c r="K38" s="2">
        <f>(tbl_profitability[[#This Row],[cogs]]+tbl_profitability[[#This Row],[return_loss]]+tbl_profitability[[#This Row],[operating_costs]])/tbl_raw[[#This Row],[units_sold]]</f>
        <v>436.44960000000009</v>
      </c>
      <c r="L38" s="8" t="str">
        <f>tbl_raw[[#This Row],[decision]]</f>
        <v>OPTIMIZE</v>
      </c>
    </row>
    <row r="39" spans="1:12" x14ac:dyDescent="0.35">
      <c r="A39" s="3" t="str">
        <f>tbl_raw[[#This Row],[product_id]]</f>
        <v>e53e557d5a159f5aa2c5e995dfdf244b</v>
      </c>
      <c r="B39" s="4" t="str">
        <f>tbl_raw[[#This Row],[category]]</f>
        <v>computers_accessories</v>
      </c>
      <c r="C39" s="2">
        <f>tbl_raw[[#This Row],[gross_revenue]]</f>
        <v>15439.25</v>
      </c>
      <c r="D39" s="2">
        <f>tbl_raw[[#This Row],[return_loss]]</f>
        <v>164.7</v>
      </c>
      <c r="E39" s="2">
        <f t="shared" si="0"/>
        <v>15274.55</v>
      </c>
      <c r="F39" s="2">
        <f>tbl_raw[[#This Row],[cogs]]</f>
        <v>8800.3700000000008</v>
      </c>
      <c r="G39" s="2">
        <f>SUM(tbl_raw[[#This Row],[storage_cost]:[freight_cost]])</f>
        <v>4942.2199999999993</v>
      </c>
      <c r="H39" s="2">
        <f>tbl_profitability[[#This Row],[net_revenue_after_returns]]-tbl_profitability[[#This Row],[cogs]]-tbl_profitability[[#This Row],[operating_costs]]</f>
        <v>1531.9599999999991</v>
      </c>
      <c r="I39" s="10">
        <f>(tbl_profitability[[#This Row],[gross_revenue]]-tbl_profitability[[#This Row],[cogs]])/tbl_profitability[[#This Row],[gross_revenue]]</f>
        <v>0.43000016192496393</v>
      </c>
      <c r="J39" s="10">
        <f>tbl_profitability[[#This Row],[net_profit]]/tbl_profitability[[#This Row],[gross_revenue]]</f>
        <v>9.9225027122431406E-2</v>
      </c>
      <c r="K39" s="2">
        <f>(tbl_profitability[[#This Row],[cogs]]+tbl_profitability[[#This Row],[return_loss]]+tbl_profitability[[#This Row],[operating_costs]])/tbl_raw[[#This Row],[units_sold]]</f>
        <v>75.996120218579236</v>
      </c>
      <c r="L39" s="8" t="str">
        <f>tbl_raw[[#This Row],[decision]]</f>
        <v>EXIT</v>
      </c>
    </row>
    <row r="40" spans="1:12" x14ac:dyDescent="0.35">
      <c r="A40" s="3" t="str">
        <f>tbl_raw[[#This Row],[product_id]]</f>
        <v>601a360bd2a916ecef0e88de72a6531a</v>
      </c>
      <c r="B40" s="4" t="str">
        <f>tbl_raw[[#This Row],[category]]</f>
        <v>cool_stuff</v>
      </c>
      <c r="C40" s="2">
        <f>tbl_raw[[#This Row],[gross_revenue]]</f>
        <v>15159.81</v>
      </c>
      <c r="D40" s="2">
        <f>tbl_raw[[#This Row],[return_loss]]</f>
        <v>42.84</v>
      </c>
      <c r="E40" s="2">
        <f t="shared" si="0"/>
        <v>15116.97</v>
      </c>
      <c r="F40" s="2">
        <f>tbl_raw[[#This Row],[cogs]]</f>
        <v>6821.91</v>
      </c>
      <c r="G40" s="2">
        <f>SUM(tbl_raw[[#This Row],[storage_cost]:[freight_cost]])</f>
        <v>2837.37</v>
      </c>
      <c r="H40" s="2">
        <f>tbl_profitability[[#This Row],[net_revenue_after_returns]]-tbl_profitability[[#This Row],[cogs]]-tbl_profitability[[#This Row],[operating_costs]]</f>
        <v>5457.69</v>
      </c>
      <c r="I40" s="10">
        <f>(tbl_profitability[[#This Row],[gross_revenue]]-tbl_profitability[[#This Row],[cogs]])/tbl_profitability[[#This Row],[gross_revenue]]</f>
        <v>0.5500002968374933</v>
      </c>
      <c r="J40" s="10">
        <f>tbl_profitability[[#This Row],[net_profit]]/tbl_profitability[[#This Row],[gross_revenue]]</f>
        <v>0.36001044867976578</v>
      </c>
      <c r="K40" s="2">
        <f>(tbl_profitability[[#This Row],[cogs]]+tbl_profitability[[#This Row],[return_loss]]+tbl_profitability[[#This Row],[operating_costs]])/tbl_raw[[#This Row],[units_sold]]</f>
        <v>81.530420168067224</v>
      </c>
      <c r="L40" s="8" t="str">
        <f>tbl_raw[[#This Row],[decision]]</f>
        <v>SCALE</v>
      </c>
    </row>
    <row r="41" spans="1:12" x14ac:dyDescent="0.35">
      <c r="A41" s="3" t="str">
        <f>tbl_raw[[#This Row],[product_id]]</f>
        <v>d5991653e037ccb7af6ed7d94246b249</v>
      </c>
      <c r="B41" s="4" t="str">
        <f>tbl_raw[[#This Row],[category]]</f>
        <v>computers_accessories</v>
      </c>
      <c r="C41" s="2">
        <f>tbl_raw[[#This Row],[gross_revenue]]</f>
        <v>15111.82</v>
      </c>
      <c r="D41" s="2">
        <f>tbl_raw[[#This Row],[return_loss]]</f>
        <v>92.7</v>
      </c>
      <c r="E41" s="2">
        <f t="shared" si="0"/>
        <v>15019.119999999999</v>
      </c>
      <c r="F41" s="2">
        <f>tbl_raw[[#This Row],[cogs]]</f>
        <v>8613.74</v>
      </c>
      <c r="G41" s="2">
        <f>SUM(tbl_raw[[#This Row],[storage_cost]:[freight_cost]])</f>
        <v>3760.54</v>
      </c>
      <c r="H41" s="2">
        <f>tbl_profitability[[#This Row],[net_revenue_after_returns]]-tbl_profitability[[#This Row],[cogs]]-tbl_profitability[[#This Row],[operating_costs]]</f>
        <v>2644.8399999999992</v>
      </c>
      <c r="I41" s="10">
        <f>(tbl_profitability[[#This Row],[gross_revenue]]-tbl_profitability[[#This Row],[cogs]])/tbl_profitability[[#This Row],[gross_revenue]]</f>
        <v>0.42999982794924768</v>
      </c>
      <c r="J41" s="10">
        <f>tbl_profitability[[#This Row],[net_profit]]/tbl_profitability[[#This Row],[gross_revenue]]</f>
        <v>0.17501796606894465</v>
      </c>
      <c r="K41" s="2">
        <f>(tbl_profitability[[#This Row],[cogs]]+tbl_profitability[[#This Row],[return_loss]]+tbl_profitability[[#This Row],[operating_costs]])/tbl_raw[[#This Row],[units_sold]]</f>
        <v>121.03864077669903</v>
      </c>
      <c r="L41" s="8" t="str">
        <f>tbl_raw[[#This Row],[decision]]</f>
        <v>OPTIMIZE</v>
      </c>
    </row>
    <row r="42" spans="1:12" x14ac:dyDescent="0.35">
      <c r="A42" s="3" t="str">
        <f>tbl_raw[[#This Row],[product_id]]</f>
        <v>470433f95ba906e17efac3fce39e9ffd</v>
      </c>
      <c r="B42" s="4" t="str">
        <f>tbl_raw[[#This Row],[category]]</f>
        <v>computers_accessories</v>
      </c>
      <c r="C42" s="2">
        <f>tbl_raw[[#This Row],[gross_revenue]]</f>
        <v>14999.45</v>
      </c>
      <c r="D42" s="2">
        <f>tbl_raw[[#This Row],[return_loss]]</f>
        <v>4.5</v>
      </c>
      <c r="E42" s="2">
        <f t="shared" si="0"/>
        <v>14994.95</v>
      </c>
      <c r="F42" s="2">
        <f>tbl_raw[[#This Row],[cogs]]</f>
        <v>8549.69</v>
      </c>
      <c r="G42" s="2">
        <f>SUM(tbl_raw[[#This Row],[storage_cost]:[freight_cost]])</f>
        <v>262.36</v>
      </c>
      <c r="H42" s="2">
        <f>tbl_profitability[[#This Row],[net_revenue_after_returns]]-tbl_profitability[[#This Row],[cogs]]-tbl_profitability[[#This Row],[operating_costs]]</f>
        <v>6182.9000000000005</v>
      </c>
      <c r="I42" s="10">
        <f>(tbl_profitability[[#This Row],[gross_revenue]]-tbl_profitability[[#This Row],[cogs]])/tbl_profitability[[#This Row],[gross_revenue]]</f>
        <v>0.42999976665811079</v>
      </c>
      <c r="J42" s="10">
        <f>tbl_profitability[[#This Row],[net_profit]]/tbl_profitability[[#This Row],[gross_revenue]]</f>
        <v>0.41220844764308029</v>
      </c>
      <c r="K42" s="2">
        <f>(tbl_profitability[[#This Row],[cogs]]+tbl_profitability[[#This Row],[return_loss]]+tbl_profitability[[#This Row],[operating_costs]])/tbl_raw[[#This Row],[units_sold]]</f>
        <v>1763.3100000000002</v>
      </c>
      <c r="L42" s="8" t="str">
        <f>tbl_raw[[#This Row],[decision]]</f>
        <v>SCALE</v>
      </c>
    </row>
    <row r="43" spans="1:12" x14ac:dyDescent="0.35">
      <c r="A43" s="3" t="str">
        <f>tbl_raw[[#This Row],[product_id]]</f>
        <v>c4baedd846ed09b85f78a781b522f126</v>
      </c>
      <c r="B43" s="4" t="str">
        <f>tbl_raw[[#This Row],[category]]</f>
        <v>garden_tools</v>
      </c>
      <c r="C43" s="2">
        <f>tbl_raw[[#This Row],[gross_revenue]]</f>
        <v>14869.03</v>
      </c>
      <c r="D43" s="2">
        <f>tbl_raw[[#This Row],[return_loss]]</f>
        <v>53.28</v>
      </c>
      <c r="E43" s="2">
        <f t="shared" si="0"/>
        <v>14815.75</v>
      </c>
      <c r="F43" s="2">
        <f>tbl_raw[[#This Row],[cogs]]</f>
        <v>6691.06</v>
      </c>
      <c r="G43" s="2">
        <f>SUM(tbl_raw[[#This Row],[storage_cost]:[freight_cost]])</f>
        <v>8070.38</v>
      </c>
      <c r="H43" s="2">
        <f>tbl_profitability[[#This Row],[net_revenue_after_returns]]-tbl_profitability[[#This Row],[cogs]]-tbl_profitability[[#This Row],[operating_costs]]</f>
        <v>54.309999999999491</v>
      </c>
      <c r="I43" s="10">
        <f>(tbl_profitability[[#This Row],[gross_revenue]]-tbl_profitability[[#This Row],[cogs]])/tbl_profitability[[#This Row],[gross_revenue]]</f>
        <v>0.55000023538858955</v>
      </c>
      <c r="J43" s="10">
        <f>tbl_profitability[[#This Row],[net_profit]]/tbl_profitability[[#This Row],[gross_revenue]]</f>
        <v>3.652558371326138E-3</v>
      </c>
      <c r="K43" s="2">
        <f>(tbl_profitability[[#This Row],[cogs]]+tbl_profitability[[#This Row],[return_loss]]+tbl_profitability[[#This Row],[operating_costs]])/tbl_raw[[#This Row],[units_sold]]</f>
        <v>100.09945945945947</v>
      </c>
      <c r="L43" s="8" t="str">
        <f>tbl_raw[[#This Row],[decision]]</f>
        <v>EXIT</v>
      </c>
    </row>
    <row r="44" spans="1:12" x14ac:dyDescent="0.35">
      <c r="A44" s="3" t="str">
        <f>tbl_raw[[#This Row],[product_id]]</f>
        <v>431d674f9a4fbd0957ecf6ba3fcb6899</v>
      </c>
      <c r="B44" s="4" t="str">
        <f>tbl_raw[[#This Row],[category]]</f>
        <v>telephony</v>
      </c>
      <c r="C44" s="2">
        <f>tbl_raw[[#This Row],[gross_revenue]]</f>
        <v>14818.43</v>
      </c>
      <c r="D44" s="2">
        <f>tbl_raw[[#This Row],[return_loss]]</f>
        <v>47.7</v>
      </c>
      <c r="E44" s="2">
        <f t="shared" si="0"/>
        <v>14770.73</v>
      </c>
      <c r="F44" s="2">
        <f>tbl_raw[[#This Row],[cogs]]</f>
        <v>8446.51</v>
      </c>
      <c r="G44" s="2">
        <f>SUM(tbl_raw[[#This Row],[storage_cost]:[freight_cost]])</f>
        <v>1393.28</v>
      </c>
      <c r="H44" s="2">
        <f>tbl_profitability[[#This Row],[net_revenue_after_returns]]-tbl_profitability[[#This Row],[cogs]]-tbl_profitability[[#This Row],[operating_costs]]</f>
        <v>4930.9399999999996</v>
      </c>
      <c r="I44" s="10">
        <f>(tbl_profitability[[#This Row],[gross_revenue]]-tbl_profitability[[#This Row],[cogs]])/tbl_profitability[[#This Row],[gross_revenue]]</f>
        <v>0.42999966933069156</v>
      </c>
      <c r="J44" s="10">
        <f>tbl_profitability[[#This Row],[net_profit]]/tbl_profitability[[#This Row],[gross_revenue]]</f>
        <v>0.33275724891233416</v>
      </c>
      <c r="K44" s="2">
        <f>(tbl_profitability[[#This Row],[cogs]]+tbl_profitability[[#This Row],[return_loss]]+tbl_profitability[[#This Row],[operating_costs]])/tbl_raw[[#This Row],[units_sold]]</f>
        <v>186.55641509433966</v>
      </c>
      <c r="L44" s="8" t="str">
        <f>tbl_raw[[#This Row],[decision]]</f>
        <v>SCALE</v>
      </c>
    </row>
    <row r="45" spans="1:12" x14ac:dyDescent="0.35">
      <c r="A45" s="3" t="str">
        <f>tbl_raw[[#This Row],[product_id]]</f>
        <v>7814c273ab16783d73a9863ebfa8b141</v>
      </c>
      <c r="B45" s="4" t="str">
        <f>tbl_raw[[#This Row],[category]]</f>
        <v>furniture_decor</v>
      </c>
      <c r="C45" s="2">
        <f>tbl_raw[[#This Row],[gross_revenue]]</f>
        <v>14772</v>
      </c>
      <c r="D45" s="2">
        <f>tbl_raw[[#This Row],[return_loss]]</f>
        <v>22.32</v>
      </c>
      <c r="E45" s="2">
        <f t="shared" si="0"/>
        <v>14749.68</v>
      </c>
      <c r="F45" s="2">
        <f>tbl_raw[[#This Row],[cogs]]</f>
        <v>6647.4</v>
      </c>
      <c r="G45" s="2">
        <f>SUM(tbl_raw[[#This Row],[storage_cost]:[freight_cost]])</f>
        <v>4391.08</v>
      </c>
      <c r="H45" s="2">
        <f>tbl_profitability[[#This Row],[net_revenue_after_returns]]-tbl_profitability[[#This Row],[cogs]]-tbl_profitability[[#This Row],[operating_costs]]</f>
        <v>3711.2000000000007</v>
      </c>
      <c r="I45" s="10">
        <f>(tbl_profitability[[#This Row],[gross_revenue]]-tbl_profitability[[#This Row],[cogs]])/tbl_profitability[[#This Row],[gross_revenue]]</f>
        <v>0.55000000000000004</v>
      </c>
      <c r="J45" s="10">
        <f>tbl_profitability[[#This Row],[net_profit]]/tbl_profitability[[#This Row],[gross_revenue]]</f>
        <v>0.25123206065529385</v>
      </c>
      <c r="K45" s="2">
        <f>(tbl_profitability[[#This Row],[cogs]]+tbl_profitability[[#This Row],[return_loss]]+tbl_profitability[[#This Row],[operating_costs]])/tbl_raw[[#This Row],[units_sold]]</f>
        <v>178.39999999999998</v>
      </c>
      <c r="L45" s="8" t="str">
        <f>tbl_raw[[#This Row],[decision]]</f>
        <v>OPTIMIZE</v>
      </c>
    </row>
    <row r="46" spans="1:12" x14ac:dyDescent="0.35">
      <c r="A46" s="3" t="str">
        <f>tbl_raw[[#This Row],[product_id]]</f>
        <v>87feb07adc221a4c6cdf051ea1afd0ff</v>
      </c>
      <c r="B46" s="4" t="str">
        <f>tbl_raw[[#This Row],[category]]</f>
        <v>home_appliances_2</v>
      </c>
      <c r="C46" s="2">
        <f>tbl_raw[[#This Row],[gross_revenue]]</f>
        <v>14770</v>
      </c>
      <c r="D46" s="2">
        <f>tbl_raw[[#This Row],[return_loss]]</f>
        <v>2.52</v>
      </c>
      <c r="E46" s="2">
        <f t="shared" si="0"/>
        <v>14767.48</v>
      </c>
      <c r="F46" s="2">
        <f>tbl_raw[[#This Row],[cogs]]</f>
        <v>8418.9</v>
      </c>
      <c r="G46" s="2">
        <f>SUM(tbl_raw[[#This Row],[storage_cost]:[freight_cost]])</f>
        <v>473.11</v>
      </c>
      <c r="H46" s="2">
        <f>tbl_profitability[[#This Row],[net_revenue_after_returns]]-tbl_profitability[[#This Row],[cogs]]-tbl_profitability[[#This Row],[operating_costs]]</f>
        <v>5875.47</v>
      </c>
      <c r="I46" s="10">
        <f>(tbl_profitability[[#This Row],[gross_revenue]]-tbl_profitability[[#This Row],[cogs]])/tbl_profitability[[#This Row],[gross_revenue]]</f>
        <v>0.43000000000000005</v>
      </c>
      <c r="J46" s="10">
        <f>tbl_profitability[[#This Row],[net_profit]]/tbl_profitability[[#This Row],[gross_revenue]]</f>
        <v>0.39779756262694654</v>
      </c>
      <c r="K46" s="2">
        <f>(tbl_profitability[[#This Row],[cogs]]+tbl_profitability[[#This Row],[return_loss]]+tbl_profitability[[#This Row],[operating_costs]])/tbl_raw[[#This Row],[units_sold]]</f>
        <v>1270.6471428571429</v>
      </c>
      <c r="L46" s="8" t="str">
        <f>tbl_raw[[#This Row],[decision]]</f>
        <v>SCALE</v>
      </c>
    </row>
    <row r="47" spans="1:12" x14ac:dyDescent="0.35">
      <c r="A47" s="3" t="str">
        <f>tbl_raw[[#This Row],[product_id]]</f>
        <v>f49e985b4cb2d0543890d6dd00077663</v>
      </c>
      <c r="B47" s="4" t="str">
        <f>tbl_raw[[#This Row],[category]]</f>
        <v>small_appliances_home_oven_and_coffee</v>
      </c>
      <c r="C47" s="2">
        <f>tbl_raw[[#This Row],[gross_revenue]]</f>
        <v>14590</v>
      </c>
      <c r="D47" s="2">
        <f>tbl_raw[[#This Row],[return_loss]]</f>
        <v>6.84</v>
      </c>
      <c r="E47" s="2">
        <f t="shared" si="0"/>
        <v>14583.16</v>
      </c>
      <c r="F47" s="2">
        <f>tbl_raw[[#This Row],[cogs]]</f>
        <v>8316.2999999999993</v>
      </c>
      <c r="G47" s="2">
        <f>SUM(tbl_raw[[#This Row],[storage_cost]:[freight_cost]])</f>
        <v>1298.8</v>
      </c>
      <c r="H47" s="2">
        <f>tbl_profitability[[#This Row],[net_revenue_after_returns]]-tbl_profitability[[#This Row],[cogs]]-tbl_profitability[[#This Row],[operating_costs]]</f>
        <v>4968.0600000000004</v>
      </c>
      <c r="I47" s="10">
        <f>(tbl_profitability[[#This Row],[gross_revenue]]-tbl_profitability[[#This Row],[cogs]])/tbl_profitability[[#This Row],[gross_revenue]]</f>
        <v>0.43000000000000005</v>
      </c>
      <c r="J47" s="10">
        <f>tbl_profitability[[#This Row],[net_profit]]/tbl_profitability[[#This Row],[gross_revenue]]</f>
        <v>0.34051130911583277</v>
      </c>
      <c r="K47" s="2">
        <f>(tbl_profitability[[#This Row],[cogs]]+tbl_profitability[[#This Row],[return_loss]]+tbl_profitability[[#This Row],[operating_costs]])/tbl_raw[[#This Row],[units_sold]]</f>
        <v>506.41789473684202</v>
      </c>
      <c r="L47" s="8" t="str">
        <f>tbl_raw[[#This Row],[decision]]</f>
        <v>SCALE</v>
      </c>
    </row>
    <row r="48" spans="1:12" x14ac:dyDescent="0.35">
      <c r="A48" s="3" t="str">
        <f>tbl_raw[[#This Row],[product_id]]</f>
        <v>8c591ab0ca519558779df02023177f44</v>
      </c>
      <c r="B48" s="4" t="str">
        <f>tbl_raw[[#This Row],[category]]</f>
        <v>garden_tools</v>
      </c>
      <c r="C48" s="2">
        <f>tbl_raw[[#This Row],[gross_revenue]]</f>
        <v>14492.14</v>
      </c>
      <c r="D48" s="2">
        <f>tbl_raw[[#This Row],[return_loss]]</f>
        <v>50.76</v>
      </c>
      <c r="E48" s="2">
        <f t="shared" si="0"/>
        <v>14441.38</v>
      </c>
      <c r="F48" s="2">
        <f>tbl_raw[[#This Row],[cogs]]</f>
        <v>6521.46</v>
      </c>
      <c r="G48" s="2">
        <f>SUM(tbl_raw[[#This Row],[storage_cost]:[freight_cost]])</f>
        <v>7512.22</v>
      </c>
      <c r="H48" s="2">
        <f>tbl_profitability[[#This Row],[net_revenue_after_returns]]-tbl_profitability[[#This Row],[cogs]]-tbl_profitability[[#This Row],[operating_costs]]</f>
        <v>407.69999999999891</v>
      </c>
      <c r="I48" s="10">
        <f>(tbl_profitability[[#This Row],[gross_revenue]]-tbl_profitability[[#This Row],[cogs]])/tbl_profitability[[#This Row],[gross_revenue]]</f>
        <v>0.55000020700876473</v>
      </c>
      <c r="J48" s="10">
        <f>tbl_profitability[[#This Row],[net_profit]]/tbl_profitability[[#This Row],[gross_revenue]]</f>
        <v>2.8132491129674357E-2</v>
      </c>
      <c r="K48" s="2">
        <f>(tbl_profitability[[#This Row],[cogs]]+tbl_profitability[[#This Row],[return_loss]]+tbl_profitability[[#This Row],[operating_costs]])/tbl_raw[[#This Row],[units_sold]]</f>
        <v>99.889645390070925</v>
      </c>
      <c r="L48" s="8" t="str">
        <f>tbl_raw[[#This Row],[decision]]</f>
        <v>EXIT</v>
      </c>
    </row>
    <row r="49" spans="1:12" x14ac:dyDescent="0.35">
      <c r="A49" s="3" t="str">
        <f>tbl_raw[[#This Row],[product_id]]</f>
        <v>35afc973633aaeb6b877ff57b2793310</v>
      </c>
      <c r="B49" s="4" t="str">
        <f>tbl_raw[[#This Row],[category]]</f>
        <v>home_confort</v>
      </c>
      <c r="C49" s="2">
        <f>tbl_raw[[#This Row],[gross_revenue]]</f>
        <v>14484.89</v>
      </c>
      <c r="D49" s="2">
        <f>tbl_raw[[#This Row],[return_loss]]</f>
        <v>59.4</v>
      </c>
      <c r="E49" s="2">
        <f t="shared" si="0"/>
        <v>14425.49</v>
      </c>
      <c r="F49" s="2">
        <f>tbl_raw[[#This Row],[cogs]]</f>
        <v>6518.2</v>
      </c>
      <c r="G49" s="2">
        <f>SUM(tbl_raw[[#This Row],[storage_cost]:[freight_cost]])</f>
        <v>4007.05</v>
      </c>
      <c r="H49" s="2">
        <f>tbl_profitability[[#This Row],[net_revenue_after_returns]]-tbl_profitability[[#This Row],[cogs]]-tbl_profitability[[#This Row],[operating_costs]]</f>
        <v>3900.24</v>
      </c>
      <c r="I49" s="10">
        <f>(tbl_profitability[[#This Row],[gross_revenue]]-tbl_profitability[[#This Row],[cogs]])/tbl_profitability[[#This Row],[gross_revenue]]</f>
        <v>0.55000003451872947</v>
      </c>
      <c r="J49" s="10">
        <f>tbl_profitability[[#This Row],[net_profit]]/tbl_profitability[[#This Row],[gross_revenue]]</f>
        <v>0.26926265922626957</v>
      </c>
      <c r="K49" s="2">
        <f>(tbl_profitability[[#This Row],[cogs]]+tbl_profitability[[#This Row],[return_loss]]+tbl_profitability[[#This Row],[operating_costs]])/tbl_raw[[#This Row],[units_sold]]</f>
        <v>64.149393939393931</v>
      </c>
      <c r="L49" s="8" t="str">
        <f>tbl_raw[[#This Row],[decision]]</f>
        <v>OPTIMIZE</v>
      </c>
    </row>
    <row r="50" spans="1:12" x14ac:dyDescent="0.35">
      <c r="A50" s="3" t="str">
        <f>tbl_raw[[#This Row],[product_id]]</f>
        <v>af51d485dc5255ba2e18b21b550156e6</v>
      </c>
      <c r="B50" s="4" t="str">
        <f>tbl_raw[[#This Row],[category]]</f>
        <v>luggage_accessories</v>
      </c>
      <c r="C50" s="2">
        <f>tbl_raw[[#This Row],[gross_revenue]]</f>
        <v>14483.31</v>
      </c>
      <c r="D50" s="2">
        <f>tbl_raw[[#This Row],[return_loss]]</f>
        <v>19.8</v>
      </c>
      <c r="E50" s="2">
        <f t="shared" si="0"/>
        <v>14463.51</v>
      </c>
      <c r="F50" s="2">
        <f>tbl_raw[[#This Row],[cogs]]</f>
        <v>6082.99</v>
      </c>
      <c r="G50" s="2">
        <f>SUM(tbl_raw[[#This Row],[storage_cost]:[freight_cost]])</f>
        <v>4058.62</v>
      </c>
      <c r="H50" s="2">
        <f>tbl_profitability[[#This Row],[net_revenue_after_returns]]-tbl_profitability[[#This Row],[cogs]]-tbl_profitability[[#This Row],[operating_costs]]</f>
        <v>4321.9000000000005</v>
      </c>
      <c r="I50" s="10">
        <f>(tbl_profitability[[#This Row],[gross_revenue]]-tbl_profitability[[#This Row],[cogs]])/tbl_profitability[[#This Row],[gross_revenue]]</f>
        <v>0.58000001380899813</v>
      </c>
      <c r="J50" s="10">
        <f>tbl_profitability[[#This Row],[net_profit]]/tbl_profitability[[#This Row],[gross_revenue]]</f>
        <v>0.29840554403654973</v>
      </c>
      <c r="K50" s="2">
        <f>(tbl_profitability[[#This Row],[cogs]]+tbl_profitability[[#This Row],[return_loss]]+tbl_profitability[[#This Row],[operating_costs]])/tbl_raw[[#This Row],[units_sold]]</f>
        <v>184.7529090909091</v>
      </c>
      <c r="L50" s="8" t="str">
        <f>tbl_raw[[#This Row],[decision]]</f>
        <v>SCALE</v>
      </c>
    </row>
    <row r="51" spans="1:12" x14ac:dyDescent="0.35">
      <c r="A51" s="3" t="str">
        <f>tbl_raw[[#This Row],[product_id]]</f>
        <v>7c1bd920dbdf22470b68bde975dd3ccf</v>
      </c>
      <c r="B51" s="4" t="str">
        <f>tbl_raw[[#This Row],[category]]</f>
        <v>health_beauty</v>
      </c>
      <c r="C51" s="2">
        <f>tbl_raw[[#This Row],[gross_revenue]]</f>
        <v>13866.69</v>
      </c>
      <c r="D51" s="2">
        <f>tbl_raw[[#This Row],[return_loss]]</f>
        <v>83.16</v>
      </c>
      <c r="E51" s="2">
        <f t="shared" si="0"/>
        <v>13783.53</v>
      </c>
      <c r="F51" s="2">
        <f>tbl_raw[[#This Row],[cogs]]</f>
        <v>5824.01</v>
      </c>
      <c r="G51" s="2">
        <f>SUM(tbl_raw[[#This Row],[storage_cost]:[freight_cost]])</f>
        <v>4873.79</v>
      </c>
      <c r="H51" s="2">
        <f>tbl_profitability[[#This Row],[net_revenue_after_returns]]-tbl_profitability[[#This Row],[cogs]]-tbl_profitability[[#This Row],[operating_costs]]</f>
        <v>3085.7300000000005</v>
      </c>
      <c r="I51" s="10">
        <f>(tbl_profitability[[#This Row],[gross_revenue]]-tbl_profitability[[#This Row],[cogs]])/tbl_profitability[[#This Row],[gross_revenue]]</f>
        <v>0.57999998557694732</v>
      </c>
      <c r="J51" s="10">
        <f>tbl_profitability[[#This Row],[net_profit]]/tbl_profitability[[#This Row],[gross_revenue]]</f>
        <v>0.2225282313226877</v>
      </c>
      <c r="K51" s="2">
        <f>(tbl_profitability[[#This Row],[cogs]]+tbl_profitability[[#This Row],[return_loss]]+tbl_profitability[[#This Row],[operating_costs]])/tbl_raw[[#This Row],[units_sold]]</f>
        <v>46.670822510822504</v>
      </c>
      <c r="L51" s="8" t="str">
        <f>tbl_raw[[#This Row],[decision]]</f>
        <v>OPTIMIZE</v>
      </c>
    </row>
    <row r="52" spans="1:12" x14ac:dyDescent="0.35">
      <c r="A52" s="3" t="str">
        <f>tbl_raw[[#This Row],[product_id]]</f>
        <v>8c292ca193d326152e335d77176746f0</v>
      </c>
      <c r="B52" s="4" t="str">
        <f>tbl_raw[[#This Row],[category]]</f>
        <v>health_beauty</v>
      </c>
      <c r="C52" s="2">
        <f>tbl_raw[[#This Row],[gross_revenue]]</f>
        <v>13839</v>
      </c>
      <c r="D52" s="2">
        <f>tbl_raw[[#This Row],[return_loss]]</f>
        <v>32.4</v>
      </c>
      <c r="E52" s="2">
        <f t="shared" si="0"/>
        <v>13806.6</v>
      </c>
      <c r="F52" s="2">
        <f>tbl_raw[[#This Row],[cogs]]</f>
        <v>5812.38</v>
      </c>
      <c r="G52" s="2">
        <f>SUM(tbl_raw[[#This Row],[storage_cost]:[freight_cost]])</f>
        <v>1958.22</v>
      </c>
      <c r="H52" s="2">
        <f>tbl_profitability[[#This Row],[net_revenue_after_returns]]-tbl_profitability[[#This Row],[cogs]]-tbl_profitability[[#This Row],[operating_costs]]</f>
        <v>6036</v>
      </c>
      <c r="I52" s="10">
        <f>(tbl_profitability[[#This Row],[gross_revenue]]-tbl_profitability[[#This Row],[cogs]])/tbl_profitability[[#This Row],[gross_revenue]]</f>
        <v>0.57999999999999996</v>
      </c>
      <c r="J52" s="10">
        <f>tbl_profitability[[#This Row],[net_profit]]/tbl_profitability[[#This Row],[gross_revenue]]</f>
        <v>0.43615868198569263</v>
      </c>
      <c r="K52" s="2">
        <f>(tbl_profitability[[#This Row],[cogs]]+tbl_profitability[[#This Row],[return_loss]]+tbl_profitability[[#This Row],[operating_costs]])/tbl_raw[[#This Row],[units_sold]]</f>
        <v>86.7</v>
      </c>
      <c r="L52" s="8" t="str">
        <f>tbl_raw[[#This Row],[decision]]</f>
        <v>SCALE</v>
      </c>
    </row>
    <row r="53" spans="1:12" x14ac:dyDescent="0.35">
      <c r="A53" s="3" t="str">
        <f>tbl_raw[[#This Row],[product_id]]</f>
        <v>4aa6014eceb682077f9dc4bffebc05b0</v>
      </c>
      <c r="B53" s="4" t="str">
        <f>tbl_raw[[#This Row],[category]]</f>
        <v>housewares</v>
      </c>
      <c r="C53" s="2">
        <f>tbl_raw[[#This Row],[gross_revenue]]</f>
        <v>13685.71</v>
      </c>
      <c r="D53" s="2">
        <f>tbl_raw[[#This Row],[return_loss]]</f>
        <v>16.920000000000002</v>
      </c>
      <c r="E53" s="2">
        <f t="shared" si="0"/>
        <v>13668.789999999999</v>
      </c>
      <c r="F53" s="2">
        <f>tbl_raw[[#This Row],[cogs]]</f>
        <v>6158.57</v>
      </c>
      <c r="G53" s="2">
        <f>SUM(tbl_raw[[#This Row],[storage_cost]:[freight_cost]])</f>
        <v>2333.6999999999998</v>
      </c>
      <c r="H53" s="2">
        <f>tbl_profitability[[#This Row],[net_revenue_after_returns]]-tbl_profitability[[#This Row],[cogs]]-tbl_profitability[[#This Row],[operating_costs]]</f>
        <v>5176.5199999999995</v>
      </c>
      <c r="I53" s="10">
        <f>(tbl_profitability[[#This Row],[gross_revenue]]-tbl_profitability[[#This Row],[cogs]])/tbl_profitability[[#This Row],[gross_revenue]]</f>
        <v>0.54999996346554181</v>
      </c>
      <c r="J53" s="10">
        <f>tbl_profitability[[#This Row],[net_profit]]/tbl_profitability[[#This Row],[gross_revenue]]</f>
        <v>0.37824270717412539</v>
      </c>
      <c r="K53" s="2">
        <f>(tbl_profitability[[#This Row],[cogs]]+tbl_profitability[[#This Row],[return_loss]]+tbl_profitability[[#This Row],[operating_costs]])/tbl_raw[[#This Row],[units_sold]]</f>
        <v>181.04659574468081</v>
      </c>
      <c r="L53" s="8" t="str">
        <f>tbl_raw[[#This Row],[decision]]</f>
        <v>SCALE</v>
      </c>
    </row>
    <row r="54" spans="1:12" x14ac:dyDescent="0.35">
      <c r="A54" s="3" t="str">
        <f>tbl_raw[[#This Row],[product_id]]</f>
        <v>bee2e070c39f3dd2f6883a17a5f0da45</v>
      </c>
      <c r="B54" s="4" t="str">
        <f>tbl_raw[[#This Row],[category]]</f>
        <v>computers_accessories</v>
      </c>
      <c r="C54" s="2">
        <f>tbl_raw[[#This Row],[gross_revenue]]</f>
        <v>13680</v>
      </c>
      <c r="D54" s="2">
        <f>tbl_raw[[#This Row],[return_loss]]</f>
        <v>72</v>
      </c>
      <c r="E54" s="2">
        <f t="shared" si="0"/>
        <v>13608</v>
      </c>
      <c r="F54" s="2">
        <f>tbl_raw[[#This Row],[cogs]]</f>
        <v>7797.6</v>
      </c>
      <c r="G54" s="2">
        <f>SUM(tbl_raw[[#This Row],[storage_cost]:[freight_cost]])</f>
        <v>2193.81</v>
      </c>
      <c r="H54" s="2">
        <f>tbl_profitability[[#This Row],[net_revenue_after_returns]]-tbl_profitability[[#This Row],[cogs]]-tbl_profitability[[#This Row],[operating_costs]]</f>
        <v>3616.5899999999997</v>
      </c>
      <c r="I54" s="10">
        <f>(tbl_profitability[[#This Row],[gross_revenue]]-tbl_profitability[[#This Row],[cogs]])/tbl_profitability[[#This Row],[gross_revenue]]</f>
        <v>0.43</v>
      </c>
      <c r="J54" s="10">
        <f>tbl_profitability[[#This Row],[net_profit]]/tbl_profitability[[#This Row],[gross_revenue]]</f>
        <v>0.26437061403508771</v>
      </c>
      <c r="K54" s="2">
        <f>(tbl_profitability[[#This Row],[cogs]]+tbl_profitability[[#This Row],[return_loss]]+tbl_profitability[[#This Row],[operating_costs]])/tbl_raw[[#This Row],[units_sold]]</f>
        <v>125.792625</v>
      </c>
      <c r="L54" s="8" t="str">
        <f>tbl_raw[[#This Row],[decision]]</f>
        <v>SCALE</v>
      </c>
    </row>
    <row r="55" spans="1:12" x14ac:dyDescent="0.35">
      <c r="A55" s="3" t="str">
        <f>tbl_raw[[#This Row],[product_id]]</f>
        <v>a02d0123079f4ae96001ba2010d1a2df</v>
      </c>
      <c r="B55" s="4" t="str">
        <f>tbl_raw[[#This Row],[category]]</f>
        <v>construction_tools_lights</v>
      </c>
      <c r="C55" s="2">
        <f>tbl_raw[[#This Row],[gross_revenue]]</f>
        <v>13550</v>
      </c>
      <c r="D55" s="2">
        <f>tbl_raw[[#This Row],[return_loss]]</f>
        <v>20.16</v>
      </c>
      <c r="E55" s="2">
        <f t="shared" si="0"/>
        <v>13529.84</v>
      </c>
      <c r="F55" s="2">
        <f>tbl_raw[[#This Row],[cogs]]</f>
        <v>6097.5</v>
      </c>
      <c r="G55" s="2">
        <f>SUM(tbl_raw[[#This Row],[storage_cost]:[freight_cost]])</f>
        <v>3172</v>
      </c>
      <c r="H55" s="2">
        <f>tbl_profitability[[#This Row],[net_revenue_after_returns]]-tbl_profitability[[#This Row],[cogs]]-tbl_profitability[[#This Row],[operating_costs]]</f>
        <v>4260.34</v>
      </c>
      <c r="I55" s="10">
        <f>(tbl_profitability[[#This Row],[gross_revenue]]-tbl_profitability[[#This Row],[cogs]])/tbl_profitability[[#This Row],[gross_revenue]]</f>
        <v>0.55000000000000004</v>
      </c>
      <c r="J55" s="10">
        <f>tbl_profitability[[#This Row],[net_profit]]/tbl_profitability[[#This Row],[gross_revenue]]</f>
        <v>0.31441623616236164</v>
      </c>
      <c r="K55" s="2">
        <f>(tbl_profitability[[#This Row],[cogs]]+tbl_profitability[[#This Row],[return_loss]]+tbl_profitability[[#This Row],[operating_costs]])/tbl_raw[[#This Row],[units_sold]]</f>
        <v>165.88678571428571</v>
      </c>
      <c r="L55" s="8" t="str">
        <f>tbl_raw[[#This Row],[decision]]</f>
        <v>SCALE</v>
      </c>
    </row>
    <row r="56" spans="1:12" x14ac:dyDescent="0.35">
      <c r="A56" s="3" t="str">
        <f>tbl_raw[[#This Row],[product_id]]</f>
        <v>5769ef0a239114ac3a854af00df129e4</v>
      </c>
      <c r="B56" s="4" t="str">
        <f>tbl_raw[[#This Row],[category]]</f>
        <v>fixed_telephony</v>
      </c>
      <c r="C56" s="2">
        <f>tbl_raw[[#This Row],[gross_revenue]]</f>
        <v>13440</v>
      </c>
      <c r="D56" s="2">
        <f>tbl_raw[[#This Row],[return_loss]]</f>
        <v>7.2</v>
      </c>
      <c r="E56" s="2">
        <f t="shared" si="0"/>
        <v>13432.8</v>
      </c>
      <c r="F56" s="2">
        <f>tbl_raw[[#This Row],[cogs]]</f>
        <v>7660.8</v>
      </c>
      <c r="G56" s="2">
        <f>SUM(tbl_raw[[#This Row],[storage_cost]:[freight_cost]])</f>
        <v>236.08</v>
      </c>
      <c r="H56" s="2">
        <f>tbl_profitability[[#This Row],[net_revenue_after_returns]]-tbl_profitability[[#This Row],[cogs]]-tbl_profitability[[#This Row],[operating_costs]]</f>
        <v>5535.9199999999992</v>
      </c>
      <c r="I56" s="10">
        <f>(tbl_profitability[[#This Row],[gross_revenue]]-tbl_profitability[[#This Row],[cogs]])/tbl_profitability[[#This Row],[gross_revenue]]</f>
        <v>0.43</v>
      </c>
      <c r="J56" s="10">
        <f>tbl_profitability[[#This Row],[net_profit]]/tbl_profitability[[#This Row],[gross_revenue]]</f>
        <v>0.41189880952380947</v>
      </c>
      <c r="K56" s="2">
        <f>(tbl_profitability[[#This Row],[cogs]]+tbl_profitability[[#This Row],[return_loss]]+tbl_profitability[[#This Row],[operating_costs]])/tbl_raw[[#This Row],[units_sold]]</f>
        <v>988.01</v>
      </c>
      <c r="L56" s="8" t="str">
        <f>tbl_raw[[#This Row],[decision]]</f>
        <v>EXIT</v>
      </c>
    </row>
    <row r="57" spans="1:12" x14ac:dyDescent="0.35">
      <c r="A57" s="3" t="str">
        <f>tbl_raw[[#This Row],[product_id]]</f>
        <v>0433830caca22b01a0f477d31307b043</v>
      </c>
      <c r="B57" s="4" t="str">
        <f>tbl_raw[[#This Row],[category]]</f>
        <v>small_appliances_home_oven_and_coffee</v>
      </c>
      <c r="C57" s="2">
        <f>tbl_raw[[#This Row],[gross_revenue]]</f>
        <v>13193</v>
      </c>
      <c r="D57" s="2">
        <f>tbl_raw[[#This Row],[return_loss]]</f>
        <v>2.52</v>
      </c>
      <c r="E57" s="2">
        <f t="shared" si="0"/>
        <v>13190.48</v>
      </c>
      <c r="F57" s="2">
        <f>tbl_raw[[#This Row],[cogs]]</f>
        <v>7520.01</v>
      </c>
      <c r="G57" s="2">
        <f>SUM(tbl_raw[[#This Row],[storage_cost]:[freight_cost]])</f>
        <v>493.89</v>
      </c>
      <c r="H57" s="2">
        <f>tbl_profitability[[#This Row],[net_revenue_after_returns]]-tbl_profitability[[#This Row],[cogs]]-tbl_profitability[[#This Row],[operating_costs]]</f>
        <v>5176.579999999999</v>
      </c>
      <c r="I57" s="10">
        <f>(tbl_profitability[[#This Row],[gross_revenue]]-tbl_profitability[[#This Row],[cogs]])/tbl_profitability[[#This Row],[gross_revenue]]</f>
        <v>0.43</v>
      </c>
      <c r="J57" s="10">
        <f>tbl_profitability[[#This Row],[net_profit]]/tbl_profitability[[#This Row],[gross_revenue]]</f>
        <v>0.39237322822709003</v>
      </c>
      <c r="K57" s="2">
        <f>(tbl_profitability[[#This Row],[cogs]]+tbl_profitability[[#This Row],[return_loss]]+tbl_profitability[[#This Row],[operating_costs]])/tbl_raw[[#This Row],[units_sold]]</f>
        <v>1145.2028571428573</v>
      </c>
      <c r="L57" s="8" t="str">
        <f>tbl_raw[[#This Row],[decision]]</f>
        <v>SCALE</v>
      </c>
    </row>
    <row r="58" spans="1:12" x14ac:dyDescent="0.35">
      <c r="A58" s="3" t="str">
        <f>tbl_raw[[#This Row],[product_id]]</f>
        <v>f4f67ccaece962d013a4e1d7dc3a61f7</v>
      </c>
      <c r="B58" s="4" t="str">
        <f>tbl_raw[[#This Row],[category]]</f>
        <v>auto</v>
      </c>
      <c r="C58" s="2">
        <f>tbl_raw[[#This Row],[gross_revenue]]</f>
        <v>13139.8</v>
      </c>
      <c r="D58" s="2">
        <f>tbl_raw[[#This Row],[return_loss]]</f>
        <v>20.16</v>
      </c>
      <c r="E58" s="2">
        <f t="shared" si="0"/>
        <v>13119.64</v>
      </c>
      <c r="F58" s="2">
        <f>tbl_raw[[#This Row],[cogs]]</f>
        <v>5912.91</v>
      </c>
      <c r="G58" s="2">
        <f>SUM(tbl_raw[[#This Row],[storage_cost]:[freight_cost]])</f>
        <v>2097.33</v>
      </c>
      <c r="H58" s="2">
        <f>tbl_profitability[[#This Row],[net_revenue_after_returns]]-tbl_profitability[[#This Row],[cogs]]-tbl_profitability[[#This Row],[operating_costs]]</f>
        <v>5109.3999999999996</v>
      </c>
      <c r="I58" s="10">
        <f>(tbl_profitability[[#This Row],[gross_revenue]]-tbl_profitability[[#This Row],[cogs]])/tbl_profitability[[#This Row],[gross_revenue]]</f>
        <v>0.54999999999999993</v>
      </c>
      <c r="J58" s="10">
        <f>tbl_profitability[[#This Row],[net_profit]]/tbl_profitability[[#This Row],[gross_revenue]]</f>
        <v>0.38884914534467802</v>
      </c>
      <c r="K58" s="2">
        <f>(tbl_profitability[[#This Row],[cogs]]+tbl_profitability[[#This Row],[return_loss]]+tbl_profitability[[#This Row],[operating_costs]])/tbl_raw[[#This Row],[units_sold]]</f>
        <v>143.4</v>
      </c>
      <c r="L58" s="8" t="str">
        <f>tbl_raw[[#This Row],[decision]]</f>
        <v>SCALE</v>
      </c>
    </row>
    <row r="59" spans="1:12" x14ac:dyDescent="0.35">
      <c r="A59" s="3" t="str">
        <f>tbl_raw[[#This Row],[product_id]]</f>
        <v>13db47eae724e2848e12b71a617a3a41</v>
      </c>
      <c r="B59" s="4" t="str">
        <f>tbl_raw[[#This Row],[category]]</f>
        <v>audio</v>
      </c>
      <c r="C59" s="2">
        <f>tbl_raw[[#This Row],[gross_revenue]]</f>
        <v>12992.65</v>
      </c>
      <c r="D59" s="2">
        <f>tbl_raw[[#This Row],[return_loss]]</f>
        <v>23.4</v>
      </c>
      <c r="E59" s="2">
        <f t="shared" si="0"/>
        <v>12969.25</v>
      </c>
      <c r="F59" s="2">
        <f>tbl_raw[[#This Row],[cogs]]</f>
        <v>7405.81</v>
      </c>
      <c r="G59" s="2">
        <f>SUM(tbl_raw[[#This Row],[storage_cost]:[freight_cost]])</f>
        <v>727.74</v>
      </c>
      <c r="H59" s="2">
        <f>tbl_profitability[[#This Row],[net_revenue_after_returns]]-tbl_profitability[[#This Row],[cogs]]-tbl_profitability[[#This Row],[operating_costs]]</f>
        <v>4835.7</v>
      </c>
      <c r="I59" s="10">
        <f>(tbl_profitability[[#This Row],[gross_revenue]]-tbl_profitability[[#This Row],[cogs]])/tbl_profitability[[#This Row],[gross_revenue]]</f>
        <v>0.43000003848329627</v>
      </c>
      <c r="J59" s="10">
        <f>tbl_profitability[[#This Row],[net_profit]]/tbl_profitability[[#This Row],[gross_revenue]]</f>
        <v>0.37218735207982973</v>
      </c>
      <c r="K59" s="2">
        <f>(tbl_profitability[[#This Row],[cogs]]+tbl_profitability[[#This Row],[return_loss]]+tbl_profitability[[#This Row],[operating_costs]])/tbl_raw[[#This Row],[units_sold]]</f>
        <v>313.72884615384612</v>
      </c>
      <c r="L59" s="8" t="str">
        <f>tbl_raw[[#This Row],[decision]]</f>
        <v>OPTIMIZE</v>
      </c>
    </row>
    <row r="60" spans="1:12" x14ac:dyDescent="0.35">
      <c r="A60" s="3" t="str">
        <f>tbl_raw[[#This Row],[product_id]]</f>
        <v>8ed094bfe076c568f6bb10feada3f75d</v>
      </c>
      <c r="B60" s="4" t="str">
        <f>tbl_raw[[#This Row],[category]]</f>
        <v>office_furniture</v>
      </c>
      <c r="C60" s="2">
        <f>tbl_raw[[#This Row],[gross_revenue]]</f>
        <v>12947.09</v>
      </c>
      <c r="D60" s="2">
        <f>tbl_raw[[#This Row],[return_loss]]</f>
        <v>25.2</v>
      </c>
      <c r="E60" s="2">
        <f t="shared" si="0"/>
        <v>12921.89</v>
      </c>
      <c r="F60" s="2">
        <f>tbl_raw[[#This Row],[cogs]]</f>
        <v>5826.19</v>
      </c>
      <c r="G60" s="2">
        <f>SUM(tbl_raw[[#This Row],[storage_cost]:[freight_cost]])</f>
        <v>4864.8500000000004</v>
      </c>
      <c r="H60" s="2">
        <f>tbl_profitability[[#This Row],[net_revenue_after_returns]]-tbl_profitability[[#This Row],[cogs]]-tbl_profitability[[#This Row],[operating_costs]]</f>
        <v>2230.8499999999995</v>
      </c>
      <c r="I60" s="10">
        <f>(tbl_profitability[[#This Row],[gross_revenue]]-tbl_profitability[[#This Row],[cogs]])/tbl_profitability[[#This Row],[gross_revenue]]</f>
        <v>0.55000003861871671</v>
      </c>
      <c r="J60" s="10">
        <f>tbl_profitability[[#This Row],[net_profit]]/tbl_profitability[[#This Row],[gross_revenue]]</f>
        <v>0.17230512802490749</v>
      </c>
      <c r="K60" s="2">
        <f>(tbl_profitability[[#This Row],[cogs]]+tbl_profitability[[#This Row],[return_loss]]+tbl_profitability[[#This Row],[operating_costs]])/tbl_raw[[#This Row],[units_sold]]</f>
        <v>153.08914285714286</v>
      </c>
      <c r="L60" s="8" t="str">
        <f>tbl_raw[[#This Row],[decision]]</f>
        <v>OPTIMIZE</v>
      </c>
    </row>
    <row r="61" spans="1:12" x14ac:dyDescent="0.35">
      <c r="A61" s="3" t="str">
        <f>tbl_raw[[#This Row],[product_id]]</f>
        <v>ee406bf28024d97771c4b1e8b7e8e219</v>
      </c>
      <c r="B61" s="4" t="str">
        <f>tbl_raw[[#This Row],[category]]</f>
        <v>cool_stuff</v>
      </c>
      <c r="C61" s="2">
        <f>tbl_raw[[#This Row],[gross_revenue]]</f>
        <v>12914.1</v>
      </c>
      <c r="D61" s="2">
        <f>tbl_raw[[#This Row],[return_loss]]</f>
        <v>32.4</v>
      </c>
      <c r="E61" s="2">
        <f t="shared" si="0"/>
        <v>12881.7</v>
      </c>
      <c r="F61" s="2">
        <f>tbl_raw[[#This Row],[cogs]]</f>
        <v>5811.34</v>
      </c>
      <c r="G61" s="2">
        <f>SUM(tbl_raw[[#This Row],[storage_cost]:[freight_cost]])</f>
        <v>1972.68</v>
      </c>
      <c r="H61" s="2">
        <f>tbl_profitability[[#This Row],[net_revenue_after_returns]]-tbl_profitability[[#This Row],[cogs]]-tbl_profitability[[#This Row],[operating_costs]]</f>
        <v>5097.68</v>
      </c>
      <c r="I61" s="10">
        <f>(tbl_profitability[[#This Row],[gross_revenue]]-tbl_profitability[[#This Row],[cogs]])/tbl_profitability[[#This Row],[gross_revenue]]</f>
        <v>0.55000038717370936</v>
      </c>
      <c r="J61" s="10">
        <f>tbl_profitability[[#This Row],[net_profit]]/tbl_profitability[[#This Row],[gross_revenue]]</f>
        <v>0.3947375349424273</v>
      </c>
      <c r="K61" s="2">
        <f>(tbl_profitability[[#This Row],[cogs]]+tbl_profitability[[#This Row],[return_loss]]+tbl_profitability[[#This Row],[operating_costs]])/tbl_raw[[#This Row],[units_sold]]</f>
        <v>86.849111111111114</v>
      </c>
      <c r="L61" s="8" t="str">
        <f>tbl_raw[[#This Row],[decision]]</f>
        <v>SCALE</v>
      </c>
    </row>
    <row r="62" spans="1:12" x14ac:dyDescent="0.35">
      <c r="A62" s="3" t="str">
        <f>tbl_raw[[#This Row],[product_id]]</f>
        <v>4fcb3d9a5f4871e8362dfedbdb02b064</v>
      </c>
      <c r="B62" s="4" t="str">
        <f>tbl_raw[[#This Row],[category]]</f>
        <v>auto</v>
      </c>
      <c r="C62" s="2">
        <f>tbl_raw[[#This Row],[gross_revenue]]</f>
        <v>12819.3</v>
      </c>
      <c r="D62" s="2">
        <f>tbl_raw[[#This Row],[return_loss]]</f>
        <v>32.04</v>
      </c>
      <c r="E62" s="2">
        <f t="shared" si="0"/>
        <v>12787.259999999998</v>
      </c>
      <c r="F62" s="2">
        <f>tbl_raw[[#This Row],[cogs]]</f>
        <v>5768.68</v>
      </c>
      <c r="G62" s="2">
        <f>SUM(tbl_raw[[#This Row],[storage_cost]:[freight_cost]])</f>
        <v>2668.8</v>
      </c>
      <c r="H62" s="2">
        <f>tbl_profitability[[#This Row],[net_revenue_after_returns]]-tbl_profitability[[#This Row],[cogs]]-tbl_profitability[[#This Row],[operating_costs]]</f>
        <v>4349.7799999999979</v>
      </c>
      <c r="I62" s="10">
        <f>(tbl_profitability[[#This Row],[gross_revenue]]-tbl_profitability[[#This Row],[cogs]])/tbl_profitability[[#This Row],[gross_revenue]]</f>
        <v>0.55000039003689749</v>
      </c>
      <c r="J62" s="10">
        <f>tbl_profitability[[#This Row],[net_profit]]/tbl_profitability[[#This Row],[gross_revenue]]</f>
        <v>0.33931493919324751</v>
      </c>
      <c r="K62" s="2">
        <f>(tbl_profitability[[#This Row],[cogs]]+tbl_profitability[[#This Row],[return_loss]]+tbl_profitability[[#This Row],[operating_costs]])/tbl_raw[[#This Row],[units_sold]]</f>
        <v>95.163146067415738</v>
      </c>
      <c r="L62" s="8" t="str">
        <f>tbl_raw[[#This Row],[decision]]</f>
        <v>SCALE</v>
      </c>
    </row>
    <row r="63" spans="1:12" x14ac:dyDescent="0.35">
      <c r="A63" s="3" t="str">
        <f>tbl_raw[[#This Row],[product_id]]</f>
        <v>44fc450365728c413fefc547592626be</v>
      </c>
      <c r="B63" s="4" t="str">
        <f>tbl_raw[[#This Row],[category]]</f>
        <v>small_appliances</v>
      </c>
      <c r="C63" s="2">
        <f>tbl_raw[[#This Row],[gross_revenue]]</f>
        <v>12788</v>
      </c>
      <c r="D63" s="2">
        <f>tbl_raw[[#This Row],[return_loss]]</f>
        <v>5.4</v>
      </c>
      <c r="E63" s="2">
        <f t="shared" si="0"/>
        <v>12782.6</v>
      </c>
      <c r="F63" s="2">
        <f>tbl_raw[[#This Row],[cogs]]</f>
        <v>7289.16</v>
      </c>
      <c r="G63" s="2">
        <f>SUM(tbl_raw[[#This Row],[storage_cost]:[freight_cost]])</f>
        <v>470.28</v>
      </c>
      <c r="H63" s="2">
        <f>tbl_profitability[[#This Row],[net_revenue_after_returns]]-tbl_profitability[[#This Row],[cogs]]-tbl_profitability[[#This Row],[operating_costs]]</f>
        <v>5023.1600000000008</v>
      </c>
      <c r="I63" s="10">
        <f>(tbl_profitability[[#This Row],[gross_revenue]]-tbl_profitability[[#This Row],[cogs]])/tbl_profitability[[#This Row],[gross_revenue]]</f>
        <v>0.43</v>
      </c>
      <c r="J63" s="10">
        <f>tbl_profitability[[#This Row],[net_profit]]/tbl_profitability[[#This Row],[gross_revenue]]</f>
        <v>0.39280262746324685</v>
      </c>
      <c r="K63" s="2">
        <f>(tbl_profitability[[#This Row],[cogs]]+tbl_profitability[[#This Row],[return_loss]]+tbl_profitability[[#This Row],[operating_costs]])/tbl_raw[[#This Row],[units_sold]]</f>
        <v>517.65599999999995</v>
      </c>
      <c r="L63" s="8" t="str">
        <f>tbl_raw[[#This Row],[decision]]</f>
        <v>OPTIMIZE</v>
      </c>
    </row>
    <row r="64" spans="1:12" x14ac:dyDescent="0.35">
      <c r="A64" s="3" t="str">
        <f>tbl_raw[[#This Row],[product_id]]</f>
        <v>595fac2a385ac33a80bd5114aec74eb8</v>
      </c>
      <c r="B64" s="4" t="str">
        <f>tbl_raw[[#This Row],[category]]</f>
        <v>perfumery</v>
      </c>
      <c r="C64" s="2">
        <f>tbl_raw[[#This Row],[gross_revenue]]</f>
        <v>12636.9</v>
      </c>
      <c r="D64" s="2">
        <f>tbl_raw[[#This Row],[return_loss]]</f>
        <v>38.159999999999997</v>
      </c>
      <c r="E64" s="2">
        <f t="shared" si="0"/>
        <v>12598.74</v>
      </c>
      <c r="F64" s="2">
        <f>tbl_raw[[#This Row],[cogs]]</f>
        <v>5307.5</v>
      </c>
      <c r="G64" s="2">
        <f>SUM(tbl_raw[[#This Row],[storage_cost]:[freight_cost]])</f>
        <v>2132.9700000000003</v>
      </c>
      <c r="H64" s="2">
        <f>tbl_profitability[[#This Row],[net_revenue_after_returns]]-tbl_profitability[[#This Row],[cogs]]-tbl_profitability[[#This Row],[operating_costs]]</f>
        <v>5158.2699999999995</v>
      </c>
      <c r="I64" s="10">
        <f>(tbl_profitability[[#This Row],[gross_revenue]]-tbl_profitability[[#This Row],[cogs]])/tbl_profitability[[#This Row],[gross_revenue]]</f>
        <v>0.57999984173333652</v>
      </c>
      <c r="J64" s="10">
        <f>tbl_profitability[[#This Row],[net_profit]]/tbl_profitability[[#This Row],[gross_revenue]]</f>
        <v>0.40819109116951147</v>
      </c>
      <c r="K64" s="2">
        <f>(tbl_profitability[[#This Row],[cogs]]+tbl_profitability[[#This Row],[return_loss]]+tbl_profitability[[#This Row],[operating_costs]])/tbl_raw[[#This Row],[units_sold]]</f>
        <v>70.55311320754717</v>
      </c>
      <c r="L64" s="8" t="str">
        <f>tbl_raw[[#This Row],[decision]]</f>
        <v>SCALE</v>
      </c>
    </row>
    <row r="65" spans="1:12" x14ac:dyDescent="0.35">
      <c r="A65" s="3" t="str">
        <f>tbl_raw[[#This Row],[product_id]]</f>
        <v>25292482a61cb3298df8dbe15ea69daf</v>
      </c>
      <c r="B65" s="4" t="str">
        <f>tbl_raw[[#This Row],[category]]</f>
        <v>health_beauty</v>
      </c>
      <c r="C65" s="2">
        <f>tbl_raw[[#This Row],[gross_revenue]]</f>
        <v>12546.5</v>
      </c>
      <c r="D65" s="2">
        <f>tbl_raw[[#This Row],[return_loss]]</f>
        <v>3.6</v>
      </c>
      <c r="E65" s="2">
        <f t="shared" si="0"/>
        <v>12542.9</v>
      </c>
      <c r="F65" s="2">
        <f>tbl_raw[[#This Row],[cogs]]</f>
        <v>5269.53</v>
      </c>
      <c r="G65" s="2">
        <f>SUM(tbl_raw[[#This Row],[storage_cost]:[freight_cost]])</f>
        <v>330.71</v>
      </c>
      <c r="H65" s="2">
        <f>tbl_profitability[[#This Row],[net_revenue_after_returns]]-tbl_profitability[[#This Row],[cogs]]-tbl_profitability[[#This Row],[operating_costs]]</f>
        <v>6942.66</v>
      </c>
      <c r="I65" s="10">
        <f>(tbl_profitability[[#This Row],[gross_revenue]]-tbl_profitability[[#This Row],[cogs]])/tbl_profitability[[#This Row],[gross_revenue]]</f>
        <v>0.58000000000000007</v>
      </c>
      <c r="J65" s="10">
        <f>tbl_profitability[[#This Row],[net_profit]]/tbl_profitability[[#This Row],[gross_revenue]]</f>
        <v>0.55335432192244849</v>
      </c>
      <c r="K65" s="2">
        <f>(tbl_profitability[[#This Row],[cogs]]+tbl_profitability[[#This Row],[return_loss]]+tbl_profitability[[#This Row],[operating_costs]])/tbl_raw[[#This Row],[units_sold]]</f>
        <v>560.38400000000001</v>
      </c>
      <c r="L65" s="8" t="str">
        <f>tbl_raw[[#This Row],[decision]]</f>
        <v>SCALE</v>
      </c>
    </row>
    <row r="66" spans="1:12" x14ac:dyDescent="0.35">
      <c r="A66" s="3" t="str">
        <f>tbl_raw[[#This Row],[product_id]]</f>
        <v>a92930c327948861c015c919a0bcb4a8</v>
      </c>
      <c r="B66" s="4" t="str">
        <f>tbl_raw[[#This Row],[category]]</f>
        <v>watches_gifts</v>
      </c>
      <c r="C66" s="2">
        <f>tbl_raw[[#This Row],[gross_revenue]]</f>
        <v>12475</v>
      </c>
      <c r="D66" s="2">
        <f>tbl_raw[[#This Row],[return_loss]]</f>
        <v>57.6</v>
      </c>
      <c r="E66" s="2">
        <f t="shared" si="0"/>
        <v>12417.4</v>
      </c>
      <c r="F66" s="2">
        <f>tbl_raw[[#This Row],[cogs]]</f>
        <v>5239.5</v>
      </c>
      <c r="G66" s="2">
        <f>SUM(tbl_raw[[#This Row],[storage_cost]:[freight_cost]])</f>
        <v>3297.53</v>
      </c>
      <c r="H66" s="2">
        <f>tbl_profitability[[#This Row],[net_revenue_after_returns]]-tbl_profitability[[#This Row],[cogs]]-tbl_profitability[[#This Row],[operating_costs]]</f>
        <v>3880.3699999999994</v>
      </c>
      <c r="I66" s="10">
        <f>(tbl_profitability[[#This Row],[gross_revenue]]-tbl_profitability[[#This Row],[cogs]])/tbl_profitability[[#This Row],[gross_revenue]]</f>
        <v>0.57999999999999996</v>
      </c>
      <c r="J66" s="10">
        <f>tbl_profitability[[#This Row],[net_profit]]/tbl_profitability[[#This Row],[gross_revenue]]</f>
        <v>0.3110517034068136</v>
      </c>
      <c r="K66" s="2">
        <f>(tbl_profitability[[#This Row],[cogs]]+tbl_profitability[[#This Row],[return_loss]]+tbl_profitability[[#This Row],[operating_costs]])/tbl_raw[[#This Row],[units_sold]]</f>
        <v>53.716437500000005</v>
      </c>
      <c r="L66" s="8" t="str">
        <f>tbl_raw[[#This Row],[decision]]</f>
        <v>OPTIMIZE</v>
      </c>
    </row>
    <row r="67" spans="1:12" x14ac:dyDescent="0.35">
      <c r="A67" s="3" t="str">
        <f>tbl_raw[[#This Row],[product_id]]</f>
        <v>4298b7e67dc399c200662b569563a2b2</v>
      </c>
      <c r="B67" s="4" t="str">
        <f>tbl_raw[[#This Row],[category]]</f>
        <v>computers_accessories</v>
      </c>
      <c r="C67" s="2">
        <f>tbl_raw[[#This Row],[gross_revenue]]</f>
        <v>12329.8</v>
      </c>
      <c r="D67" s="2">
        <f>tbl_raw[[#This Row],[return_loss]]</f>
        <v>78.3</v>
      </c>
      <c r="E67" s="2">
        <f t="shared" si="0"/>
        <v>12251.5</v>
      </c>
      <c r="F67" s="2">
        <f>tbl_raw[[#This Row],[cogs]]</f>
        <v>7027.99</v>
      </c>
      <c r="G67" s="2">
        <f>SUM(tbl_raw[[#This Row],[storage_cost]:[freight_cost]])</f>
        <v>2591.29</v>
      </c>
      <c r="H67" s="2">
        <f>tbl_profitability[[#This Row],[net_revenue_after_returns]]-tbl_profitability[[#This Row],[cogs]]-tbl_profitability[[#This Row],[operating_costs]]</f>
        <v>2632.2200000000003</v>
      </c>
      <c r="I67" s="10">
        <f>(tbl_profitability[[#This Row],[gross_revenue]]-tbl_profitability[[#This Row],[cogs]])/tbl_profitability[[#This Row],[gross_revenue]]</f>
        <v>0.4299996755827345</v>
      </c>
      <c r="J67" s="10">
        <f>tbl_profitability[[#This Row],[net_profit]]/tbl_profitability[[#This Row],[gross_revenue]]</f>
        <v>0.21348440363996174</v>
      </c>
      <c r="K67" s="2">
        <f>(tbl_profitability[[#This Row],[cogs]]+tbl_profitability[[#This Row],[return_loss]]+tbl_profitability[[#This Row],[operating_costs]])/tbl_raw[[#This Row],[units_sold]]</f>
        <v>111.46643678160919</v>
      </c>
      <c r="L67" s="8" t="str">
        <f>tbl_raw[[#This Row],[decision]]</f>
        <v>OPTIMIZE</v>
      </c>
    </row>
    <row r="68" spans="1:12" x14ac:dyDescent="0.35">
      <c r="A68" s="3" t="str">
        <f>tbl_raw[[#This Row],[product_id]]</f>
        <v>656e0eca68dcecf6a31b8ececfabe3e8</v>
      </c>
      <c r="B68" s="4" t="str">
        <f>tbl_raw[[#This Row],[category]]</f>
        <v>computers_accessories</v>
      </c>
      <c r="C68" s="2">
        <f>tbl_raw[[#This Row],[gross_revenue]]</f>
        <v>12306.81</v>
      </c>
      <c r="D68" s="2">
        <f>tbl_raw[[#This Row],[return_loss]]</f>
        <v>125.1</v>
      </c>
      <c r="E68" s="2">
        <f t="shared" ref="E68:E131" si="1">C68-D68</f>
        <v>12181.71</v>
      </c>
      <c r="F68" s="2">
        <f>tbl_raw[[#This Row],[cogs]]</f>
        <v>7014.88</v>
      </c>
      <c r="G68" s="2">
        <f>SUM(tbl_raw[[#This Row],[storage_cost]:[freight_cost]])</f>
        <v>3554.9</v>
      </c>
      <c r="H68" s="2">
        <f>tbl_profitability[[#This Row],[net_revenue_after_returns]]-tbl_profitability[[#This Row],[cogs]]-tbl_profitability[[#This Row],[operating_costs]]</f>
        <v>1611.9299999999989</v>
      </c>
      <c r="I68" s="10">
        <f>(tbl_profitability[[#This Row],[gross_revenue]]-tbl_profitability[[#This Row],[cogs]])/tbl_profitability[[#This Row],[gross_revenue]]</f>
        <v>0.43000013813490251</v>
      </c>
      <c r="J68" s="10">
        <f>tbl_profitability[[#This Row],[net_profit]]/tbl_profitability[[#This Row],[gross_revenue]]</f>
        <v>0.13097870203570211</v>
      </c>
      <c r="K68" s="2">
        <f>(tbl_profitability[[#This Row],[cogs]]+tbl_profitability[[#This Row],[return_loss]]+tbl_profitability[[#This Row],[operating_costs]])/tbl_raw[[#This Row],[units_sold]]</f>
        <v>76.94158273381295</v>
      </c>
      <c r="L68" s="8" t="str">
        <f>tbl_raw[[#This Row],[decision]]</f>
        <v>OPTIMIZE</v>
      </c>
    </row>
    <row r="69" spans="1:12" x14ac:dyDescent="0.35">
      <c r="A69" s="3" t="str">
        <f>tbl_raw[[#This Row],[product_id]]</f>
        <v>e4d325bd1eea550509bdbbc5c3301fc1</v>
      </c>
      <c r="B69" s="4" t="str">
        <f>tbl_raw[[#This Row],[category]]</f>
        <v>perfumery</v>
      </c>
      <c r="C69" s="2">
        <f>tbl_raw[[#This Row],[gross_revenue]]</f>
        <v>12086.26</v>
      </c>
      <c r="D69" s="2">
        <f>tbl_raw[[#This Row],[return_loss]]</f>
        <v>11.88</v>
      </c>
      <c r="E69" s="2">
        <f t="shared" si="1"/>
        <v>12074.380000000001</v>
      </c>
      <c r="F69" s="2">
        <f>tbl_raw[[#This Row],[cogs]]</f>
        <v>5076.2299999999996</v>
      </c>
      <c r="G69" s="2">
        <f>SUM(tbl_raw[[#This Row],[storage_cost]:[freight_cost]])</f>
        <v>907.83</v>
      </c>
      <c r="H69" s="2">
        <f>tbl_profitability[[#This Row],[net_revenue_after_returns]]-tbl_profitability[[#This Row],[cogs]]-tbl_profitability[[#This Row],[operating_costs]]</f>
        <v>6090.3200000000015</v>
      </c>
      <c r="I69" s="10">
        <f>(tbl_profitability[[#This Row],[gross_revenue]]-tbl_profitability[[#This Row],[cogs]])/tbl_profitability[[#This Row],[gross_revenue]]</f>
        <v>0.57999993380913539</v>
      </c>
      <c r="J69" s="10">
        <f>tbl_profitability[[#This Row],[net_profit]]/tbl_profitability[[#This Row],[gross_revenue]]</f>
        <v>0.5039044336295927</v>
      </c>
      <c r="K69" s="2">
        <f>(tbl_profitability[[#This Row],[cogs]]+tbl_profitability[[#This Row],[return_loss]]+tbl_profitability[[#This Row],[operating_costs]])/tbl_raw[[#This Row],[units_sold]]</f>
        <v>181.69515151515151</v>
      </c>
      <c r="L69" s="8" t="str">
        <f>tbl_raw[[#This Row],[decision]]</f>
        <v>SCALE</v>
      </c>
    </row>
    <row r="70" spans="1:12" x14ac:dyDescent="0.35">
      <c r="A70" s="3" t="str">
        <f>tbl_raw[[#This Row],[product_id]]</f>
        <v>0a57f7d2c983bcf8188589a5fea4a8da</v>
      </c>
      <c r="B70" s="4" t="str">
        <f>tbl_raw[[#This Row],[category]]</f>
        <v>watches_gifts</v>
      </c>
      <c r="C70" s="2">
        <f>tbl_raw[[#This Row],[gross_revenue]]</f>
        <v>11907.2</v>
      </c>
      <c r="D70" s="2">
        <f>tbl_raw[[#This Row],[return_loss]]</f>
        <v>37.44</v>
      </c>
      <c r="E70" s="2">
        <f t="shared" si="1"/>
        <v>11869.76</v>
      </c>
      <c r="F70" s="2">
        <f>tbl_raw[[#This Row],[cogs]]</f>
        <v>5001.0200000000004</v>
      </c>
      <c r="G70" s="2">
        <f>SUM(tbl_raw[[#This Row],[storage_cost]:[freight_cost]])</f>
        <v>2079.4300000000003</v>
      </c>
      <c r="H70" s="2">
        <f>tbl_profitability[[#This Row],[net_revenue_after_returns]]-tbl_profitability[[#This Row],[cogs]]-tbl_profitability[[#This Row],[operating_costs]]</f>
        <v>4789.3099999999995</v>
      </c>
      <c r="I70" s="10">
        <f>(tbl_profitability[[#This Row],[gross_revenue]]-tbl_profitability[[#This Row],[cogs]])/tbl_profitability[[#This Row],[gross_revenue]]</f>
        <v>0.58000033593120126</v>
      </c>
      <c r="J70" s="10">
        <f>tbl_profitability[[#This Row],[net_profit]]/tbl_profitability[[#This Row],[gross_revenue]]</f>
        <v>0.40221966541252346</v>
      </c>
      <c r="K70" s="2">
        <f>(tbl_profitability[[#This Row],[cogs]]+tbl_profitability[[#This Row],[return_loss]]+tbl_profitability[[#This Row],[operating_costs]])/tbl_raw[[#This Row],[units_sold]]</f>
        <v>68.441249999999997</v>
      </c>
      <c r="L70" s="8" t="str">
        <f>tbl_raw[[#This Row],[decision]]</f>
        <v>OPTIMIZE</v>
      </c>
    </row>
    <row r="71" spans="1:12" x14ac:dyDescent="0.35">
      <c r="A71" s="3" t="str">
        <f>tbl_raw[[#This Row],[product_id]]</f>
        <v>5237739bb5fee495dbd337755a138660</v>
      </c>
      <c r="B71" s="4" t="str">
        <f>tbl_raw[[#This Row],[category]]</f>
        <v>watches_gifts</v>
      </c>
      <c r="C71" s="2">
        <f>tbl_raw[[#This Row],[gross_revenue]]</f>
        <v>11885.05</v>
      </c>
      <c r="D71" s="2">
        <f>tbl_raw[[#This Row],[return_loss]]</f>
        <v>4.68</v>
      </c>
      <c r="E71" s="2">
        <f t="shared" si="1"/>
        <v>11880.369999999999</v>
      </c>
      <c r="F71" s="2">
        <f>tbl_raw[[#This Row],[cogs]]</f>
        <v>4991.72</v>
      </c>
      <c r="G71" s="2">
        <f>SUM(tbl_raw[[#This Row],[storage_cost]:[freight_cost]])</f>
        <v>427.96</v>
      </c>
      <c r="H71" s="2">
        <f>tbl_profitability[[#This Row],[net_revenue_after_returns]]-tbl_profitability[[#This Row],[cogs]]-tbl_profitability[[#This Row],[operating_costs]]</f>
        <v>6460.6899999999987</v>
      </c>
      <c r="I71" s="10">
        <f>(tbl_profitability[[#This Row],[gross_revenue]]-tbl_profitability[[#This Row],[cogs]])/tbl_profitability[[#This Row],[gross_revenue]]</f>
        <v>0.58000008413931781</v>
      </c>
      <c r="J71" s="10">
        <f>tbl_profitability[[#This Row],[net_profit]]/tbl_profitability[[#This Row],[gross_revenue]]</f>
        <v>0.54359804965061143</v>
      </c>
      <c r="K71" s="2">
        <f>(tbl_profitability[[#This Row],[cogs]]+tbl_profitability[[#This Row],[return_loss]]+tbl_profitability[[#This Row],[operating_costs]])/tbl_raw[[#This Row],[units_sold]]</f>
        <v>417.25846153846157</v>
      </c>
      <c r="L71" s="8" t="str">
        <f>tbl_raw[[#This Row],[decision]]</f>
        <v>OPTIMIZE</v>
      </c>
    </row>
    <row r="72" spans="1:12" x14ac:dyDescent="0.35">
      <c r="A72" s="3" t="str">
        <f>tbl_raw[[#This Row],[product_id]]</f>
        <v>c6dd917a0be2a704582055949915ab32</v>
      </c>
      <c r="B72" s="4" t="str">
        <f>tbl_raw[[#This Row],[category]]</f>
        <v>cool_stuff</v>
      </c>
      <c r="C72" s="2">
        <f>tbl_raw[[#This Row],[gross_revenue]]</f>
        <v>11868.42</v>
      </c>
      <c r="D72" s="2">
        <f>tbl_raw[[#This Row],[return_loss]]</f>
        <v>43.2</v>
      </c>
      <c r="E72" s="2">
        <f t="shared" si="1"/>
        <v>11825.22</v>
      </c>
      <c r="F72" s="2">
        <f>tbl_raw[[#This Row],[cogs]]</f>
        <v>5340.79</v>
      </c>
      <c r="G72" s="2">
        <f>SUM(tbl_raw[[#This Row],[storage_cost]:[freight_cost]])</f>
        <v>2556.54</v>
      </c>
      <c r="H72" s="2">
        <f>tbl_profitability[[#This Row],[net_revenue_after_returns]]-tbl_profitability[[#This Row],[cogs]]-tbl_profitability[[#This Row],[operating_costs]]</f>
        <v>3927.8899999999994</v>
      </c>
      <c r="I72" s="10">
        <f>(tbl_profitability[[#This Row],[gross_revenue]]-tbl_profitability[[#This Row],[cogs]])/tbl_profitability[[#This Row],[gross_revenue]]</f>
        <v>0.54999991574278628</v>
      </c>
      <c r="J72" s="10">
        <f>tbl_profitability[[#This Row],[net_profit]]/tbl_profitability[[#This Row],[gross_revenue]]</f>
        <v>0.33095306704683514</v>
      </c>
      <c r="K72" s="2">
        <f>(tbl_profitability[[#This Row],[cogs]]+tbl_profitability[[#This Row],[return_loss]]+tbl_profitability[[#This Row],[operating_costs]])/tbl_raw[[#This Row],[units_sold]]</f>
        <v>66.171083333333328</v>
      </c>
      <c r="L72" s="8" t="str">
        <f>tbl_raw[[#This Row],[decision]]</f>
        <v>SCALE</v>
      </c>
    </row>
    <row r="73" spans="1:12" x14ac:dyDescent="0.35">
      <c r="A73" s="3" t="str">
        <f>tbl_raw[[#This Row],[product_id]]</f>
        <v>af0a99476d96dcc1a1baa7c0d9ff6b9d</v>
      </c>
      <c r="B73" s="4" t="str">
        <f>tbl_raw[[#This Row],[category]]</f>
        <v>health_beauty</v>
      </c>
      <c r="C73" s="2">
        <f>tbl_raw[[#This Row],[gross_revenue]]</f>
        <v>11840.3</v>
      </c>
      <c r="D73" s="2">
        <f>tbl_raw[[#This Row],[return_loss]]</f>
        <v>7.92</v>
      </c>
      <c r="E73" s="2">
        <f t="shared" si="1"/>
        <v>11832.38</v>
      </c>
      <c r="F73" s="2">
        <f>tbl_raw[[#This Row],[cogs]]</f>
        <v>4972.93</v>
      </c>
      <c r="G73" s="2">
        <f>SUM(tbl_raw[[#This Row],[storage_cost]:[freight_cost]])</f>
        <v>721.2</v>
      </c>
      <c r="H73" s="2">
        <f>tbl_profitability[[#This Row],[net_revenue_after_returns]]-tbl_profitability[[#This Row],[cogs]]-tbl_profitability[[#This Row],[operating_costs]]</f>
        <v>6138.2499999999991</v>
      </c>
      <c r="I73" s="10">
        <f>(tbl_profitability[[#This Row],[gross_revenue]]-tbl_profitability[[#This Row],[cogs]])/tbl_profitability[[#This Row],[gross_revenue]]</f>
        <v>0.57999966217072196</v>
      </c>
      <c r="J73" s="10">
        <f>tbl_profitability[[#This Row],[net_profit]]/tbl_profitability[[#This Row],[gross_revenue]]</f>
        <v>0.51842014138155279</v>
      </c>
      <c r="K73" s="2">
        <f>(tbl_profitability[[#This Row],[cogs]]+tbl_profitability[[#This Row],[return_loss]]+tbl_profitability[[#This Row],[operating_costs]])/tbl_raw[[#This Row],[units_sold]]</f>
        <v>259.18409090909091</v>
      </c>
      <c r="L73" s="8" t="str">
        <f>tbl_raw[[#This Row],[decision]]</f>
        <v>OPTIMIZE</v>
      </c>
    </row>
    <row r="74" spans="1:12" x14ac:dyDescent="0.35">
      <c r="A74" s="3" t="str">
        <f>tbl_raw[[#This Row],[product_id]]</f>
        <v>24c66f106f642621e524291a895c9032</v>
      </c>
      <c r="B74" s="4" t="str">
        <f>tbl_raw[[#This Row],[category]]</f>
        <v>health_beauty</v>
      </c>
      <c r="C74" s="2">
        <f>tbl_raw[[#This Row],[gross_revenue]]</f>
        <v>11823.5</v>
      </c>
      <c r="D74" s="2">
        <f>tbl_raw[[#This Row],[return_loss]]</f>
        <v>23.4</v>
      </c>
      <c r="E74" s="2">
        <f t="shared" si="1"/>
        <v>11800.1</v>
      </c>
      <c r="F74" s="2">
        <f>tbl_raw[[#This Row],[cogs]]</f>
        <v>4965.87</v>
      </c>
      <c r="G74" s="2">
        <f>SUM(tbl_raw[[#This Row],[storage_cost]:[freight_cost]])</f>
        <v>1771.46</v>
      </c>
      <c r="H74" s="2">
        <f>tbl_profitability[[#This Row],[net_revenue_after_returns]]-tbl_profitability[[#This Row],[cogs]]-tbl_profitability[[#This Row],[operating_costs]]</f>
        <v>5062.7700000000004</v>
      </c>
      <c r="I74" s="10">
        <f>(tbl_profitability[[#This Row],[gross_revenue]]-tbl_profitability[[#This Row],[cogs]])/tbl_profitability[[#This Row],[gross_revenue]]</f>
        <v>0.57999999999999996</v>
      </c>
      <c r="J74" s="10">
        <f>tbl_profitability[[#This Row],[net_profit]]/tbl_profitability[[#This Row],[gross_revenue]]</f>
        <v>0.42819554277498206</v>
      </c>
      <c r="K74" s="2">
        <f>(tbl_profitability[[#This Row],[cogs]]+tbl_profitability[[#This Row],[return_loss]]+tbl_profitability[[#This Row],[operating_costs]])/tbl_raw[[#This Row],[units_sold]]</f>
        <v>104.01123076923076</v>
      </c>
      <c r="L74" s="8" t="str">
        <f>tbl_raw[[#This Row],[decision]]</f>
        <v>SCALE</v>
      </c>
    </row>
    <row r="75" spans="1:12" x14ac:dyDescent="0.35">
      <c r="A75" s="3" t="str">
        <f>tbl_raw[[#This Row],[product_id]]</f>
        <v>dc404a1496a08f9f5540c8b5d4b92925</v>
      </c>
      <c r="B75" s="4" t="str">
        <f>tbl_raw[[#This Row],[category]]</f>
        <v>toys</v>
      </c>
      <c r="C75" s="2">
        <f>tbl_raw[[#This Row],[gross_revenue]]</f>
        <v>11663.5</v>
      </c>
      <c r="D75" s="2">
        <f>tbl_raw[[#This Row],[return_loss]]</f>
        <v>13.68</v>
      </c>
      <c r="E75" s="2">
        <f t="shared" si="1"/>
        <v>11649.82</v>
      </c>
      <c r="F75" s="2">
        <f>tbl_raw[[#This Row],[cogs]]</f>
        <v>4898.67</v>
      </c>
      <c r="G75" s="2">
        <f>SUM(tbl_raw[[#This Row],[storage_cost]:[freight_cost]])</f>
        <v>991.84</v>
      </c>
      <c r="H75" s="2">
        <f>tbl_profitability[[#This Row],[net_revenue_after_returns]]-tbl_profitability[[#This Row],[cogs]]-tbl_profitability[[#This Row],[operating_costs]]</f>
        <v>5759.3099999999995</v>
      </c>
      <c r="I75" s="10">
        <f>(tbl_profitability[[#This Row],[gross_revenue]]-tbl_profitability[[#This Row],[cogs]])/tbl_profitability[[#This Row],[gross_revenue]]</f>
        <v>0.57999999999999996</v>
      </c>
      <c r="J75" s="10">
        <f>tbl_profitability[[#This Row],[net_profit]]/tbl_profitability[[#This Row],[gross_revenue]]</f>
        <v>0.49378917134650829</v>
      </c>
      <c r="K75" s="2">
        <f>(tbl_profitability[[#This Row],[cogs]]+tbl_profitability[[#This Row],[return_loss]]+tbl_profitability[[#This Row],[operating_costs]])/tbl_raw[[#This Row],[units_sold]]</f>
        <v>155.37342105263158</v>
      </c>
      <c r="L75" s="8" t="str">
        <f>tbl_raw[[#This Row],[decision]]</f>
        <v>SCALE</v>
      </c>
    </row>
    <row r="76" spans="1:12" x14ac:dyDescent="0.35">
      <c r="A76" s="3" t="str">
        <f>tbl_raw[[#This Row],[product_id]]</f>
        <v>36f60d45225e60c7da4558b070ce4b60</v>
      </c>
      <c r="B76" s="4" t="str">
        <f>tbl_raw[[#This Row],[category]]</f>
        <v>computers_accessories</v>
      </c>
      <c r="C76" s="2">
        <f>tbl_raw[[#This Row],[gross_revenue]]</f>
        <v>11240.96</v>
      </c>
      <c r="D76" s="2">
        <f>tbl_raw[[#This Row],[return_loss]]</f>
        <v>114.3</v>
      </c>
      <c r="E76" s="2">
        <f t="shared" si="1"/>
        <v>11126.66</v>
      </c>
      <c r="F76" s="2">
        <f>tbl_raw[[#This Row],[cogs]]</f>
        <v>6407.35</v>
      </c>
      <c r="G76" s="2">
        <f>SUM(tbl_raw[[#This Row],[storage_cost]:[freight_cost]])</f>
        <v>2973</v>
      </c>
      <c r="H76" s="2">
        <f>tbl_profitability[[#This Row],[net_revenue_after_returns]]-tbl_profitability[[#This Row],[cogs]]-tbl_profitability[[#This Row],[operating_costs]]</f>
        <v>1746.3099999999995</v>
      </c>
      <c r="I76" s="10">
        <f>(tbl_profitability[[#This Row],[gross_revenue]]-tbl_profitability[[#This Row],[cogs]])/tbl_profitability[[#This Row],[gross_revenue]]</f>
        <v>0.42999975091095416</v>
      </c>
      <c r="J76" s="10">
        <f>tbl_profitability[[#This Row],[net_profit]]/tbl_profitability[[#This Row],[gross_revenue]]</f>
        <v>0.15535238983147343</v>
      </c>
      <c r="K76" s="2">
        <f>(tbl_profitability[[#This Row],[cogs]]+tbl_profitability[[#This Row],[return_loss]]+tbl_profitability[[#This Row],[operating_costs]])/tbl_raw[[#This Row],[units_sold]]</f>
        <v>74.761023622047261</v>
      </c>
      <c r="L76" s="8" t="str">
        <f>tbl_raw[[#This Row],[decision]]</f>
        <v>OPTIMIZE</v>
      </c>
    </row>
    <row r="77" spans="1:12" x14ac:dyDescent="0.35">
      <c r="A77" s="3" t="str">
        <f>tbl_raw[[#This Row],[product_id]]</f>
        <v>2ffdf10e724b958c0f7ea69e97d32f64</v>
      </c>
      <c r="B77" s="4" t="str">
        <f>tbl_raw[[#This Row],[category]]</f>
        <v>watches_gifts</v>
      </c>
      <c r="C77" s="2">
        <f>tbl_raw[[#This Row],[gross_revenue]]</f>
        <v>10916.6</v>
      </c>
      <c r="D77" s="2">
        <f>tbl_raw[[#This Row],[return_loss]]</f>
        <v>18.72</v>
      </c>
      <c r="E77" s="2">
        <f t="shared" si="1"/>
        <v>10897.880000000001</v>
      </c>
      <c r="F77" s="2">
        <f>tbl_raw[[#This Row],[cogs]]</f>
        <v>4584.97</v>
      </c>
      <c r="G77" s="2">
        <f>SUM(tbl_raw[[#This Row],[storage_cost]:[freight_cost]])</f>
        <v>1282.6799999999998</v>
      </c>
      <c r="H77" s="2">
        <f>tbl_profitability[[#This Row],[net_revenue_after_returns]]-tbl_profitability[[#This Row],[cogs]]-tbl_profitability[[#This Row],[operating_costs]]</f>
        <v>5030.2300000000014</v>
      </c>
      <c r="I77" s="10">
        <f>(tbl_profitability[[#This Row],[gross_revenue]]-tbl_profitability[[#This Row],[cogs]])/tbl_profitability[[#This Row],[gross_revenue]]</f>
        <v>0.58000018320722568</v>
      </c>
      <c r="J77" s="10">
        <f>tbl_profitability[[#This Row],[net_profit]]/tbl_profitability[[#This Row],[gross_revenue]]</f>
        <v>0.46078724144880284</v>
      </c>
      <c r="K77" s="2">
        <f>(tbl_profitability[[#This Row],[cogs]]+tbl_profitability[[#This Row],[return_loss]]+tbl_profitability[[#This Row],[operating_costs]])/tbl_raw[[#This Row],[units_sold]]</f>
        <v>113.1994230769231</v>
      </c>
      <c r="L77" s="8" t="str">
        <f>tbl_raw[[#This Row],[decision]]</f>
        <v>OPTIMIZE</v>
      </c>
    </row>
    <row r="78" spans="1:12" x14ac:dyDescent="0.35">
      <c r="A78" s="3" t="str">
        <f>tbl_raw[[#This Row],[product_id]]</f>
        <v>42a2c92a0979a949ca4ea89ec5c7b934</v>
      </c>
      <c r="B78" s="4" t="str">
        <f>tbl_raw[[#This Row],[category]]</f>
        <v>housewares</v>
      </c>
      <c r="C78" s="2">
        <f>tbl_raw[[#This Row],[gross_revenue]]</f>
        <v>10870.1</v>
      </c>
      <c r="D78" s="2">
        <f>tbl_raw[[#This Row],[return_loss]]</f>
        <v>65.88</v>
      </c>
      <c r="E78" s="2">
        <f t="shared" si="1"/>
        <v>10804.220000000001</v>
      </c>
      <c r="F78" s="2">
        <f>tbl_raw[[#This Row],[cogs]]</f>
        <v>4891.54</v>
      </c>
      <c r="G78" s="2">
        <f>SUM(tbl_raw[[#This Row],[storage_cost]:[freight_cost]])</f>
        <v>4840.62</v>
      </c>
      <c r="H78" s="2">
        <f>tbl_profitability[[#This Row],[net_revenue_after_returns]]-tbl_profitability[[#This Row],[cogs]]-tbl_profitability[[#This Row],[operating_costs]]</f>
        <v>1072.0600000000013</v>
      </c>
      <c r="I78" s="10">
        <f>(tbl_profitability[[#This Row],[gross_revenue]]-tbl_profitability[[#This Row],[cogs]])/tbl_profitability[[#This Row],[gross_revenue]]</f>
        <v>0.55000045997736913</v>
      </c>
      <c r="J78" s="10">
        <f>tbl_profitability[[#This Row],[net_profit]]/tbl_profitability[[#This Row],[gross_revenue]]</f>
        <v>9.8624667666350932E-2</v>
      </c>
      <c r="K78" s="2">
        <f>(tbl_profitability[[#This Row],[cogs]]+tbl_profitability[[#This Row],[return_loss]]+tbl_profitability[[#This Row],[operating_costs]])/tbl_raw[[#This Row],[units_sold]]</f>
        <v>53.541202185792358</v>
      </c>
      <c r="L78" s="8" t="str">
        <f>tbl_raw[[#This Row],[decision]]</f>
        <v>EXIT</v>
      </c>
    </row>
    <row r="79" spans="1:12" x14ac:dyDescent="0.35">
      <c r="A79" s="3" t="str">
        <f>tbl_raw[[#This Row],[product_id]]</f>
        <v>afeeea6271148ee1bb15173b8187c431</v>
      </c>
      <c r="B79" s="4" t="str">
        <f>tbl_raw[[#This Row],[category]]</f>
        <v>telephony</v>
      </c>
      <c r="C79" s="2">
        <f>tbl_raw[[#This Row],[gross_revenue]]</f>
        <v>10854.12</v>
      </c>
      <c r="D79" s="2">
        <f>tbl_raw[[#This Row],[return_loss]]</f>
        <v>47.7</v>
      </c>
      <c r="E79" s="2">
        <f t="shared" si="1"/>
        <v>10806.42</v>
      </c>
      <c r="F79" s="2">
        <f>tbl_raw[[#This Row],[cogs]]</f>
        <v>6186.85</v>
      </c>
      <c r="G79" s="2">
        <f>SUM(tbl_raw[[#This Row],[storage_cost]:[freight_cost]])</f>
        <v>1373.67</v>
      </c>
      <c r="H79" s="2">
        <f>tbl_profitability[[#This Row],[net_revenue_after_returns]]-tbl_profitability[[#This Row],[cogs]]-tbl_profitability[[#This Row],[operating_costs]]</f>
        <v>3245.8999999999996</v>
      </c>
      <c r="I79" s="10">
        <f>(tbl_profitability[[#This Row],[gross_revenue]]-tbl_profitability[[#This Row],[cogs]])/tbl_profitability[[#This Row],[gross_revenue]]</f>
        <v>0.42999985259053708</v>
      </c>
      <c r="J79" s="10">
        <f>tbl_profitability[[#This Row],[net_profit]]/tbl_profitability[[#This Row],[gross_revenue]]</f>
        <v>0.29904773486933989</v>
      </c>
      <c r="K79" s="2">
        <f>(tbl_profitability[[#This Row],[cogs]]+tbl_profitability[[#This Row],[return_loss]]+tbl_profitability[[#This Row],[operating_costs]])/tbl_raw[[#This Row],[units_sold]]</f>
        <v>143.55132075471698</v>
      </c>
      <c r="L79" s="8" t="str">
        <f>tbl_raw[[#This Row],[decision]]</f>
        <v>SCALE</v>
      </c>
    </row>
    <row r="80" spans="1:12" x14ac:dyDescent="0.35">
      <c r="A80" s="3" t="str">
        <f>tbl_raw[[#This Row],[product_id]]</f>
        <v>ddceb6eef6af67e9fbbd4c148dbe5fd9</v>
      </c>
      <c r="B80" s="4" t="str">
        <f>tbl_raw[[#This Row],[category]]</f>
        <v>cool_stuff</v>
      </c>
      <c r="C80" s="2">
        <f>tbl_raw[[#This Row],[gross_revenue]]</f>
        <v>10829.73</v>
      </c>
      <c r="D80" s="2">
        <f>tbl_raw[[#This Row],[return_loss]]</f>
        <v>18.36</v>
      </c>
      <c r="E80" s="2">
        <f t="shared" si="1"/>
        <v>10811.369999999999</v>
      </c>
      <c r="F80" s="2">
        <f>tbl_raw[[#This Row],[cogs]]</f>
        <v>4873.38</v>
      </c>
      <c r="G80" s="2">
        <f>SUM(tbl_raw[[#This Row],[storage_cost]:[freight_cost]])</f>
        <v>1636.95</v>
      </c>
      <c r="H80" s="2">
        <f>tbl_profitability[[#This Row],[net_revenue_after_returns]]-tbl_profitability[[#This Row],[cogs]]-tbl_profitability[[#This Row],[operating_costs]]</f>
        <v>4301.0399999999991</v>
      </c>
      <c r="I80" s="10">
        <f>(tbl_profitability[[#This Row],[gross_revenue]]-tbl_profitability[[#This Row],[cogs]])/tbl_profitability[[#This Row],[gross_revenue]]</f>
        <v>0.54999986149239177</v>
      </c>
      <c r="J80" s="10">
        <f>tbl_profitability[[#This Row],[net_profit]]/tbl_profitability[[#This Row],[gross_revenue]]</f>
        <v>0.39715117551407092</v>
      </c>
      <c r="K80" s="2">
        <f>(tbl_profitability[[#This Row],[cogs]]+tbl_profitability[[#This Row],[return_loss]]+tbl_profitability[[#This Row],[operating_costs]])/tbl_raw[[#This Row],[units_sold]]</f>
        <v>128.01352941176469</v>
      </c>
      <c r="L80" s="8" t="str">
        <f>tbl_raw[[#This Row],[decision]]</f>
        <v>SCALE</v>
      </c>
    </row>
    <row r="81" spans="1:12" x14ac:dyDescent="0.35">
      <c r="A81" s="3" t="str">
        <f>tbl_raw[[#This Row],[product_id]]</f>
        <v>4fe644d766c7566dbc46fb851363cb3b</v>
      </c>
      <c r="B81" s="4" t="str">
        <f>tbl_raw[[#This Row],[category]]</f>
        <v>art</v>
      </c>
      <c r="C81" s="2">
        <f>tbl_raw[[#This Row],[gross_revenue]]</f>
        <v>10803.72</v>
      </c>
      <c r="D81" s="2">
        <f>tbl_raw[[#This Row],[return_loss]]</f>
        <v>38.520000000000003</v>
      </c>
      <c r="E81" s="2">
        <f t="shared" si="1"/>
        <v>10765.199999999999</v>
      </c>
      <c r="F81" s="2">
        <f>tbl_raw[[#This Row],[cogs]]</f>
        <v>4321.49</v>
      </c>
      <c r="G81" s="2">
        <f>SUM(tbl_raw[[#This Row],[storage_cost]:[freight_cost]])</f>
        <v>2579.5</v>
      </c>
      <c r="H81" s="2">
        <f>tbl_profitability[[#This Row],[net_revenue_after_returns]]-tbl_profitability[[#This Row],[cogs]]-tbl_profitability[[#This Row],[operating_costs]]</f>
        <v>3864.2099999999991</v>
      </c>
      <c r="I81" s="10">
        <f>(tbl_profitability[[#This Row],[gross_revenue]]-tbl_profitability[[#This Row],[cogs]])/tbl_profitability[[#This Row],[gross_revenue]]</f>
        <v>0.5999998148785789</v>
      </c>
      <c r="J81" s="10">
        <f>tbl_profitability[[#This Row],[net_profit]]/tbl_profitability[[#This Row],[gross_revenue]]</f>
        <v>0.35767402339194271</v>
      </c>
      <c r="K81" s="2">
        <f>(tbl_profitability[[#This Row],[cogs]]+tbl_profitability[[#This Row],[return_loss]]+tbl_profitability[[#This Row],[operating_costs]])/tbl_raw[[#This Row],[units_sold]]</f>
        <v>64.855233644859808</v>
      </c>
      <c r="L81" s="8" t="str">
        <f>tbl_raw[[#This Row],[decision]]</f>
        <v>OPTIMIZE</v>
      </c>
    </row>
    <row r="82" spans="1:12" x14ac:dyDescent="0.35">
      <c r="A82" s="3" t="str">
        <f>tbl_raw[[#This Row],[product_id]]</f>
        <v>f22c9d6ce2431ff939aad39e026cc7ef</v>
      </c>
      <c r="B82" s="4" t="str">
        <f>tbl_raw[[#This Row],[category]]</f>
        <v>auto</v>
      </c>
      <c r="C82" s="2">
        <f>tbl_raw[[#This Row],[gross_revenue]]</f>
        <v>10799.1</v>
      </c>
      <c r="D82" s="2">
        <f>tbl_raw[[#This Row],[return_loss]]</f>
        <v>3.24</v>
      </c>
      <c r="E82" s="2">
        <f t="shared" si="1"/>
        <v>10795.86</v>
      </c>
      <c r="F82" s="2">
        <f>tbl_raw[[#This Row],[cogs]]</f>
        <v>4859.6000000000004</v>
      </c>
      <c r="G82" s="2">
        <f>SUM(tbl_raw[[#This Row],[storage_cost]:[freight_cost]])</f>
        <v>429.19</v>
      </c>
      <c r="H82" s="2">
        <f>tbl_profitability[[#This Row],[net_revenue_after_returns]]-tbl_profitability[[#This Row],[cogs]]-tbl_profitability[[#This Row],[operating_costs]]</f>
        <v>5507.0700000000006</v>
      </c>
      <c r="I82" s="10">
        <f>(tbl_profitability[[#This Row],[gross_revenue]]-tbl_profitability[[#This Row],[cogs]])/tbl_profitability[[#This Row],[gross_revenue]]</f>
        <v>0.54999953699845361</v>
      </c>
      <c r="J82" s="10">
        <f>tbl_profitability[[#This Row],[net_profit]]/tbl_profitability[[#This Row],[gross_revenue]]</f>
        <v>0.50995638525432674</v>
      </c>
      <c r="K82" s="2">
        <f>(tbl_profitability[[#This Row],[cogs]]+tbl_profitability[[#This Row],[return_loss]]+tbl_profitability[[#This Row],[operating_costs]])/tbl_raw[[#This Row],[units_sold]]</f>
        <v>588.00333333333333</v>
      </c>
      <c r="L82" s="8" t="str">
        <f>tbl_raw[[#This Row],[decision]]</f>
        <v>SCALE</v>
      </c>
    </row>
    <row r="83" spans="1:12" x14ac:dyDescent="0.35">
      <c r="A83" s="3" t="str">
        <f>tbl_raw[[#This Row],[product_id]]</f>
        <v>08574b074924071f4e201e151b152b4e</v>
      </c>
      <c r="B83" s="4" t="str">
        <f>tbl_raw[[#This Row],[category]]</f>
        <v>garden_tools</v>
      </c>
      <c r="C83" s="2">
        <f>tbl_raw[[#This Row],[gross_revenue]]</f>
        <v>10759.3</v>
      </c>
      <c r="D83" s="2">
        <f>tbl_raw[[#This Row],[return_loss]]</f>
        <v>40.68</v>
      </c>
      <c r="E83" s="2">
        <f t="shared" si="1"/>
        <v>10718.619999999999</v>
      </c>
      <c r="F83" s="2">
        <f>tbl_raw[[#This Row],[cogs]]</f>
        <v>4841.6899999999996</v>
      </c>
      <c r="G83" s="2">
        <f>SUM(tbl_raw[[#This Row],[storage_cost]:[freight_cost]])</f>
        <v>5995.53</v>
      </c>
      <c r="H83" s="2">
        <f>tbl_profitability[[#This Row],[net_revenue_after_returns]]-tbl_profitability[[#This Row],[cogs]]-tbl_profitability[[#This Row],[operating_costs]]</f>
        <v>-118.60000000000036</v>
      </c>
      <c r="I83" s="10">
        <f>(tbl_profitability[[#This Row],[gross_revenue]]-tbl_profitability[[#This Row],[cogs]])/tbl_profitability[[#This Row],[gross_revenue]]</f>
        <v>0.54999953528575285</v>
      </c>
      <c r="J83" s="10">
        <f>tbl_profitability[[#This Row],[net_profit]]/tbl_profitability[[#This Row],[gross_revenue]]</f>
        <v>-1.1023021943806787E-2</v>
      </c>
      <c r="K83" s="2">
        <f>(tbl_profitability[[#This Row],[cogs]]+tbl_profitability[[#This Row],[return_loss]]+tbl_profitability[[#This Row],[operating_costs]])/tbl_raw[[#This Row],[units_sold]]</f>
        <v>96.264601769911508</v>
      </c>
      <c r="L83" s="8" t="str">
        <f>tbl_raw[[#This Row],[decision]]</f>
        <v>EXIT</v>
      </c>
    </row>
    <row r="84" spans="1:12" x14ac:dyDescent="0.35">
      <c r="A84" s="3" t="str">
        <f>tbl_raw[[#This Row],[product_id]]</f>
        <v>cc971e0365873137b8bef2ebad633e6f</v>
      </c>
      <c r="B84" s="4" t="str">
        <f>tbl_raw[[#This Row],[category]]</f>
        <v>cool_stuff</v>
      </c>
      <c r="C84" s="2">
        <f>tbl_raw[[#This Row],[gross_revenue]]</f>
        <v>10709.54</v>
      </c>
      <c r="D84" s="2">
        <f>tbl_raw[[#This Row],[return_loss]]</f>
        <v>16.559999999999999</v>
      </c>
      <c r="E84" s="2">
        <f t="shared" si="1"/>
        <v>10692.980000000001</v>
      </c>
      <c r="F84" s="2">
        <f>tbl_raw[[#This Row],[cogs]]</f>
        <v>4819.29</v>
      </c>
      <c r="G84" s="2">
        <f>SUM(tbl_raw[[#This Row],[storage_cost]:[freight_cost]])</f>
        <v>1199.79</v>
      </c>
      <c r="H84" s="2">
        <f>tbl_profitability[[#This Row],[net_revenue_after_returns]]-tbl_profitability[[#This Row],[cogs]]-tbl_profitability[[#This Row],[operating_costs]]</f>
        <v>4673.9000000000015</v>
      </c>
      <c r="I84" s="10">
        <f>(tbl_profitability[[#This Row],[gross_revenue]]-tbl_profitability[[#This Row],[cogs]])/tbl_profitability[[#This Row],[gross_revenue]]</f>
        <v>0.55000028012407631</v>
      </c>
      <c r="J84" s="10">
        <f>tbl_profitability[[#This Row],[net_profit]]/tbl_profitability[[#This Row],[gross_revenue]]</f>
        <v>0.43642397339194783</v>
      </c>
      <c r="K84" s="2">
        <f>(tbl_profitability[[#This Row],[cogs]]+tbl_profitability[[#This Row],[return_loss]]+tbl_profitability[[#This Row],[operating_costs]])/tbl_raw[[#This Row],[units_sold]]</f>
        <v>131.20956521739132</v>
      </c>
      <c r="L84" s="8" t="str">
        <f>tbl_raw[[#This Row],[decision]]</f>
        <v>SCALE</v>
      </c>
    </row>
    <row r="85" spans="1:12" x14ac:dyDescent="0.35">
      <c r="A85" s="3" t="str">
        <f>tbl_raw[[#This Row],[product_id]]</f>
        <v>9c5cec867c62c0ec4674b002eb1c3e0c</v>
      </c>
      <c r="B85" s="4" t="str">
        <f>tbl_raw[[#This Row],[category]]</f>
        <v>home_appliances</v>
      </c>
      <c r="C85" s="2">
        <f>tbl_raw[[#This Row],[gross_revenue]]</f>
        <v>10540</v>
      </c>
      <c r="D85" s="2">
        <f>tbl_raw[[#This Row],[return_loss]]</f>
        <v>3.6</v>
      </c>
      <c r="E85" s="2">
        <f t="shared" si="1"/>
        <v>10536.4</v>
      </c>
      <c r="F85" s="2">
        <f>tbl_raw[[#This Row],[cogs]]</f>
        <v>6007.8</v>
      </c>
      <c r="G85" s="2">
        <f>SUM(tbl_raw[[#This Row],[storage_cost]:[freight_cost]])</f>
        <v>920.98</v>
      </c>
      <c r="H85" s="2">
        <f>tbl_profitability[[#This Row],[net_revenue_after_returns]]-tbl_profitability[[#This Row],[cogs]]-tbl_profitability[[#This Row],[operating_costs]]</f>
        <v>3607.6199999999994</v>
      </c>
      <c r="I85" s="10">
        <f>(tbl_profitability[[#This Row],[gross_revenue]]-tbl_profitability[[#This Row],[cogs]])/tbl_profitability[[#This Row],[gross_revenue]]</f>
        <v>0.43</v>
      </c>
      <c r="J85" s="10">
        <f>tbl_profitability[[#This Row],[net_profit]]/tbl_profitability[[#This Row],[gross_revenue]]</f>
        <v>0.34227893738140414</v>
      </c>
      <c r="K85" s="2">
        <f>(tbl_profitability[[#This Row],[cogs]]+tbl_profitability[[#This Row],[return_loss]]+tbl_profitability[[#This Row],[operating_costs]])/tbl_raw[[#This Row],[units_sold]]</f>
        <v>693.23800000000006</v>
      </c>
      <c r="L85" s="8" t="str">
        <f>tbl_raw[[#This Row],[decision]]</f>
        <v>SCALE</v>
      </c>
    </row>
    <row r="86" spans="1:12" x14ac:dyDescent="0.35">
      <c r="A86" s="3" t="str">
        <f>tbl_raw[[#This Row],[product_id]]</f>
        <v>19936fa4f614ee0590d3b77ac83fd648</v>
      </c>
      <c r="B86" s="4" t="str">
        <f>tbl_raw[[#This Row],[category]]</f>
        <v>fixed_telephony</v>
      </c>
      <c r="C86" s="2">
        <f>tbl_raw[[#This Row],[gross_revenue]]</f>
        <v>10460</v>
      </c>
      <c r="D86" s="2">
        <f>tbl_raw[[#This Row],[return_loss]]</f>
        <v>5.4</v>
      </c>
      <c r="E86" s="2">
        <f t="shared" si="1"/>
        <v>10454.6</v>
      </c>
      <c r="F86" s="2">
        <f>tbl_raw[[#This Row],[cogs]]</f>
        <v>5962.2</v>
      </c>
      <c r="G86" s="2">
        <f>SUM(tbl_raw[[#This Row],[storage_cost]:[freight_cost]])</f>
        <v>187.12</v>
      </c>
      <c r="H86" s="2">
        <f>tbl_profitability[[#This Row],[net_revenue_after_returns]]-tbl_profitability[[#This Row],[cogs]]-tbl_profitability[[#This Row],[operating_costs]]</f>
        <v>4305.2800000000007</v>
      </c>
      <c r="I86" s="10">
        <f>(tbl_profitability[[#This Row],[gross_revenue]]-tbl_profitability[[#This Row],[cogs]])/tbl_profitability[[#This Row],[gross_revenue]]</f>
        <v>0.43</v>
      </c>
      <c r="J86" s="10">
        <f>tbl_profitability[[#This Row],[net_profit]]/tbl_profitability[[#This Row],[gross_revenue]]</f>
        <v>0.4115946462715106</v>
      </c>
      <c r="K86" s="2">
        <f>(tbl_profitability[[#This Row],[cogs]]+tbl_profitability[[#This Row],[return_loss]]+tbl_profitability[[#This Row],[operating_costs]])/tbl_raw[[#This Row],[units_sold]]</f>
        <v>1025.7866666666666</v>
      </c>
      <c r="L86" s="8" t="str">
        <f>tbl_raw[[#This Row],[decision]]</f>
        <v>EXIT</v>
      </c>
    </row>
    <row r="87" spans="1:12" x14ac:dyDescent="0.35">
      <c r="A87" s="3" t="str">
        <f>tbl_raw[[#This Row],[product_id]]</f>
        <v>4c2394abfbac7ff59ec7a420918562fa</v>
      </c>
      <c r="B87" s="4" t="str">
        <f>tbl_raw[[#This Row],[category]]</f>
        <v>health_beauty</v>
      </c>
      <c r="C87" s="2">
        <f>tbl_raw[[#This Row],[gross_revenue]]</f>
        <v>10368.780000000001</v>
      </c>
      <c r="D87" s="2">
        <f>tbl_raw[[#This Row],[return_loss]]</f>
        <v>43.92</v>
      </c>
      <c r="E87" s="2">
        <f t="shared" si="1"/>
        <v>10324.86</v>
      </c>
      <c r="F87" s="2">
        <f>tbl_raw[[#This Row],[cogs]]</f>
        <v>4354.8900000000003</v>
      </c>
      <c r="G87" s="2">
        <f>SUM(tbl_raw[[#This Row],[storage_cost]:[freight_cost]])</f>
        <v>2633.55</v>
      </c>
      <c r="H87" s="2">
        <f>tbl_profitability[[#This Row],[net_revenue_after_returns]]-tbl_profitability[[#This Row],[cogs]]-tbl_profitability[[#This Row],[operating_costs]]</f>
        <v>3336.42</v>
      </c>
      <c r="I87" s="10">
        <f>(tbl_profitability[[#This Row],[gross_revenue]]-tbl_profitability[[#This Row],[cogs]])/tbl_profitability[[#This Row],[gross_revenue]]</f>
        <v>0.57999976853593194</v>
      </c>
      <c r="J87" s="10">
        <f>tbl_profitability[[#This Row],[net_profit]]/tbl_profitability[[#This Row],[gross_revenue]]</f>
        <v>0.32177556086636999</v>
      </c>
      <c r="K87" s="2">
        <f>(tbl_profitability[[#This Row],[cogs]]+tbl_profitability[[#This Row],[return_loss]]+tbl_profitability[[#This Row],[operating_costs]])/tbl_raw[[#This Row],[units_sold]]</f>
        <v>57.64229508196722</v>
      </c>
      <c r="L87" s="8" t="str">
        <f>tbl_raw[[#This Row],[decision]]</f>
        <v>OPTIMIZE</v>
      </c>
    </row>
    <row r="88" spans="1:12" x14ac:dyDescent="0.35">
      <c r="A88" s="3" t="str">
        <f>tbl_raw[[#This Row],[product_id]]</f>
        <v>3225c54bb2785c33f49f50398fcdb88c</v>
      </c>
      <c r="B88" s="4" t="str">
        <f>tbl_raw[[#This Row],[category]]</f>
        <v>watches_gifts</v>
      </c>
      <c r="C88" s="2">
        <f>tbl_raw[[#This Row],[gross_revenue]]</f>
        <v>10330.77</v>
      </c>
      <c r="D88" s="2">
        <f>tbl_raw[[#This Row],[return_loss]]</f>
        <v>13.32</v>
      </c>
      <c r="E88" s="2">
        <f t="shared" si="1"/>
        <v>10317.450000000001</v>
      </c>
      <c r="F88" s="2">
        <f>tbl_raw[[#This Row],[cogs]]</f>
        <v>4338.92</v>
      </c>
      <c r="G88" s="2">
        <f>SUM(tbl_raw[[#This Row],[storage_cost]:[freight_cost]])</f>
        <v>793.89</v>
      </c>
      <c r="H88" s="2">
        <f>tbl_profitability[[#This Row],[net_revenue_after_returns]]-tbl_profitability[[#This Row],[cogs]]-tbl_profitability[[#This Row],[operating_costs]]</f>
        <v>5184.6400000000003</v>
      </c>
      <c r="I88" s="10">
        <f>(tbl_profitability[[#This Row],[gross_revenue]]-tbl_profitability[[#This Row],[cogs]])/tbl_profitability[[#This Row],[gross_revenue]]</f>
        <v>0.58000032911389954</v>
      </c>
      <c r="J88" s="10">
        <f>tbl_profitability[[#This Row],[net_profit]]/tbl_profitability[[#This Row],[gross_revenue]]</f>
        <v>0.50186384945168661</v>
      </c>
      <c r="K88" s="2">
        <f>(tbl_profitability[[#This Row],[cogs]]+tbl_profitability[[#This Row],[return_loss]]+tbl_profitability[[#This Row],[operating_costs]])/tbl_raw[[#This Row],[units_sold]]</f>
        <v>139.08459459459459</v>
      </c>
      <c r="L88" s="8" t="str">
        <f>tbl_raw[[#This Row],[decision]]</f>
        <v>OPTIMIZE</v>
      </c>
    </row>
    <row r="89" spans="1:12" x14ac:dyDescent="0.35">
      <c r="A89" s="3" t="str">
        <f>tbl_raw[[#This Row],[product_id]]</f>
        <v>84f456958365164420cfc80fbe4c7fab</v>
      </c>
      <c r="B89" s="4" t="str">
        <f>tbl_raw[[#This Row],[category]]</f>
        <v>bed_bath_table</v>
      </c>
      <c r="C89" s="2">
        <f>tbl_raw[[#This Row],[gross_revenue]]</f>
        <v>10304.959999999999</v>
      </c>
      <c r="D89" s="2">
        <f>tbl_raw[[#This Row],[return_loss]]</f>
        <v>39.96</v>
      </c>
      <c r="E89" s="2">
        <f t="shared" si="1"/>
        <v>10265</v>
      </c>
      <c r="F89" s="2">
        <f>tbl_raw[[#This Row],[cogs]]</f>
        <v>4637.2299999999996</v>
      </c>
      <c r="G89" s="2">
        <f>SUM(tbl_raw[[#This Row],[storage_cost]:[freight_cost]])</f>
        <v>2794.24</v>
      </c>
      <c r="H89" s="2">
        <f>tbl_profitability[[#This Row],[net_revenue_after_returns]]-tbl_profitability[[#This Row],[cogs]]-tbl_profitability[[#This Row],[operating_costs]]</f>
        <v>2833.5300000000007</v>
      </c>
      <c r="I89" s="10">
        <f>(tbl_profitability[[#This Row],[gross_revenue]]-tbl_profitability[[#This Row],[cogs]])/tbl_profitability[[#This Row],[gross_revenue]]</f>
        <v>0.55000019408129674</v>
      </c>
      <c r="J89" s="10">
        <f>tbl_profitability[[#This Row],[net_profit]]/tbl_profitability[[#This Row],[gross_revenue]]</f>
        <v>0.27496758842343888</v>
      </c>
      <c r="K89" s="2">
        <f>(tbl_profitability[[#This Row],[cogs]]+tbl_profitability[[#This Row],[return_loss]]+tbl_profitability[[#This Row],[operating_costs]])/tbl_raw[[#This Row],[units_sold]]</f>
        <v>67.310180180180168</v>
      </c>
      <c r="L89" s="8" t="str">
        <f>tbl_raw[[#This Row],[decision]]</f>
        <v>OPTIMIZE</v>
      </c>
    </row>
    <row r="90" spans="1:12" x14ac:dyDescent="0.35">
      <c r="A90" s="3" t="str">
        <f>tbl_raw[[#This Row],[product_id]]</f>
        <v>f27aff266ad97e75d4a24c893b2c311e</v>
      </c>
      <c r="B90" s="4" t="str">
        <f>tbl_raw[[#This Row],[category]]</f>
        <v>home_appliances_2</v>
      </c>
      <c r="C90" s="2">
        <f>tbl_raw[[#This Row],[gross_revenue]]</f>
        <v>10075</v>
      </c>
      <c r="D90" s="2">
        <f>tbl_raw[[#This Row],[return_loss]]</f>
        <v>4.68</v>
      </c>
      <c r="E90" s="2">
        <f t="shared" si="1"/>
        <v>10070.32</v>
      </c>
      <c r="F90" s="2">
        <f>tbl_raw[[#This Row],[cogs]]</f>
        <v>5742.75</v>
      </c>
      <c r="G90" s="2">
        <f>SUM(tbl_raw[[#This Row],[storage_cost]:[freight_cost]])</f>
        <v>1188.04</v>
      </c>
      <c r="H90" s="2">
        <f>tbl_profitability[[#This Row],[net_revenue_after_returns]]-tbl_profitability[[#This Row],[cogs]]-tbl_profitability[[#This Row],[operating_costs]]</f>
        <v>3139.5299999999997</v>
      </c>
      <c r="I90" s="10">
        <f>(tbl_profitability[[#This Row],[gross_revenue]]-tbl_profitability[[#This Row],[cogs]])/tbl_profitability[[#This Row],[gross_revenue]]</f>
        <v>0.43</v>
      </c>
      <c r="J90" s="10">
        <f>tbl_profitability[[#This Row],[net_profit]]/tbl_profitability[[#This Row],[gross_revenue]]</f>
        <v>0.31161588089330022</v>
      </c>
      <c r="K90" s="2">
        <f>(tbl_profitability[[#This Row],[cogs]]+tbl_profitability[[#This Row],[return_loss]]+tbl_profitability[[#This Row],[operating_costs]])/tbl_raw[[#This Row],[units_sold]]</f>
        <v>533.49769230769232</v>
      </c>
      <c r="L90" s="8" t="str">
        <f>tbl_raw[[#This Row],[decision]]</f>
        <v>SCALE</v>
      </c>
    </row>
    <row r="91" spans="1:12" x14ac:dyDescent="0.35">
      <c r="A91" s="3" t="str">
        <f>tbl_raw[[#This Row],[product_id]]</f>
        <v>53ea9da485f6aed8a6f03a85831fe021</v>
      </c>
      <c r="B91" s="4" t="str">
        <f>tbl_raw[[#This Row],[category]]</f>
        <v>watches_gifts</v>
      </c>
      <c r="C91" s="2">
        <f>tbl_raw[[#This Row],[gross_revenue]]</f>
        <v>10028.709999999999</v>
      </c>
      <c r="D91" s="2">
        <f>tbl_raw[[#This Row],[return_loss]]</f>
        <v>14.04</v>
      </c>
      <c r="E91" s="2">
        <f t="shared" si="1"/>
        <v>10014.669999999998</v>
      </c>
      <c r="F91" s="2">
        <f>tbl_raw[[#This Row],[cogs]]</f>
        <v>4212.0600000000004</v>
      </c>
      <c r="G91" s="2">
        <f>SUM(tbl_raw[[#This Row],[storage_cost]:[freight_cost]])</f>
        <v>916.21</v>
      </c>
      <c r="H91" s="2">
        <f>tbl_profitability[[#This Row],[net_revenue_after_returns]]-tbl_profitability[[#This Row],[cogs]]-tbl_profitability[[#This Row],[operating_costs]]</f>
        <v>4886.3999999999978</v>
      </c>
      <c r="I91" s="10">
        <f>(tbl_profitability[[#This Row],[gross_revenue]]-tbl_profitability[[#This Row],[cogs]])/tbl_profitability[[#This Row],[gross_revenue]]</f>
        <v>0.57999982051530052</v>
      </c>
      <c r="J91" s="10">
        <f>tbl_profitability[[#This Row],[net_profit]]/tbl_profitability[[#This Row],[gross_revenue]]</f>
        <v>0.48724113071372072</v>
      </c>
      <c r="K91" s="2">
        <f>(tbl_profitability[[#This Row],[cogs]]+tbl_profitability[[#This Row],[return_loss]]+tbl_profitability[[#This Row],[operating_costs]])/tbl_raw[[#This Row],[units_sold]]</f>
        <v>131.85410256410256</v>
      </c>
      <c r="L91" s="8" t="str">
        <f>tbl_raw[[#This Row],[decision]]</f>
        <v>OPTIMIZE</v>
      </c>
    </row>
    <row r="92" spans="1:12" x14ac:dyDescent="0.35">
      <c r="A92" s="3" t="str">
        <f>tbl_raw[[#This Row],[product_id]]</f>
        <v>fe6a9515d655fa7936b8a7c841039f34</v>
      </c>
      <c r="B92" s="4" t="str">
        <f>tbl_raw[[#This Row],[category]]</f>
        <v>cool_stuff</v>
      </c>
      <c r="C92" s="2">
        <f>tbl_raw[[#This Row],[gross_revenue]]</f>
        <v>10016</v>
      </c>
      <c r="D92" s="2">
        <f>tbl_raw[[#This Row],[return_loss]]</f>
        <v>14.4</v>
      </c>
      <c r="E92" s="2">
        <f t="shared" si="1"/>
        <v>10001.6</v>
      </c>
      <c r="F92" s="2">
        <f>tbl_raw[[#This Row],[cogs]]</f>
        <v>4507.2</v>
      </c>
      <c r="G92" s="2">
        <f>SUM(tbl_raw[[#This Row],[storage_cost]:[freight_cost]])</f>
        <v>2923.31</v>
      </c>
      <c r="H92" s="2">
        <f>tbl_profitability[[#This Row],[net_revenue_after_returns]]-tbl_profitability[[#This Row],[cogs]]-tbl_profitability[[#This Row],[operating_costs]]</f>
        <v>2571.0900000000006</v>
      </c>
      <c r="I92" s="10">
        <f>(tbl_profitability[[#This Row],[gross_revenue]]-tbl_profitability[[#This Row],[cogs]])/tbl_profitability[[#This Row],[gross_revenue]]</f>
        <v>0.55000000000000004</v>
      </c>
      <c r="J92" s="10">
        <f>tbl_profitability[[#This Row],[net_profit]]/tbl_profitability[[#This Row],[gross_revenue]]</f>
        <v>0.25669828274760387</v>
      </c>
      <c r="K92" s="2">
        <f>(tbl_profitability[[#This Row],[cogs]]+tbl_profitability[[#This Row],[return_loss]]+tbl_profitability[[#This Row],[operating_costs]])/tbl_raw[[#This Row],[units_sold]]</f>
        <v>186.12275</v>
      </c>
      <c r="L92" s="8" t="str">
        <f>tbl_raw[[#This Row],[decision]]</f>
        <v>SCALE</v>
      </c>
    </row>
    <row r="93" spans="1:12" x14ac:dyDescent="0.35">
      <c r="A93" s="3" t="str">
        <f>tbl_raw[[#This Row],[product_id]]</f>
        <v>cac9e5692471a0700418aa3400b9b2b1</v>
      </c>
      <c r="B93" s="4" t="str">
        <f>tbl_raw[[#This Row],[category]]</f>
        <v>baby</v>
      </c>
      <c r="C93" s="2">
        <f>tbl_raw[[#This Row],[gross_revenue]]</f>
        <v>10006.85</v>
      </c>
      <c r="D93" s="2">
        <f>tbl_raw[[#This Row],[return_loss]]</f>
        <v>32.04</v>
      </c>
      <c r="E93" s="2">
        <f t="shared" si="1"/>
        <v>9974.81</v>
      </c>
      <c r="F93" s="2">
        <f>tbl_raw[[#This Row],[cogs]]</f>
        <v>4202.88</v>
      </c>
      <c r="G93" s="2">
        <f>SUM(tbl_raw[[#This Row],[storage_cost]:[freight_cost]])</f>
        <v>1918.72</v>
      </c>
      <c r="H93" s="2">
        <f>tbl_profitability[[#This Row],[net_revenue_after_returns]]-tbl_profitability[[#This Row],[cogs]]-tbl_profitability[[#This Row],[operating_costs]]</f>
        <v>3853.2099999999991</v>
      </c>
      <c r="I93" s="10">
        <f>(tbl_profitability[[#This Row],[gross_revenue]]-tbl_profitability[[#This Row],[cogs]])/tbl_profitability[[#This Row],[gross_revenue]]</f>
        <v>0.57999970020535929</v>
      </c>
      <c r="J93" s="10">
        <f>tbl_profitability[[#This Row],[net_profit]]/tbl_profitability[[#This Row],[gross_revenue]]</f>
        <v>0.38505723579348139</v>
      </c>
      <c r="K93" s="2">
        <f>(tbl_profitability[[#This Row],[cogs]]+tbl_profitability[[#This Row],[return_loss]]+tbl_profitability[[#This Row],[operating_costs]])/tbl_raw[[#This Row],[units_sold]]</f>
        <v>69.14202247191011</v>
      </c>
      <c r="L93" s="8" t="str">
        <f>tbl_raw[[#This Row],[decision]]</f>
        <v>SCALE</v>
      </c>
    </row>
    <row r="94" spans="1:12" x14ac:dyDescent="0.35">
      <c r="A94" s="3" t="str">
        <f>tbl_raw[[#This Row],[product_id]]</f>
        <v>8a12c0e223d9dbd49ccfcd2ad25d1b30</v>
      </c>
      <c r="B94" s="4" t="str">
        <f>tbl_raw[[#This Row],[category]]</f>
        <v>construction_tools_construction</v>
      </c>
      <c r="C94" s="2">
        <f>tbl_raw[[#This Row],[gross_revenue]]</f>
        <v>9990</v>
      </c>
      <c r="D94" s="2">
        <f>tbl_raw[[#This Row],[return_loss]]</f>
        <v>1.8</v>
      </c>
      <c r="E94" s="2">
        <f t="shared" si="1"/>
        <v>9988.2000000000007</v>
      </c>
      <c r="F94" s="2">
        <f>tbl_raw[[#This Row],[cogs]]</f>
        <v>4495.5</v>
      </c>
      <c r="G94" s="2">
        <f>SUM(tbl_raw[[#This Row],[storage_cost]:[freight_cost]])</f>
        <v>227.49</v>
      </c>
      <c r="H94" s="2">
        <f>tbl_profitability[[#This Row],[net_revenue_after_returns]]-tbl_profitability[[#This Row],[cogs]]-tbl_profitability[[#This Row],[operating_costs]]</f>
        <v>5265.2100000000009</v>
      </c>
      <c r="I94" s="10">
        <f>(tbl_profitability[[#This Row],[gross_revenue]]-tbl_profitability[[#This Row],[cogs]])/tbl_profitability[[#This Row],[gross_revenue]]</f>
        <v>0.55000000000000004</v>
      </c>
      <c r="J94" s="10">
        <f>tbl_profitability[[#This Row],[net_profit]]/tbl_profitability[[#This Row],[gross_revenue]]</f>
        <v>0.52704804804804817</v>
      </c>
      <c r="K94" s="2">
        <f>(tbl_profitability[[#This Row],[cogs]]+tbl_profitability[[#This Row],[return_loss]]+tbl_profitability[[#This Row],[operating_costs]])/tbl_raw[[#This Row],[units_sold]]</f>
        <v>944.95799999999997</v>
      </c>
      <c r="L94" s="8" t="str">
        <f>tbl_raw[[#This Row],[decision]]</f>
        <v>SCALE</v>
      </c>
    </row>
    <row r="95" spans="1:12" x14ac:dyDescent="0.35">
      <c r="A95" s="3" t="str">
        <f>tbl_raw[[#This Row],[product_id]]</f>
        <v>2a2d22ae30e026f1893083c8405ca522</v>
      </c>
      <c r="B95" s="4" t="str">
        <f>tbl_raw[[#This Row],[category]]</f>
        <v>bed_bath_table</v>
      </c>
      <c r="C95" s="2">
        <f>tbl_raw[[#This Row],[gross_revenue]]</f>
        <v>9950.5</v>
      </c>
      <c r="D95" s="2">
        <f>tbl_raw[[#This Row],[return_loss]]</f>
        <v>25.2</v>
      </c>
      <c r="E95" s="2">
        <f t="shared" si="1"/>
        <v>9925.2999999999993</v>
      </c>
      <c r="F95" s="2">
        <f>tbl_raw[[#This Row],[cogs]]</f>
        <v>4477.72</v>
      </c>
      <c r="G95" s="2">
        <f>SUM(tbl_raw[[#This Row],[storage_cost]:[freight_cost]])</f>
        <v>2381.3599999999997</v>
      </c>
      <c r="H95" s="2">
        <f>tbl_profitability[[#This Row],[net_revenue_after_returns]]-tbl_profitability[[#This Row],[cogs]]-tbl_profitability[[#This Row],[operating_costs]]</f>
        <v>3066.2199999999993</v>
      </c>
      <c r="I95" s="10">
        <f>(tbl_profitability[[#This Row],[gross_revenue]]-tbl_profitability[[#This Row],[cogs]])/tbl_profitability[[#This Row],[gross_revenue]]</f>
        <v>0.55000050248731214</v>
      </c>
      <c r="J95" s="10">
        <f>tbl_profitability[[#This Row],[net_profit]]/tbl_profitability[[#This Row],[gross_revenue]]</f>
        <v>0.3081473292799356</v>
      </c>
      <c r="K95" s="2">
        <f>(tbl_profitability[[#This Row],[cogs]]+tbl_profitability[[#This Row],[return_loss]]+tbl_profitability[[#This Row],[operating_costs]])/tbl_raw[[#This Row],[units_sold]]</f>
        <v>98.346857142857132</v>
      </c>
      <c r="L95" s="8" t="str">
        <f>tbl_raw[[#This Row],[decision]]</f>
        <v>SCALE</v>
      </c>
    </row>
    <row r="96" spans="1:12" x14ac:dyDescent="0.35">
      <c r="A96" s="3" t="str">
        <f>tbl_raw[[#This Row],[product_id]]</f>
        <v>3fbc0ef745950c7932d5f2a446189725</v>
      </c>
      <c r="B96" s="4" t="str">
        <f>tbl_raw[[#This Row],[category]]</f>
        <v>health_beauty</v>
      </c>
      <c r="C96" s="2">
        <f>tbl_raw[[#This Row],[gross_revenue]]</f>
        <v>9862.5</v>
      </c>
      <c r="D96" s="2">
        <f>tbl_raw[[#This Row],[return_loss]]</f>
        <v>54</v>
      </c>
      <c r="E96" s="2">
        <f t="shared" si="1"/>
        <v>9808.5</v>
      </c>
      <c r="F96" s="2">
        <f>tbl_raw[[#This Row],[cogs]]</f>
        <v>4142.25</v>
      </c>
      <c r="G96" s="2">
        <f>SUM(tbl_raw[[#This Row],[storage_cost]:[freight_cost]])</f>
        <v>4636.1499999999996</v>
      </c>
      <c r="H96" s="2">
        <f>tbl_profitability[[#This Row],[net_revenue_after_returns]]-tbl_profitability[[#This Row],[cogs]]-tbl_profitability[[#This Row],[operating_costs]]</f>
        <v>1030.1000000000004</v>
      </c>
      <c r="I96" s="10">
        <f>(tbl_profitability[[#This Row],[gross_revenue]]-tbl_profitability[[#This Row],[cogs]])/tbl_profitability[[#This Row],[gross_revenue]]</f>
        <v>0.57999999999999996</v>
      </c>
      <c r="J96" s="10">
        <f>tbl_profitability[[#This Row],[net_profit]]/tbl_profitability[[#This Row],[gross_revenue]]</f>
        <v>0.10444613434727507</v>
      </c>
      <c r="K96" s="2">
        <f>(tbl_profitability[[#This Row],[cogs]]+tbl_profitability[[#This Row],[return_loss]]+tbl_profitability[[#This Row],[operating_costs]])/tbl_raw[[#This Row],[units_sold]]</f>
        <v>58.882666666666665</v>
      </c>
      <c r="L96" s="8" t="str">
        <f>tbl_raw[[#This Row],[decision]]</f>
        <v>OPTIMIZE</v>
      </c>
    </row>
    <row r="97" spans="1:12" x14ac:dyDescent="0.35">
      <c r="A97" s="3" t="str">
        <f>tbl_raw[[#This Row],[product_id]]</f>
        <v>d696750e550fd0f733979dd7e5dff921</v>
      </c>
      <c r="B97" s="4" t="str">
        <f>tbl_raw[[#This Row],[category]]</f>
        <v>housewares</v>
      </c>
      <c r="C97" s="2">
        <f>tbl_raw[[#This Row],[gross_revenue]]</f>
        <v>9857.86</v>
      </c>
      <c r="D97" s="2">
        <f>tbl_raw[[#This Row],[return_loss]]</f>
        <v>20.52</v>
      </c>
      <c r="E97" s="2">
        <f t="shared" si="1"/>
        <v>9837.34</v>
      </c>
      <c r="F97" s="2">
        <f>tbl_raw[[#This Row],[cogs]]</f>
        <v>4436.04</v>
      </c>
      <c r="G97" s="2">
        <f>SUM(tbl_raw[[#This Row],[storage_cost]:[freight_cost]])</f>
        <v>1657.08</v>
      </c>
      <c r="H97" s="2">
        <f>tbl_profitability[[#This Row],[net_revenue_after_returns]]-tbl_profitability[[#This Row],[cogs]]-tbl_profitability[[#This Row],[operating_costs]]</f>
        <v>3744.2200000000003</v>
      </c>
      <c r="I97" s="10">
        <f>(tbl_profitability[[#This Row],[gross_revenue]]-tbl_profitability[[#This Row],[cogs]])/tbl_profitability[[#This Row],[gross_revenue]]</f>
        <v>0.54999969567431473</v>
      </c>
      <c r="J97" s="10">
        <f>tbl_profitability[[#This Row],[net_profit]]/tbl_profitability[[#This Row],[gross_revenue]]</f>
        <v>0.37982077245974277</v>
      </c>
      <c r="K97" s="2">
        <f>(tbl_profitability[[#This Row],[cogs]]+tbl_profitability[[#This Row],[return_loss]]+tbl_profitability[[#This Row],[operating_costs]])/tbl_raw[[#This Row],[units_sold]]</f>
        <v>107.25684210526316</v>
      </c>
      <c r="L97" s="8" t="str">
        <f>tbl_raw[[#This Row],[decision]]</f>
        <v>SCALE</v>
      </c>
    </row>
    <row r="98" spans="1:12" x14ac:dyDescent="0.35">
      <c r="A98" s="3" t="str">
        <f>tbl_raw[[#This Row],[product_id]]</f>
        <v>a50acd33ba7a8da8e9db65094fa990a4</v>
      </c>
      <c r="B98" s="4" t="str">
        <f>tbl_raw[[#This Row],[category]]</f>
        <v>auto</v>
      </c>
      <c r="C98" s="2">
        <f>tbl_raw[[#This Row],[gross_revenue]]</f>
        <v>9735.9</v>
      </c>
      <c r="D98" s="2">
        <f>tbl_raw[[#This Row],[return_loss]]</f>
        <v>29.88</v>
      </c>
      <c r="E98" s="2">
        <f t="shared" si="1"/>
        <v>9706.02</v>
      </c>
      <c r="F98" s="2">
        <f>tbl_raw[[#This Row],[cogs]]</f>
        <v>4381.16</v>
      </c>
      <c r="G98" s="2">
        <f>SUM(tbl_raw[[#This Row],[storage_cost]:[freight_cost]])</f>
        <v>2564.15</v>
      </c>
      <c r="H98" s="2">
        <f>tbl_profitability[[#This Row],[net_revenue_after_returns]]-tbl_profitability[[#This Row],[cogs]]-tbl_profitability[[#This Row],[operating_costs]]</f>
        <v>2760.7100000000005</v>
      </c>
      <c r="I98" s="10">
        <f>(tbl_profitability[[#This Row],[gross_revenue]]-tbl_profitability[[#This Row],[cogs]])/tbl_profitability[[#This Row],[gross_revenue]]</f>
        <v>0.54999948643679575</v>
      </c>
      <c r="J98" s="10">
        <f>tbl_profitability[[#This Row],[net_profit]]/tbl_profitability[[#This Row],[gross_revenue]]</f>
        <v>0.28355981470639596</v>
      </c>
      <c r="K98" s="2">
        <f>(tbl_profitability[[#This Row],[cogs]]+tbl_profitability[[#This Row],[return_loss]]+tbl_profitability[[#This Row],[operating_costs]])/tbl_raw[[#This Row],[units_sold]]</f>
        <v>84.038433734939758</v>
      </c>
      <c r="L98" s="8" t="str">
        <f>tbl_raw[[#This Row],[decision]]</f>
        <v>SCALE</v>
      </c>
    </row>
    <row r="99" spans="1:12" x14ac:dyDescent="0.35">
      <c r="A99" s="3" t="str">
        <f>tbl_raw[[#This Row],[product_id]]</f>
        <v>933f4f76eae38d2a97ecfb7c6355f0bc</v>
      </c>
      <c r="B99" s="4" t="str">
        <f>tbl_raw[[#This Row],[category]]</f>
        <v>health_beauty</v>
      </c>
      <c r="C99" s="2">
        <f>tbl_raw[[#This Row],[gross_revenue]]</f>
        <v>9669.0499999999993</v>
      </c>
      <c r="D99" s="2">
        <f>tbl_raw[[#This Row],[return_loss]]</f>
        <v>2.52</v>
      </c>
      <c r="E99" s="2">
        <f t="shared" si="1"/>
        <v>9666.5299999999988</v>
      </c>
      <c r="F99" s="2">
        <f>tbl_raw[[#This Row],[cogs]]</f>
        <v>4061</v>
      </c>
      <c r="G99" s="2">
        <f>SUM(tbl_raw[[#This Row],[storage_cost]:[freight_cost]])</f>
        <v>354.64</v>
      </c>
      <c r="H99" s="2">
        <f>tbl_profitability[[#This Row],[net_revenue_after_returns]]-tbl_profitability[[#This Row],[cogs]]-tbl_profitability[[#This Row],[operating_costs]]</f>
        <v>5250.8899999999985</v>
      </c>
      <c r="I99" s="10">
        <f>(tbl_profitability[[#This Row],[gross_revenue]]-tbl_profitability[[#This Row],[cogs]])/tbl_profitability[[#This Row],[gross_revenue]]</f>
        <v>0.58000010342277675</v>
      </c>
      <c r="J99" s="10">
        <f>tbl_profitability[[#This Row],[net_profit]]/tbl_profitability[[#This Row],[gross_revenue]]</f>
        <v>0.54306162446155504</v>
      </c>
      <c r="K99" s="2">
        <f>(tbl_profitability[[#This Row],[cogs]]+tbl_profitability[[#This Row],[return_loss]]+tbl_profitability[[#This Row],[operating_costs]])/tbl_raw[[#This Row],[units_sold]]</f>
        <v>631.16571428571422</v>
      </c>
      <c r="L99" s="8" t="str">
        <f>tbl_raw[[#This Row],[decision]]</f>
        <v>OPTIMIZE</v>
      </c>
    </row>
    <row r="100" spans="1:12" x14ac:dyDescent="0.35">
      <c r="A100" s="3" t="str">
        <f>tbl_raw[[#This Row],[product_id]]</f>
        <v>e9a69340883a438c3f91739d14d3a56d</v>
      </c>
      <c r="B100" s="4" t="str">
        <f>tbl_raw[[#This Row],[category]]</f>
        <v>housewares</v>
      </c>
      <c r="C100" s="2">
        <f>tbl_raw[[#This Row],[gross_revenue]]</f>
        <v>9666.41</v>
      </c>
      <c r="D100" s="2">
        <f>tbl_raw[[#This Row],[return_loss]]</f>
        <v>20.88</v>
      </c>
      <c r="E100" s="2">
        <f t="shared" si="1"/>
        <v>9645.5300000000007</v>
      </c>
      <c r="F100" s="2">
        <f>tbl_raw[[#This Row],[cogs]]</f>
        <v>4349.88</v>
      </c>
      <c r="G100" s="2">
        <f>SUM(tbl_raw[[#This Row],[storage_cost]:[freight_cost]])</f>
        <v>2246.7600000000002</v>
      </c>
      <c r="H100" s="2">
        <f>tbl_profitability[[#This Row],[net_revenue_after_returns]]-tbl_profitability[[#This Row],[cogs]]-tbl_profitability[[#This Row],[operating_costs]]</f>
        <v>3048.8900000000003</v>
      </c>
      <c r="I100" s="10">
        <f>(tbl_profitability[[#This Row],[gross_revenue]]-tbl_profitability[[#This Row],[cogs]])/tbl_profitability[[#This Row],[gross_revenue]]</f>
        <v>0.55000046552960202</v>
      </c>
      <c r="J100" s="10">
        <f>tbl_profitability[[#This Row],[net_profit]]/tbl_profitability[[#This Row],[gross_revenue]]</f>
        <v>0.31541078849334969</v>
      </c>
      <c r="K100" s="2">
        <f>(tbl_profitability[[#This Row],[cogs]]+tbl_profitability[[#This Row],[return_loss]]+tbl_profitability[[#This Row],[operating_costs]])/tbl_raw[[#This Row],[units_sold]]</f>
        <v>114.09517241379311</v>
      </c>
      <c r="L100" s="8" t="str">
        <f>tbl_raw[[#This Row],[decision]]</f>
        <v>SCALE</v>
      </c>
    </row>
    <row r="101" spans="1:12" x14ac:dyDescent="0.35">
      <c r="A101" s="3" t="str">
        <f>tbl_raw[[#This Row],[product_id]]</f>
        <v>78efe838c04bbc568be034082200ac20</v>
      </c>
      <c r="B101" s="4" t="str">
        <f>tbl_raw[[#This Row],[category]]</f>
        <v>furniture_decor</v>
      </c>
      <c r="C101" s="2">
        <f>tbl_raw[[#This Row],[gross_revenue]]</f>
        <v>9646.2000000000007</v>
      </c>
      <c r="D101" s="2">
        <f>tbl_raw[[#This Row],[return_loss]]</f>
        <v>36.36</v>
      </c>
      <c r="E101" s="2">
        <f t="shared" si="1"/>
        <v>9609.84</v>
      </c>
      <c r="F101" s="2">
        <f>tbl_raw[[#This Row],[cogs]]</f>
        <v>4340.79</v>
      </c>
      <c r="G101" s="2">
        <f>SUM(tbl_raw[[#This Row],[storage_cost]:[freight_cost]])</f>
        <v>3885.92</v>
      </c>
      <c r="H101" s="2">
        <f>tbl_profitability[[#This Row],[net_revenue_after_returns]]-tbl_profitability[[#This Row],[cogs]]-tbl_profitability[[#This Row],[operating_costs]]</f>
        <v>1383.13</v>
      </c>
      <c r="I101" s="10">
        <f>(tbl_profitability[[#This Row],[gross_revenue]]-tbl_profitability[[#This Row],[cogs]])/tbl_profitability[[#This Row],[gross_revenue]]</f>
        <v>0.55000000000000004</v>
      </c>
      <c r="J101" s="10">
        <f>tbl_profitability[[#This Row],[net_profit]]/tbl_profitability[[#This Row],[gross_revenue]]</f>
        <v>0.14338599655823017</v>
      </c>
      <c r="K101" s="2">
        <f>(tbl_profitability[[#This Row],[cogs]]+tbl_profitability[[#This Row],[return_loss]]+tbl_profitability[[#This Row],[operating_costs]])/tbl_raw[[#This Row],[units_sold]]</f>
        <v>81.812574257425737</v>
      </c>
      <c r="L101" s="8" t="str">
        <f>tbl_raw[[#This Row],[decision]]</f>
        <v>OPTIMIZE</v>
      </c>
    </row>
    <row r="102" spans="1:12" x14ac:dyDescent="0.35">
      <c r="A102" s="3" t="str">
        <f>tbl_raw[[#This Row],[product_id]]</f>
        <v>29427de7f8a9ee983d9dbc51cec569b4</v>
      </c>
      <c r="B102" s="4" t="str">
        <f>tbl_raw[[#This Row],[category]]</f>
        <v>cool_stuff</v>
      </c>
      <c r="C102" s="2">
        <f>tbl_raw[[#This Row],[gross_revenue]]</f>
        <v>9627.65</v>
      </c>
      <c r="D102" s="2">
        <f>tbl_raw[[#This Row],[return_loss]]</f>
        <v>34.92</v>
      </c>
      <c r="E102" s="2">
        <f t="shared" si="1"/>
        <v>9592.73</v>
      </c>
      <c r="F102" s="2">
        <f>tbl_raw[[#This Row],[cogs]]</f>
        <v>4332.4399999999996</v>
      </c>
      <c r="G102" s="2">
        <f>SUM(tbl_raw[[#This Row],[storage_cost]:[freight_cost]])</f>
        <v>2247.7200000000003</v>
      </c>
      <c r="H102" s="2">
        <f>tbl_profitability[[#This Row],[net_revenue_after_returns]]-tbl_profitability[[#This Row],[cogs]]-tbl_profitability[[#This Row],[operating_costs]]</f>
        <v>3012.5699999999997</v>
      </c>
      <c r="I102" s="10">
        <f>(tbl_profitability[[#This Row],[gross_revenue]]-tbl_profitability[[#This Row],[cogs]])/tbl_profitability[[#This Row],[gross_revenue]]</f>
        <v>0.55000025966876653</v>
      </c>
      <c r="J102" s="10">
        <f>tbl_profitability[[#This Row],[net_profit]]/tbl_profitability[[#This Row],[gross_revenue]]</f>
        <v>0.31290813438378001</v>
      </c>
      <c r="K102" s="2">
        <f>(tbl_profitability[[#This Row],[cogs]]+tbl_profitability[[#This Row],[return_loss]]+tbl_profitability[[#This Row],[operating_costs]])/tbl_raw[[#This Row],[units_sold]]</f>
        <v>68.196701030927841</v>
      </c>
      <c r="L102" s="8" t="str">
        <f>tbl_raw[[#This Row],[decision]]</f>
        <v>SCALE</v>
      </c>
    </row>
    <row r="103" spans="1:12" x14ac:dyDescent="0.35">
      <c r="A103" s="3" t="str">
        <f>tbl_raw[[#This Row],[product_id]]</f>
        <v>b4436da747c3a53ab07ac0e71de17dcd</v>
      </c>
      <c r="B103" s="4" t="str">
        <f>tbl_raw[[#This Row],[category]]</f>
        <v>sports_leisure</v>
      </c>
      <c r="C103" s="2">
        <f>tbl_raw[[#This Row],[gross_revenue]]</f>
        <v>9594</v>
      </c>
      <c r="D103" s="2">
        <f>tbl_raw[[#This Row],[return_loss]]</f>
        <v>2.16</v>
      </c>
      <c r="E103" s="2">
        <f t="shared" si="1"/>
        <v>9591.84</v>
      </c>
      <c r="F103" s="2">
        <f>tbl_raw[[#This Row],[cogs]]</f>
        <v>4029.48</v>
      </c>
      <c r="G103" s="2">
        <f>SUM(tbl_raw[[#This Row],[storage_cost]:[freight_cost]])</f>
        <v>511.18</v>
      </c>
      <c r="H103" s="2">
        <f>tbl_profitability[[#This Row],[net_revenue_after_returns]]-tbl_profitability[[#This Row],[cogs]]-tbl_profitability[[#This Row],[operating_costs]]</f>
        <v>5051.18</v>
      </c>
      <c r="I103" s="10">
        <f>(tbl_profitability[[#This Row],[gross_revenue]]-tbl_profitability[[#This Row],[cogs]])/tbl_profitability[[#This Row],[gross_revenue]]</f>
        <v>0.58000000000000007</v>
      </c>
      <c r="J103" s="10">
        <f>tbl_profitability[[#This Row],[net_profit]]/tbl_profitability[[#This Row],[gross_revenue]]</f>
        <v>0.52649364185949554</v>
      </c>
      <c r="K103" s="2">
        <f>(tbl_profitability[[#This Row],[cogs]]+tbl_profitability[[#This Row],[return_loss]]+tbl_profitability[[#This Row],[operating_costs]])/tbl_raw[[#This Row],[units_sold]]</f>
        <v>757.13666666666666</v>
      </c>
      <c r="L103" s="8" t="str">
        <f>tbl_raw[[#This Row],[decision]]</f>
        <v>EXIT</v>
      </c>
    </row>
    <row r="104" spans="1:12" x14ac:dyDescent="0.35">
      <c r="A104" s="3" t="str">
        <f>tbl_raw[[#This Row],[product_id]]</f>
        <v>25f86162fee18735fffdb762dcb10d7c</v>
      </c>
      <c r="B104" s="4" t="str">
        <f>tbl_raw[[#This Row],[category]]</f>
        <v>bed_bath_table</v>
      </c>
      <c r="C104" s="2">
        <f>tbl_raw[[#This Row],[gross_revenue]]</f>
        <v>9523.7999999999993</v>
      </c>
      <c r="D104" s="2">
        <f>tbl_raw[[#This Row],[return_loss]]</f>
        <v>22.32</v>
      </c>
      <c r="E104" s="2">
        <f t="shared" si="1"/>
        <v>9501.48</v>
      </c>
      <c r="F104" s="2">
        <f>tbl_raw[[#This Row],[cogs]]</f>
        <v>4285.71</v>
      </c>
      <c r="G104" s="2">
        <f>SUM(tbl_raw[[#This Row],[storage_cost]:[freight_cost]])</f>
        <v>1930.5</v>
      </c>
      <c r="H104" s="2">
        <f>tbl_profitability[[#This Row],[net_revenue_after_returns]]-tbl_profitability[[#This Row],[cogs]]-tbl_profitability[[#This Row],[operating_costs]]</f>
        <v>3285.2699999999995</v>
      </c>
      <c r="I104" s="10">
        <f>(tbl_profitability[[#This Row],[gross_revenue]]-tbl_profitability[[#This Row],[cogs]])/tbl_profitability[[#This Row],[gross_revenue]]</f>
        <v>0.54999999999999993</v>
      </c>
      <c r="J104" s="10">
        <f>tbl_profitability[[#This Row],[net_profit]]/tbl_profitability[[#This Row],[gross_revenue]]</f>
        <v>0.34495369495369493</v>
      </c>
      <c r="K104" s="2">
        <f>(tbl_profitability[[#This Row],[cogs]]+tbl_profitability[[#This Row],[return_loss]]+tbl_profitability[[#This Row],[operating_costs]])/tbl_raw[[#This Row],[units_sold]]</f>
        <v>100.62145161290321</v>
      </c>
      <c r="L104" s="8" t="str">
        <f>tbl_raw[[#This Row],[decision]]</f>
        <v>SCALE</v>
      </c>
    </row>
    <row r="105" spans="1:12" x14ac:dyDescent="0.35">
      <c r="A105" s="3" t="str">
        <f>tbl_raw[[#This Row],[product_id]]</f>
        <v>4df83a41105e00e0845b9d12b5fe601c</v>
      </c>
      <c r="B105" s="4" t="str">
        <f>tbl_raw[[#This Row],[category]]</f>
        <v>watches_gifts</v>
      </c>
      <c r="C105" s="2">
        <f>tbl_raw[[#This Row],[gross_revenue]]</f>
        <v>9463.1</v>
      </c>
      <c r="D105" s="2">
        <f>tbl_raw[[#This Row],[return_loss]]</f>
        <v>3.96</v>
      </c>
      <c r="E105" s="2">
        <f t="shared" si="1"/>
        <v>9459.1400000000012</v>
      </c>
      <c r="F105" s="2">
        <f>tbl_raw[[#This Row],[cogs]]</f>
        <v>3974.5</v>
      </c>
      <c r="G105" s="2">
        <f>SUM(tbl_raw[[#This Row],[storage_cost]:[freight_cost]])</f>
        <v>273.27</v>
      </c>
      <c r="H105" s="2">
        <f>tbl_profitability[[#This Row],[net_revenue_after_returns]]-tbl_profitability[[#This Row],[cogs]]-tbl_profitability[[#This Row],[operating_costs]]</f>
        <v>5211.3700000000008</v>
      </c>
      <c r="I105" s="10">
        <f>(tbl_profitability[[#This Row],[gross_revenue]]-tbl_profitability[[#This Row],[cogs]])/tbl_profitability[[#This Row],[gross_revenue]]</f>
        <v>0.58000021134723301</v>
      </c>
      <c r="J105" s="10">
        <f>tbl_profitability[[#This Row],[net_profit]]/tbl_profitability[[#This Row],[gross_revenue]]</f>
        <v>0.55070431465376046</v>
      </c>
      <c r="K105" s="2">
        <f>(tbl_profitability[[#This Row],[cogs]]+tbl_profitability[[#This Row],[return_loss]]+tbl_profitability[[#This Row],[operating_costs]])/tbl_raw[[#This Row],[units_sold]]</f>
        <v>386.52090909090907</v>
      </c>
      <c r="L105" s="8" t="str">
        <f>tbl_raw[[#This Row],[decision]]</f>
        <v>SCALE</v>
      </c>
    </row>
    <row r="106" spans="1:12" x14ac:dyDescent="0.35">
      <c r="A106" s="3" t="str">
        <f>tbl_raw[[#This Row],[product_id]]</f>
        <v>9bfc55df037ce3ac01bfd84781adf7e5</v>
      </c>
      <c r="B106" s="4" t="str">
        <f>tbl_raw[[#This Row],[category]]</f>
        <v>audio</v>
      </c>
      <c r="C106" s="2">
        <f>tbl_raw[[#This Row],[gross_revenue]]</f>
        <v>9441.94</v>
      </c>
      <c r="D106" s="2">
        <f>tbl_raw[[#This Row],[return_loss]]</f>
        <v>14.4</v>
      </c>
      <c r="E106" s="2">
        <f t="shared" si="1"/>
        <v>9427.5400000000009</v>
      </c>
      <c r="F106" s="2">
        <f>tbl_raw[[#This Row],[cogs]]</f>
        <v>5381.91</v>
      </c>
      <c r="G106" s="2">
        <f>SUM(tbl_raw[[#This Row],[storage_cost]:[freight_cost]])</f>
        <v>454.09</v>
      </c>
      <c r="H106" s="2">
        <f>tbl_profitability[[#This Row],[net_revenue_after_returns]]-tbl_profitability[[#This Row],[cogs]]-tbl_profitability[[#This Row],[operating_costs]]</f>
        <v>3591.5400000000009</v>
      </c>
      <c r="I106" s="10">
        <f>(tbl_profitability[[#This Row],[gross_revenue]]-tbl_profitability[[#This Row],[cogs]])/tbl_profitability[[#This Row],[gross_revenue]]</f>
        <v>0.4299995551761609</v>
      </c>
      <c r="J106" s="10">
        <f>tbl_profitability[[#This Row],[net_profit]]/tbl_profitability[[#This Row],[gross_revenue]]</f>
        <v>0.38038157412565643</v>
      </c>
      <c r="K106" s="2">
        <f>(tbl_profitability[[#This Row],[cogs]]+tbl_profitability[[#This Row],[return_loss]]+tbl_profitability[[#This Row],[operating_costs]])/tbl_raw[[#This Row],[units_sold]]</f>
        <v>365.65</v>
      </c>
      <c r="L106" s="8" t="str">
        <f>tbl_raw[[#This Row],[decision]]</f>
        <v>SCALE</v>
      </c>
    </row>
    <row r="107" spans="1:12" x14ac:dyDescent="0.35">
      <c r="A107" s="3" t="str">
        <f>tbl_raw[[#This Row],[product_id]]</f>
        <v>db5efde3ad0cc579b130d71c4b2db522</v>
      </c>
      <c r="B107" s="4" t="str">
        <f>tbl_raw[[#This Row],[category]]</f>
        <v>audio</v>
      </c>
      <c r="C107" s="2">
        <f>tbl_raw[[#This Row],[gross_revenue]]</f>
        <v>9425.7800000000007</v>
      </c>
      <c r="D107" s="2">
        <f>tbl_raw[[#This Row],[return_loss]]</f>
        <v>43.2</v>
      </c>
      <c r="E107" s="2">
        <f t="shared" si="1"/>
        <v>9382.58</v>
      </c>
      <c r="F107" s="2">
        <f>tbl_raw[[#This Row],[cogs]]</f>
        <v>5372.69</v>
      </c>
      <c r="G107" s="2">
        <f>SUM(tbl_raw[[#This Row],[storage_cost]:[freight_cost]])</f>
        <v>1165.6100000000001</v>
      </c>
      <c r="H107" s="2">
        <f>tbl_profitability[[#This Row],[net_revenue_after_returns]]-tbl_profitability[[#This Row],[cogs]]-tbl_profitability[[#This Row],[operating_costs]]</f>
        <v>2844.28</v>
      </c>
      <c r="I107" s="10">
        <f>(tbl_profitability[[#This Row],[gross_revenue]]-tbl_profitability[[#This Row],[cogs]])/tbl_profitability[[#This Row],[gross_revenue]]</f>
        <v>0.43000048802327245</v>
      </c>
      <c r="J107" s="10">
        <f>tbl_profitability[[#This Row],[net_profit]]/tbl_profitability[[#This Row],[gross_revenue]]</f>
        <v>0.30175539849222027</v>
      </c>
      <c r="K107" s="2">
        <f>(tbl_profitability[[#This Row],[cogs]]+tbl_profitability[[#This Row],[return_loss]]+tbl_profitability[[#This Row],[operating_costs]])/tbl_raw[[#This Row],[units_sold]]</f>
        <v>137.11458333333334</v>
      </c>
      <c r="L107" s="8" t="str">
        <f>tbl_raw[[#This Row],[decision]]</f>
        <v>OPTIMIZE</v>
      </c>
    </row>
    <row r="108" spans="1:12" x14ac:dyDescent="0.35">
      <c r="A108" s="3" t="str">
        <f>tbl_raw[[#This Row],[product_id]]</f>
        <v>2a5806f10d0f00e5ad032dd2e3c8806e</v>
      </c>
      <c r="B108" s="4" t="str">
        <f>tbl_raw[[#This Row],[category]]</f>
        <v>office_furniture</v>
      </c>
      <c r="C108" s="2">
        <f>tbl_raw[[#This Row],[gross_revenue]]</f>
        <v>9421.4500000000007</v>
      </c>
      <c r="D108" s="2">
        <f>tbl_raw[[#This Row],[return_loss]]</f>
        <v>19.8</v>
      </c>
      <c r="E108" s="2">
        <f t="shared" si="1"/>
        <v>9401.6500000000015</v>
      </c>
      <c r="F108" s="2">
        <f>tbl_raw[[#This Row],[cogs]]</f>
        <v>4239.6499999999996</v>
      </c>
      <c r="G108" s="2">
        <f>SUM(tbl_raw[[#This Row],[storage_cost]:[freight_cost]])</f>
        <v>3194.45</v>
      </c>
      <c r="H108" s="2">
        <f>tbl_profitability[[#This Row],[net_revenue_after_returns]]-tbl_profitability[[#This Row],[cogs]]-tbl_profitability[[#This Row],[operating_costs]]</f>
        <v>1967.550000000002</v>
      </c>
      <c r="I108" s="10">
        <f>(tbl_profitability[[#This Row],[gross_revenue]]-tbl_profitability[[#This Row],[cogs]])/tbl_profitability[[#This Row],[gross_revenue]]</f>
        <v>0.55000026535193636</v>
      </c>
      <c r="J108" s="10">
        <f>tbl_profitability[[#This Row],[net_profit]]/tbl_profitability[[#This Row],[gross_revenue]]</f>
        <v>0.20883728088563883</v>
      </c>
      <c r="K108" s="2">
        <f>(tbl_profitability[[#This Row],[cogs]]+tbl_profitability[[#This Row],[return_loss]]+tbl_profitability[[#This Row],[operating_costs]])/tbl_raw[[#This Row],[units_sold]]</f>
        <v>135.52545454545455</v>
      </c>
      <c r="L108" s="8" t="str">
        <f>tbl_raw[[#This Row],[decision]]</f>
        <v>OPTIMIZE</v>
      </c>
    </row>
    <row r="109" spans="1:12" x14ac:dyDescent="0.35">
      <c r="A109" s="3" t="str">
        <f>tbl_raw[[#This Row],[product_id]]</f>
        <v>34f99d82cfc355d08d8db780d14aa002</v>
      </c>
      <c r="B109" s="4" t="str">
        <f>tbl_raw[[#This Row],[category]]</f>
        <v>computers</v>
      </c>
      <c r="C109" s="2">
        <f>tbl_raw[[#This Row],[gross_revenue]]</f>
        <v>9399.9699999999993</v>
      </c>
      <c r="D109" s="2">
        <f>tbl_raw[[#This Row],[return_loss]]</f>
        <v>2.7</v>
      </c>
      <c r="E109" s="2">
        <f t="shared" si="1"/>
        <v>9397.2699999999986</v>
      </c>
      <c r="F109" s="2">
        <f>tbl_raw[[#This Row],[cogs]]</f>
        <v>5357.98</v>
      </c>
      <c r="G109" s="2">
        <f>SUM(tbl_raw[[#This Row],[storage_cost]:[freight_cost]])</f>
        <v>416.24</v>
      </c>
      <c r="H109" s="2">
        <f>tbl_profitability[[#This Row],[net_revenue_after_returns]]-tbl_profitability[[#This Row],[cogs]]-tbl_profitability[[#This Row],[operating_costs]]</f>
        <v>3623.0499999999993</v>
      </c>
      <c r="I109" s="10">
        <f>(tbl_profitability[[#This Row],[gross_revenue]]-tbl_profitability[[#This Row],[cogs]])/tbl_profitability[[#This Row],[gross_revenue]]</f>
        <v>0.43000030851162291</v>
      </c>
      <c r="J109" s="10">
        <f>tbl_profitability[[#This Row],[net_profit]]/tbl_profitability[[#This Row],[gross_revenue]]</f>
        <v>0.38543208116621641</v>
      </c>
      <c r="K109" s="2">
        <f>(tbl_profitability[[#This Row],[cogs]]+tbl_profitability[[#This Row],[return_loss]]+tbl_profitability[[#This Row],[operating_costs]])/tbl_raw[[#This Row],[units_sold]]</f>
        <v>1925.6399999999996</v>
      </c>
      <c r="L109" s="8" t="str">
        <f>tbl_raw[[#This Row],[decision]]</f>
        <v>SCALE</v>
      </c>
    </row>
    <row r="110" spans="1:12" x14ac:dyDescent="0.35">
      <c r="A110" s="3" t="str">
        <f>tbl_raw[[#This Row],[product_id]]</f>
        <v>cce3ce6484896041ae3dafdd4308a39c</v>
      </c>
      <c r="B110" s="4" t="str">
        <f>tbl_raw[[#This Row],[category]]</f>
        <v>consoles_games</v>
      </c>
      <c r="C110" s="2">
        <f>tbl_raw[[#This Row],[gross_revenue]]</f>
        <v>9354.91</v>
      </c>
      <c r="D110" s="2">
        <f>tbl_raw[[#This Row],[return_loss]]</f>
        <v>3.24</v>
      </c>
      <c r="E110" s="2">
        <f t="shared" si="1"/>
        <v>9351.67</v>
      </c>
      <c r="F110" s="2">
        <f>tbl_raw[[#This Row],[cogs]]</f>
        <v>5332.3</v>
      </c>
      <c r="G110" s="2">
        <f>SUM(tbl_raw[[#This Row],[storage_cost]:[freight_cost]])</f>
        <v>326.51</v>
      </c>
      <c r="H110" s="2">
        <f>tbl_profitability[[#This Row],[net_revenue_after_returns]]-tbl_profitability[[#This Row],[cogs]]-tbl_profitability[[#This Row],[operating_costs]]</f>
        <v>3692.8599999999997</v>
      </c>
      <c r="I110" s="10">
        <f>(tbl_profitability[[#This Row],[gross_revenue]]-tbl_profitability[[#This Row],[cogs]])/tbl_profitability[[#This Row],[gross_revenue]]</f>
        <v>0.42999986103554172</v>
      </c>
      <c r="J110" s="10">
        <f>tbl_profitability[[#This Row],[net_profit]]/tbl_profitability[[#This Row],[gross_revenue]]</f>
        <v>0.39475099172520095</v>
      </c>
      <c r="K110" s="2">
        <f>(tbl_profitability[[#This Row],[cogs]]+tbl_profitability[[#This Row],[return_loss]]+tbl_profitability[[#This Row],[operating_costs]])/tbl_raw[[#This Row],[units_sold]]</f>
        <v>629.11666666666667</v>
      </c>
      <c r="L110" s="8" t="str">
        <f>tbl_raw[[#This Row],[decision]]</f>
        <v>SCALE</v>
      </c>
    </row>
    <row r="111" spans="1:12" x14ac:dyDescent="0.35">
      <c r="A111" s="3" t="str">
        <f>tbl_raw[[#This Row],[product_id]]</f>
        <v>5411e9269501a870cabf632f05655131</v>
      </c>
      <c r="B111" s="4" t="str">
        <f>tbl_raw[[#This Row],[category]]</f>
        <v>stationery</v>
      </c>
      <c r="C111" s="2">
        <f>tbl_raw[[#This Row],[gross_revenue]]</f>
        <v>9153</v>
      </c>
      <c r="D111" s="2">
        <f>tbl_raw[[#This Row],[return_loss]]</f>
        <v>7.7</v>
      </c>
      <c r="E111" s="2">
        <f t="shared" si="1"/>
        <v>9145.2999999999993</v>
      </c>
      <c r="F111" s="2">
        <f>tbl_raw[[#This Row],[cogs]]</f>
        <v>3661.2</v>
      </c>
      <c r="G111" s="2">
        <f>SUM(tbl_raw[[#This Row],[storage_cost]:[freight_cost]])</f>
        <v>1975.93</v>
      </c>
      <c r="H111" s="2">
        <f>tbl_profitability[[#This Row],[net_revenue_after_returns]]-tbl_profitability[[#This Row],[cogs]]-tbl_profitability[[#This Row],[operating_costs]]</f>
        <v>3508.1699999999992</v>
      </c>
      <c r="I111" s="10">
        <f>(tbl_profitability[[#This Row],[gross_revenue]]-tbl_profitability[[#This Row],[cogs]])/tbl_profitability[[#This Row],[gross_revenue]]</f>
        <v>0.6</v>
      </c>
      <c r="J111" s="10">
        <f>tbl_profitability[[#This Row],[net_profit]]/tbl_profitability[[#This Row],[gross_revenue]]</f>
        <v>0.38328089151097994</v>
      </c>
      <c r="K111" s="2">
        <f>(tbl_profitability[[#This Row],[cogs]]+tbl_profitability[[#This Row],[return_loss]]+tbl_profitability[[#This Row],[operating_costs]])/tbl_raw[[#This Row],[units_sold]]</f>
        <v>73.309480519480516</v>
      </c>
      <c r="L111" s="8" t="str">
        <f>tbl_raw[[#This Row],[decision]]</f>
        <v>SCALE</v>
      </c>
    </row>
    <row r="112" spans="1:12" x14ac:dyDescent="0.35">
      <c r="A112" s="3" t="str">
        <f>tbl_raw[[#This Row],[product_id]]</f>
        <v>fe59a1e006df3ac42bf0ceb876d70969</v>
      </c>
      <c r="B112" s="4" t="str">
        <f>tbl_raw[[#This Row],[category]]</f>
        <v>computers_accessories</v>
      </c>
      <c r="C112" s="2">
        <f>tbl_raw[[#This Row],[gross_revenue]]</f>
        <v>9144.1</v>
      </c>
      <c r="D112" s="2">
        <f>tbl_raw[[#This Row],[return_loss]]</f>
        <v>10.8</v>
      </c>
      <c r="E112" s="2">
        <f t="shared" si="1"/>
        <v>9133.3000000000011</v>
      </c>
      <c r="F112" s="2">
        <f>tbl_raw[[#This Row],[cogs]]</f>
        <v>5212.1400000000003</v>
      </c>
      <c r="G112" s="2">
        <f>SUM(tbl_raw[[#This Row],[storage_cost]:[freight_cost]])</f>
        <v>694.57</v>
      </c>
      <c r="H112" s="2">
        <f>tbl_profitability[[#This Row],[net_revenue_after_returns]]-tbl_profitability[[#This Row],[cogs]]-tbl_profitability[[#This Row],[operating_costs]]</f>
        <v>3226.5900000000006</v>
      </c>
      <c r="I112" s="10">
        <f>(tbl_profitability[[#This Row],[gross_revenue]]-tbl_profitability[[#This Row],[cogs]])/tbl_profitability[[#This Row],[gross_revenue]]</f>
        <v>0.42999967191959843</v>
      </c>
      <c r="J112" s="10">
        <f>tbl_profitability[[#This Row],[net_profit]]/tbl_profitability[[#This Row],[gross_revenue]]</f>
        <v>0.35286031430102477</v>
      </c>
      <c r="K112" s="2">
        <f>(tbl_profitability[[#This Row],[cogs]]+tbl_profitability[[#This Row],[return_loss]]+tbl_profitability[[#This Row],[operating_costs]])/tbl_raw[[#This Row],[units_sold]]</f>
        <v>493.12583333333333</v>
      </c>
      <c r="L112" s="8" t="str">
        <f>tbl_raw[[#This Row],[decision]]</f>
        <v>OPTIMIZE</v>
      </c>
    </row>
    <row r="113" spans="1:12" x14ac:dyDescent="0.35">
      <c r="A113" s="3" t="str">
        <f>tbl_raw[[#This Row],[product_id]]</f>
        <v>11250b0d4b709fee92441c5f34122aed</v>
      </c>
      <c r="B113" s="4" t="str">
        <f>tbl_raw[[#This Row],[category]]</f>
        <v>agro_industry_and_commerce</v>
      </c>
      <c r="C113" s="2">
        <f>tbl_raw[[#This Row],[gross_revenue]]</f>
        <v>9111</v>
      </c>
      <c r="D113" s="2">
        <f>tbl_raw[[#This Row],[return_loss]]</f>
        <v>7.92</v>
      </c>
      <c r="E113" s="2">
        <f t="shared" si="1"/>
        <v>9103.08</v>
      </c>
      <c r="F113" s="2">
        <f>tbl_raw[[#This Row],[cogs]]</f>
        <v>4099.95</v>
      </c>
      <c r="G113" s="2">
        <f>SUM(tbl_raw[[#This Row],[storage_cost]:[freight_cost]])</f>
        <v>705.48</v>
      </c>
      <c r="H113" s="2">
        <f>tbl_profitability[[#This Row],[net_revenue_after_returns]]-tbl_profitability[[#This Row],[cogs]]-tbl_profitability[[#This Row],[operating_costs]]</f>
        <v>4297.6499999999996</v>
      </c>
      <c r="I113" s="10">
        <f>(tbl_profitability[[#This Row],[gross_revenue]]-tbl_profitability[[#This Row],[cogs]])/tbl_profitability[[#This Row],[gross_revenue]]</f>
        <v>0.55000000000000004</v>
      </c>
      <c r="J113" s="10">
        <f>tbl_profitability[[#This Row],[net_profit]]/tbl_profitability[[#This Row],[gross_revenue]]</f>
        <v>0.47169904511030619</v>
      </c>
      <c r="K113" s="2">
        <f>(tbl_profitability[[#This Row],[cogs]]+tbl_profitability[[#This Row],[return_loss]]+tbl_profitability[[#This Row],[operating_costs]])/tbl_raw[[#This Row],[units_sold]]</f>
        <v>218.78863636363639</v>
      </c>
      <c r="L113" s="8" t="str">
        <f>tbl_raw[[#This Row],[decision]]</f>
        <v>SCALE</v>
      </c>
    </row>
    <row r="114" spans="1:12" x14ac:dyDescent="0.35">
      <c r="A114" s="3" t="str">
        <f>tbl_raw[[#This Row],[product_id]]</f>
        <v>f7740e5b4337a3cc4a8a204553101a85</v>
      </c>
      <c r="B114" s="4" t="str">
        <f>tbl_raw[[#This Row],[category]]</f>
        <v>health_beauty</v>
      </c>
      <c r="C114" s="2">
        <f>tbl_raw[[#This Row],[gross_revenue]]</f>
        <v>9094.7999999999993</v>
      </c>
      <c r="D114" s="2">
        <f>tbl_raw[[#This Row],[return_loss]]</f>
        <v>6.12</v>
      </c>
      <c r="E114" s="2">
        <f t="shared" si="1"/>
        <v>9088.6799999999985</v>
      </c>
      <c r="F114" s="2">
        <f>tbl_raw[[#This Row],[cogs]]</f>
        <v>3819.82</v>
      </c>
      <c r="G114" s="2">
        <f>SUM(tbl_raw[[#This Row],[storage_cost]:[freight_cost]])</f>
        <v>589.33999999999992</v>
      </c>
      <c r="H114" s="2">
        <f>tbl_profitability[[#This Row],[net_revenue_after_returns]]-tbl_profitability[[#This Row],[cogs]]-tbl_profitability[[#This Row],[operating_costs]]</f>
        <v>4679.5199999999986</v>
      </c>
      <c r="I114" s="10">
        <f>(tbl_profitability[[#This Row],[gross_revenue]]-tbl_profitability[[#This Row],[cogs]])/tbl_profitability[[#This Row],[gross_revenue]]</f>
        <v>0.57999956018823939</v>
      </c>
      <c r="J114" s="10">
        <f>tbl_profitability[[#This Row],[net_profit]]/tbl_profitability[[#This Row],[gross_revenue]]</f>
        <v>0.51452698245151063</v>
      </c>
      <c r="K114" s="2">
        <f>(tbl_profitability[[#This Row],[cogs]]+tbl_profitability[[#This Row],[return_loss]]+tbl_profitability[[#This Row],[operating_costs]])/tbl_raw[[#This Row],[units_sold]]</f>
        <v>259.72235294117644</v>
      </c>
      <c r="L114" s="8" t="str">
        <f>tbl_raw[[#This Row],[decision]]</f>
        <v>SCALE</v>
      </c>
    </row>
    <row r="115" spans="1:12" x14ac:dyDescent="0.35">
      <c r="A115" s="3" t="str">
        <f>tbl_raw[[#This Row],[product_id]]</f>
        <v>0bbdc963004d9b2fd3427ee3c5ae3608</v>
      </c>
      <c r="B115" s="4" t="str">
        <f>tbl_raw[[#This Row],[category]]</f>
        <v>sports_leisure</v>
      </c>
      <c r="C115" s="2">
        <f>tbl_raw[[#This Row],[gross_revenue]]</f>
        <v>9070</v>
      </c>
      <c r="D115" s="2">
        <f>tbl_raw[[#This Row],[return_loss]]</f>
        <v>10.8</v>
      </c>
      <c r="E115" s="2">
        <f t="shared" si="1"/>
        <v>9059.2000000000007</v>
      </c>
      <c r="F115" s="2">
        <f>tbl_raw[[#This Row],[cogs]]</f>
        <v>3809.4</v>
      </c>
      <c r="G115" s="2">
        <f>SUM(tbl_raw[[#This Row],[storage_cost]:[freight_cost]])</f>
        <v>762.27</v>
      </c>
      <c r="H115" s="2">
        <f>tbl_profitability[[#This Row],[net_revenue_after_returns]]-tbl_profitability[[#This Row],[cogs]]-tbl_profitability[[#This Row],[operating_costs]]</f>
        <v>4487.5300000000007</v>
      </c>
      <c r="I115" s="10">
        <f>(tbl_profitability[[#This Row],[gross_revenue]]-tbl_profitability[[#This Row],[cogs]])/tbl_profitability[[#This Row],[gross_revenue]]</f>
        <v>0.58000000000000007</v>
      </c>
      <c r="J115" s="10">
        <f>tbl_profitability[[#This Row],[net_profit]]/tbl_profitability[[#This Row],[gross_revenue]]</f>
        <v>0.49476626240352817</v>
      </c>
      <c r="K115" s="2">
        <f>(tbl_profitability[[#This Row],[cogs]]+tbl_profitability[[#This Row],[return_loss]]+tbl_profitability[[#This Row],[operating_costs]])/tbl_raw[[#This Row],[units_sold]]</f>
        <v>152.749</v>
      </c>
      <c r="L115" s="8" t="str">
        <f>tbl_raw[[#This Row],[decision]]</f>
        <v>SCALE</v>
      </c>
    </row>
    <row r="116" spans="1:12" x14ac:dyDescent="0.35">
      <c r="A116" s="3" t="str">
        <f>tbl_raw[[#This Row],[product_id]]</f>
        <v>e59dd207c69d86e890febadc796d1078</v>
      </c>
      <c r="B116" s="4" t="str">
        <f>tbl_raw[[#This Row],[category]]</f>
        <v>cool_stuff</v>
      </c>
      <c r="C116" s="2">
        <f>tbl_raw[[#This Row],[gross_revenue]]</f>
        <v>9043.3700000000008</v>
      </c>
      <c r="D116" s="2">
        <f>tbl_raw[[#This Row],[return_loss]]</f>
        <v>22.32</v>
      </c>
      <c r="E116" s="2">
        <f t="shared" si="1"/>
        <v>9021.0500000000011</v>
      </c>
      <c r="F116" s="2">
        <f>tbl_raw[[#This Row],[cogs]]</f>
        <v>4069.52</v>
      </c>
      <c r="G116" s="2">
        <f>SUM(tbl_raw[[#This Row],[storage_cost]:[freight_cost]])</f>
        <v>1288.1300000000001</v>
      </c>
      <c r="H116" s="2">
        <f>tbl_profitability[[#This Row],[net_revenue_after_returns]]-tbl_profitability[[#This Row],[cogs]]-tbl_profitability[[#This Row],[operating_costs]]</f>
        <v>3663.4000000000005</v>
      </c>
      <c r="I116" s="10">
        <f>(tbl_profitability[[#This Row],[gross_revenue]]-tbl_profitability[[#This Row],[cogs]])/tbl_profitability[[#This Row],[gross_revenue]]</f>
        <v>0.54999961297613609</v>
      </c>
      <c r="J116" s="10">
        <f>tbl_profitability[[#This Row],[net_profit]]/tbl_profitability[[#This Row],[gross_revenue]]</f>
        <v>0.40509234942283684</v>
      </c>
      <c r="K116" s="2">
        <f>(tbl_profitability[[#This Row],[cogs]]+tbl_profitability[[#This Row],[return_loss]]+tbl_profitability[[#This Row],[operating_costs]])/tbl_raw[[#This Row],[units_sold]]</f>
        <v>86.773709677419362</v>
      </c>
      <c r="L116" s="8" t="str">
        <f>tbl_raw[[#This Row],[decision]]</f>
        <v>OPTIMIZE</v>
      </c>
    </row>
    <row r="117" spans="1:12" x14ac:dyDescent="0.35">
      <c r="A117" s="3" t="str">
        <f>tbl_raw[[#This Row],[product_id]]</f>
        <v>e44f675b60b3a3a2453ec36421e06f0f</v>
      </c>
      <c r="B117" s="4" t="str">
        <f>tbl_raw[[#This Row],[category]]</f>
        <v>sports_leisure</v>
      </c>
      <c r="C117" s="2">
        <f>tbl_raw[[#This Row],[gross_revenue]]</f>
        <v>8949.1</v>
      </c>
      <c r="D117" s="2">
        <f>tbl_raw[[#This Row],[return_loss]]</f>
        <v>30.24</v>
      </c>
      <c r="E117" s="2">
        <f t="shared" si="1"/>
        <v>8918.86</v>
      </c>
      <c r="F117" s="2">
        <f>tbl_raw[[#This Row],[cogs]]</f>
        <v>3758.62</v>
      </c>
      <c r="G117" s="2">
        <f>SUM(tbl_raw[[#This Row],[storage_cost]:[freight_cost]])</f>
        <v>2004.15</v>
      </c>
      <c r="H117" s="2">
        <f>tbl_profitability[[#This Row],[net_revenue_after_returns]]-tbl_profitability[[#This Row],[cogs]]-tbl_profitability[[#This Row],[operating_costs]]</f>
        <v>3156.0900000000006</v>
      </c>
      <c r="I117" s="10">
        <f>(tbl_profitability[[#This Row],[gross_revenue]]-tbl_profitability[[#This Row],[cogs]])/tbl_profitability[[#This Row],[gross_revenue]]</f>
        <v>0.58000022348616065</v>
      </c>
      <c r="J117" s="10">
        <f>tbl_profitability[[#This Row],[net_profit]]/tbl_profitability[[#This Row],[gross_revenue]]</f>
        <v>0.35267121833480469</v>
      </c>
      <c r="K117" s="2">
        <f>(tbl_profitability[[#This Row],[cogs]]+tbl_profitability[[#This Row],[return_loss]]+tbl_profitability[[#This Row],[operating_costs]])/tbl_raw[[#This Row],[units_sold]]</f>
        <v>68.96440476190476</v>
      </c>
      <c r="L117" s="8" t="str">
        <f>tbl_raw[[#This Row],[decision]]</f>
        <v>SCALE</v>
      </c>
    </row>
    <row r="118" spans="1:12" x14ac:dyDescent="0.35">
      <c r="A118" s="3" t="str">
        <f>tbl_raw[[#This Row],[product_id]]</f>
        <v>c1ad8ac66c91ad301cefc322ba2adf31</v>
      </c>
      <c r="B118" s="4" t="str">
        <f>tbl_raw[[#This Row],[category]]</f>
        <v>watches_gifts</v>
      </c>
      <c r="C118" s="2">
        <f>tbl_raw[[#This Row],[gross_revenue]]</f>
        <v>8813.8799999999992</v>
      </c>
      <c r="D118" s="2">
        <f>tbl_raw[[#This Row],[return_loss]]</f>
        <v>5.4</v>
      </c>
      <c r="E118" s="2">
        <f t="shared" si="1"/>
        <v>8808.48</v>
      </c>
      <c r="F118" s="2">
        <f>tbl_raw[[#This Row],[cogs]]</f>
        <v>3701.83</v>
      </c>
      <c r="G118" s="2">
        <f>SUM(tbl_raw[[#This Row],[storage_cost]:[freight_cost]])</f>
        <v>352.75</v>
      </c>
      <c r="H118" s="2">
        <f>tbl_profitability[[#This Row],[net_revenue_after_returns]]-tbl_profitability[[#This Row],[cogs]]-tbl_profitability[[#This Row],[operating_costs]]</f>
        <v>4753.8999999999996</v>
      </c>
      <c r="I118" s="10">
        <f>(tbl_profitability[[#This Row],[gross_revenue]]-tbl_profitability[[#This Row],[cogs]])/tbl_profitability[[#This Row],[gross_revenue]]</f>
        <v>0.5799999546170358</v>
      </c>
      <c r="J118" s="10">
        <f>tbl_profitability[[#This Row],[net_profit]]/tbl_profitability[[#This Row],[gross_revenue]]</f>
        <v>0.53936518309756887</v>
      </c>
      <c r="K118" s="2">
        <f>(tbl_profitability[[#This Row],[cogs]]+tbl_profitability[[#This Row],[return_loss]]+tbl_profitability[[#This Row],[operating_costs]])/tbl_raw[[#This Row],[units_sold]]</f>
        <v>270.66533333333331</v>
      </c>
      <c r="L118" s="8" t="str">
        <f>tbl_raw[[#This Row],[decision]]</f>
        <v>OPTIMIZE</v>
      </c>
    </row>
    <row r="119" spans="1:12" x14ac:dyDescent="0.35">
      <c r="A119" s="3" t="str">
        <f>tbl_raw[[#This Row],[product_id]]</f>
        <v>c6ea63369936552872ae890c82175b4b</v>
      </c>
      <c r="B119" s="4" t="str">
        <f>tbl_raw[[#This Row],[category]]</f>
        <v>bed_bath_table</v>
      </c>
      <c r="C119" s="2">
        <f>tbl_raw[[#This Row],[gross_revenue]]</f>
        <v>8801.75</v>
      </c>
      <c r="D119" s="2">
        <f>tbl_raw[[#This Row],[return_loss]]</f>
        <v>15.84</v>
      </c>
      <c r="E119" s="2">
        <f t="shared" si="1"/>
        <v>8785.91</v>
      </c>
      <c r="F119" s="2">
        <f>tbl_raw[[#This Row],[cogs]]</f>
        <v>3960.79</v>
      </c>
      <c r="G119" s="2">
        <f>SUM(tbl_raw[[#This Row],[storage_cost]:[freight_cost]])</f>
        <v>1319.1599999999999</v>
      </c>
      <c r="H119" s="2">
        <f>tbl_profitability[[#This Row],[net_revenue_after_returns]]-tbl_profitability[[#This Row],[cogs]]-tbl_profitability[[#This Row],[operating_costs]]</f>
        <v>3505.96</v>
      </c>
      <c r="I119" s="10">
        <f>(tbl_profitability[[#This Row],[gross_revenue]]-tbl_profitability[[#This Row],[cogs]])/tbl_profitability[[#This Row],[gross_revenue]]</f>
        <v>0.54999971596557506</v>
      </c>
      <c r="J119" s="10">
        <f>tbl_profitability[[#This Row],[net_profit]]/tbl_profitability[[#This Row],[gross_revenue]]</f>
        <v>0.39832533303036327</v>
      </c>
      <c r="K119" s="2">
        <f>(tbl_profitability[[#This Row],[cogs]]+tbl_profitability[[#This Row],[return_loss]]+tbl_profitability[[#This Row],[operating_costs]])/tbl_raw[[#This Row],[units_sold]]</f>
        <v>120.35886363636364</v>
      </c>
      <c r="L119" s="8" t="str">
        <f>tbl_raw[[#This Row],[decision]]</f>
        <v>SCALE</v>
      </c>
    </row>
    <row r="120" spans="1:12" x14ac:dyDescent="0.35">
      <c r="A120" s="3" t="str">
        <f>tbl_raw[[#This Row],[product_id]]</f>
        <v>9453bde60c4ee52155c963641736cfc5</v>
      </c>
      <c r="B120" s="4" t="str">
        <f>tbl_raw[[#This Row],[category]]</f>
        <v>health_beauty</v>
      </c>
      <c r="C120" s="2">
        <f>tbl_raw[[#This Row],[gross_revenue]]</f>
        <v>8691.43</v>
      </c>
      <c r="D120" s="2">
        <f>tbl_raw[[#This Row],[return_loss]]</f>
        <v>6.48</v>
      </c>
      <c r="E120" s="2">
        <f t="shared" si="1"/>
        <v>8684.9500000000007</v>
      </c>
      <c r="F120" s="2">
        <f>tbl_raw[[#This Row],[cogs]]</f>
        <v>3650.4</v>
      </c>
      <c r="G120" s="2">
        <f>SUM(tbl_raw[[#This Row],[storage_cost]:[freight_cost]])</f>
        <v>408.42</v>
      </c>
      <c r="H120" s="2">
        <f>tbl_profitability[[#This Row],[net_revenue_after_returns]]-tbl_profitability[[#This Row],[cogs]]-tbl_profitability[[#This Row],[operating_costs]]</f>
        <v>4626.130000000001</v>
      </c>
      <c r="I120" s="10">
        <f>(tbl_profitability[[#This Row],[gross_revenue]]-tbl_profitability[[#This Row],[cogs]])/tbl_profitability[[#This Row],[gross_revenue]]</f>
        <v>0.58000006903351931</v>
      </c>
      <c r="J120" s="10">
        <f>tbl_profitability[[#This Row],[net_profit]]/tbl_profitability[[#This Row],[gross_revenue]]</f>
        <v>0.5322633904892522</v>
      </c>
      <c r="K120" s="2">
        <f>(tbl_profitability[[#This Row],[cogs]]+tbl_profitability[[#This Row],[return_loss]]+tbl_profitability[[#This Row],[operating_costs]])/tbl_raw[[#This Row],[units_sold]]</f>
        <v>225.85000000000002</v>
      </c>
      <c r="L120" s="8" t="str">
        <f>tbl_raw[[#This Row],[decision]]</f>
        <v>SCALE</v>
      </c>
    </row>
    <row r="121" spans="1:12" x14ac:dyDescent="0.35">
      <c r="A121" s="3" t="str">
        <f>tbl_raw[[#This Row],[product_id]]</f>
        <v>69d3ff4f45d52d69e4b06760e0e154e2</v>
      </c>
      <c r="B121" s="4" t="str">
        <f>tbl_raw[[#This Row],[category]]</f>
        <v>musical_instruments</v>
      </c>
      <c r="C121" s="2">
        <f>tbl_raw[[#This Row],[gross_revenue]]</f>
        <v>8659.7199999999993</v>
      </c>
      <c r="D121" s="2">
        <f>tbl_raw[[#This Row],[return_loss]]</f>
        <v>0.8</v>
      </c>
      <c r="E121" s="2">
        <f t="shared" si="1"/>
        <v>8658.92</v>
      </c>
      <c r="F121" s="2">
        <f>tbl_raw[[#This Row],[cogs]]</f>
        <v>3463.89</v>
      </c>
      <c r="G121" s="2">
        <f>SUM(tbl_raw[[#This Row],[storage_cost]:[freight_cost]])</f>
        <v>252.34</v>
      </c>
      <c r="H121" s="2">
        <f>tbl_profitability[[#This Row],[net_revenue_after_returns]]-tbl_profitability[[#This Row],[cogs]]-tbl_profitability[[#This Row],[operating_costs]]</f>
        <v>4942.6900000000005</v>
      </c>
      <c r="I121" s="10">
        <f>(tbl_profitability[[#This Row],[gross_revenue]]-tbl_profitability[[#This Row],[cogs]])/tbl_profitability[[#This Row],[gross_revenue]]</f>
        <v>0.59999976904565044</v>
      </c>
      <c r="J121" s="10">
        <f>tbl_profitability[[#This Row],[net_profit]]/tbl_profitability[[#This Row],[gross_revenue]]</f>
        <v>0.57076787702142806</v>
      </c>
      <c r="K121" s="2">
        <f>(tbl_profitability[[#This Row],[cogs]]+tbl_profitability[[#This Row],[return_loss]]+tbl_profitability[[#This Row],[operating_costs]])/tbl_raw[[#This Row],[units_sold]]</f>
        <v>464.62875000000003</v>
      </c>
      <c r="L121" s="8" t="str">
        <f>tbl_raw[[#This Row],[decision]]</f>
        <v>SCALE</v>
      </c>
    </row>
    <row r="122" spans="1:12" x14ac:dyDescent="0.35">
      <c r="A122" s="3" t="str">
        <f>tbl_raw[[#This Row],[product_id]]</f>
        <v>fbce4c4cb307679d89a3bf3d3bb353b9</v>
      </c>
      <c r="B122" s="4" t="str">
        <f>tbl_raw[[#This Row],[category]]</f>
        <v>bed_bath_table</v>
      </c>
      <c r="C122" s="2">
        <f>tbl_raw[[#This Row],[gross_revenue]]</f>
        <v>8520</v>
      </c>
      <c r="D122" s="2">
        <f>tbl_raw[[#This Row],[return_loss]]</f>
        <v>21.6</v>
      </c>
      <c r="E122" s="2">
        <f t="shared" si="1"/>
        <v>8498.4</v>
      </c>
      <c r="F122" s="2">
        <f>tbl_raw[[#This Row],[cogs]]</f>
        <v>3834</v>
      </c>
      <c r="G122" s="2">
        <f>SUM(tbl_raw[[#This Row],[storage_cost]:[freight_cost]])</f>
        <v>2787.12</v>
      </c>
      <c r="H122" s="2">
        <f>tbl_profitability[[#This Row],[net_revenue_after_returns]]-tbl_profitability[[#This Row],[cogs]]-tbl_profitability[[#This Row],[operating_costs]]</f>
        <v>1877.2799999999997</v>
      </c>
      <c r="I122" s="10">
        <f>(tbl_profitability[[#This Row],[gross_revenue]]-tbl_profitability[[#This Row],[cogs]])/tbl_profitability[[#This Row],[gross_revenue]]</f>
        <v>0.55000000000000004</v>
      </c>
      <c r="J122" s="10">
        <f>tbl_profitability[[#This Row],[net_profit]]/tbl_profitability[[#This Row],[gross_revenue]]</f>
        <v>0.22033802816901404</v>
      </c>
      <c r="K122" s="2">
        <f>(tbl_profitability[[#This Row],[cogs]]+tbl_profitability[[#This Row],[return_loss]]+tbl_profitability[[#This Row],[operating_costs]])/tbl_raw[[#This Row],[units_sold]]</f>
        <v>110.71199999999999</v>
      </c>
      <c r="L122" s="8" t="str">
        <f>tbl_raw[[#This Row],[decision]]</f>
        <v>OPTIMIZE</v>
      </c>
    </row>
    <row r="123" spans="1:12" x14ac:dyDescent="0.35">
      <c r="A123" s="3" t="str">
        <f>tbl_raw[[#This Row],[product_id]]</f>
        <v>fc1d8637c0268af3db482c14b7ef8e75</v>
      </c>
      <c r="B123" s="4" t="str">
        <f>tbl_raw[[#This Row],[category]]</f>
        <v>bed_bath_table</v>
      </c>
      <c r="C123" s="2">
        <f>tbl_raw[[#This Row],[gross_revenue]]</f>
        <v>8504.2999999999993</v>
      </c>
      <c r="D123" s="2">
        <f>tbl_raw[[#This Row],[return_loss]]</f>
        <v>20.52</v>
      </c>
      <c r="E123" s="2">
        <f t="shared" si="1"/>
        <v>8483.7799999999988</v>
      </c>
      <c r="F123" s="2">
        <f>tbl_raw[[#This Row],[cogs]]</f>
        <v>3826.93</v>
      </c>
      <c r="G123" s="2">
        <f>SUM(tbl_raw[[#This Row],[storage_cost]:[freight_cost]])</f>
        <v>1430.8400000000001</v>
      </c>
      <c r="H123" s="2">
        <f>tbl_profitability[[#This Row],[net_revenue_after_returns]]-tbl_profitability[[#This Row],[cogs]]-tbl_profitability[[#This Row],[operating_costs]]</f>
        <v>3226.0099999999984</v>
      </c>
      <c r="I123" s="10">
        <f>(tbl_profitability[[#This Row],[gross_revenue]]-tbl_profitability[[#This Row],[cogs]])/tbl_profitability[[#This Row],[gross_revenue]]</f>
        <v>0.55000058793786666</v>
      </c>
      <c r="J123" s="10">
        <f>tbl_profitability[[#This Row],[net_profit]]/tbl_profitability[[#This Row],[gross_revenue]]</f>
        <v>0.37933868748750615</v>
      </c>
      <c r="K123" s="2">
        <f>(tbl_profitability[[#This Row],[cogs]]+tbl_profitability[[#This Row],[return_loss]]+tbl_profitability[[#This Row],[operating_costs]])/tbl_raw[[#This Row],[units_sold]]</f>
        <v>92.601578947368424</v>
      </c>
      <c r="L123" s="8" t="str">
        <f>tbl_raw[[#This Row],[decision]]</f>
        <v>SCALE</v>
      </c>
    </row>
    <row r="124" spans="1:12" x14ac:dyDescent="0.35">
      <c r="A124" s="3" t="str">
        <f>tbl_raw[[#This Row],[product_id]]</f>
        <v>fe9dfbe7f974621789683b7b78be2a16</v>
      </c>
      <c r="B124" s="4" t="str">
        <f>tbl_raw[[#This Row],[category]]</f>
        <v>health_beauty</v>
      </c>
      <c r="C124" s="2">
        <f>tbl_raw[[#This Row],[gross_revenue]]</f>
        <v>8473.2900000000009</v>
      </c>
      <c r="D124" s="2">
        <f>tbl_raw[[#This Row],[return_loss]]</f>
        <v>9.36</v>
      </c>
      <c r="E124" s="2">
        <f t="shared" si="1"/>
        <v>8463.93</v>
      </c>
      <c r="F124" s="2">
        <f>tbl_raw[[#This Row],[cogs]]</f>
        <v>3558.78</v>
      </c>
      <c r="G124" s="2">
        <f>SUM(tbl_raw[[#This Row],[storage_cost]:[freight_cost]])</f>
        <v>943.54</v>
      </c>
      <c r="H124" s="2">
        <f>tbl_profitability[[#This Row],[net_revenue_after_returns]]-tbl_profitability[[#This Row],[cogs]]-tbl_profitability[[#This Row],[operating_costs]]</f>
        <v>3961.6099999999997</v>
      </c>
      <c r="I124" s="10">
        <f>(tbl_profitability[[#This Row],[gross_revenue]]-tbl_profitability[[#This Row],[cogs]])/tbl_profitability[[#This Row],[gross_revenue]]</f>
        <v>0.58000021243224298</v>
      </c>
      <c r="J124" s="10">
        <f>tbl_profitability[[#This Row],[net_profit]]/tbl_profitability[[#This Row],[gross_revenue]]</f>
        <v>0.46754094336438373</v>
      </c>
      <c r="K124" s="2">
        <f>(tbl_profitability[[#This Row],[cogs]]+tbl_profitability[[#This Row],[return_loss]]+tbl_profitability[[#This Row],[operating_costs]])/tbl_raw[[#This Row],[units_sold]]</f>
        <v>173.52615384615385</v>
      </c>
      <c r="L124" s="8" t="str">
        <f>tbl_raw[[#This Row],[decision]]</f>
        <v>SCALE</v>
      </c>
    </row>
    <row r="125" spans="1:12" x14ac:dyDescent="0.35">
      <c r="A125" s="3" t="str">
        <f>tbl_raw[[#This Row],[product_id]]</f>
        <v>8aa6223e400af9c97b07c75993142721</v>
      </c>
      <c r="B125" s="4" t="str">
        <f>tbl_raw[[#This Row],[category]]</f>
        <v>baby</v>
      </c>
      <c r="C125" s="2">
        <f>tbl_raw[[#This Row],[gross_revenue]]</f>
        <v>8435.56</v>
      </c>
      <c r="D125" s="2">
        <f>tbl_raw[[#This Row],[return_loss]]</f>
        <v>17.28</v>
      </c>
      <c r="E125" s="2">
        <f t="shared" si="1"/>
        <v>8418.2799999999988</v>
      </c>
      <c r="F125" s="2">
        <f>tbl_raw[[#This Row],[cogs]]</f>
        <v>3542.94</v>
      </c>
      <c r="G125" s="2">
        <f>SUM(tbl_raw[[#This Row],[storage_cost]:[freight_cost]])</f>
        <v>1712.84</v>
      </c>
      <c r="H125" s="2">
        <f>tbl_profitability[[#This Row],[net_revenue_after_returns]]-tbl_profitability[[#This Row],[cogs]]-tbl_profitability[[#This Row],[operating_costs]]</f>
        <v>3162.4999999999982</v>
      </c>
      <c r="I125" s="10">
        <f>(tbl_profitability[[#This Row],[gross_revenue]]-tbl_profitability[[#This Row],[cogs]])/tbl_profitability[[#This Row],[gross_revenue]]</f>
        <v>0.57999943098027862</v>
      </c>
      <c r="J125" s="10">
        <f>tbl_profitability[[#This Row],[net_profit]]/tbl_profitability[[#This Row],[gross_revenue]]</f>
        <v>0.37490101427765299</v>
      </c>
      <c r="K125" s="2">
        <f>(tbl_profitability[[#This Row],[cogs]]+tbl_profitability[[#This Row],[return_loss]]+tbl_profitability[[#This Row],[operating_costs]])/tbl_raw[[#This Row],[units_sold]]</f>
        <v>109.85541666666667</v>
      </c>
      <c r="L125" s="8" t="str">
        <f>tbl_raw[[#This Row],[decision]]</f>
        <v>SCALE</v>
      </c>
    </row>
    <row r="126" spans="1:12" x14ac:dyDescent="0.35">
      <c r="A126" s="3" t="str">
        <f>tbl_raw[[#This Row],[product_id]]</f>
        <v>27535386be7362e36d9e78c2afb8c0e5</v>
      </c>
      <c r="B126" s="4" t="str">
        <f>tbl_raw[[#This Row],[category]]</f>
        <v>health_beauty</v>
      </c>
      <c r="C126" s="2">
        <f>tbl_raw[[#This Row],[gross_revenue]]</f>
        <v>8399.2999999999993</v>
      </c>
      <c r="D126" s="2">
        <f>tbl_raw[[#This Row],[return_loss]]</f>
        <v>2.52</v>
      </c>
      <c r="E126" s="2">
        <f t="shared" si="1"/>
        <v>8396.7799999999988</v>
      </c>
      <c r="F126" s="2">
        <f>tbl_raw[[#This Row],[cogs]]</f>
        <v>3527.71</v>
      </c>
      <c r="G126" s="2">
        <f>SUM(tbl_raw[[#This Row],[storage_cost]:[freight_cost]])</f>
        <v>257.96000000000004</v>
      </c>
      <c r="H126" s="2">
        <f>tbl_profitability[[#This Row],[net_revenue_after_returns]]-tbl_profitability[[#This Row],[cogs]]-tbl_profitability[[#This Row],[operating_costs]]</f>
        <v>4611.1099999999988</v>
      </c>
      <c r="I126" s="10">
        <f>(tbl_profitability[[#This Row],[gross_revenue]]-tbl_profitability[[#This Row],[cogs]])/tbl_profitability[[#This Row],[gross_revenue]]</f>
        <v>0.57999952376983788</v>
      </c>
      <c r="J126" s="10">
        <f>tbl_profitability[[#This Row],[net_profit]]/tbl_profitability[[#This Row],[gross_revenue]]</f>
        <v>0.54898741561796804</v>
      </c>
      <c r="K126" s="2">
        <f>(tbl_profitability[[#This Row],[cogs]]+tbl_profitability[[#This Row],[return_loss]]+tbl_profitability[[#This Row],[operating_costs]])/tbl_raw[[#This Row],[units_sold]]</f>
        <v>541.16999999999996</v>
      </c>
      <c r="L126" s="8" t="str">
        <f>tbl_raw[[#This Row],[decision]]</f>
        <v>SCALE</v>
      </c>
    </row>
    <row r="127" spans="1:12" x14ac:dyDescent="0.35">
      <c r="A127" s="3" t="str">
        <f>tbl_raw[[#This Row],[product_id]]</f>
        <v>b114bf337c0626166abe574eee9e3f32</v>
      </c>
      <c r="B127" s="4" t="str">
        <f>tbl_raw[[#This Row],[category]]</f>
        <v>office_furniture</v>
      </c>
      <c r="C127" s="2">
        <f>tbl_raw[[#This Row],[gross_revenue]]</f>
        <v>8348</v>
      </c>
      <c r="D127" s="2">
        <f>tbl_raw[[#This Row],[return_loss]]</f>
        <v>19.440000000000001</v>
      </c>
      <c r="E127" s="2">
        <f t="shared" si="1"/>
        <v>8328.56</v>
      </c>
      <c r="F127" s="2">
        <f>tbl_raw[[#This Row],[cogs]]</f>
        <v>3756.6</v>
      </c>
      <c r="G127" s="2">
        <f>SUM(tbl_raw[[#This Row],[storage_cost]:[freight_cost]])</f>
        <v>2484.5299999999997</v>
      </c>
      <c r="H127" s="2">
        <f>tbl_profitability[[#This Row],[net_revenue_after_returns]]-tbl_profitability[[#This Row],[cogs]]-tbl_profitability[[#This Row],[operating_costs]]</f>
        <v>2087.4299999999994</v>
      </c>
      <c r="I127" s="10">
        <f>(tbl_profitability[[#This Row],[gross_revenue]]-tbl_profitability[[#This Row],[cogs]])/tbl_profitability[[#This Row],[gross_revenue]]</f>
        <v>0.54999999999999993</v>
      </c>
      <c r="J127" s="10">
        <f>tbl_profitability[[#This Row],[net_profit]]/tbl_profitability[[#This Row],[gross_revenue]]</f>
        <v>0.25005150934355524</v>
      </c>
      <c r="K127" s="2">
        <f>(tbl_profitability[[#This Row],[cogs]]+tbl_profitability[[#This Row],[return_loss]]+tbl_profitability[[#This Row],[operating_costs]])/tbl_raw[[#This Row],[units_sold]]</f>
        <v>115.93648148148148</v>
      </c>
      <c r="L127" s="8" t="str">
        <f>tbl_raw[[#This Row],[decision]]</f>
        <v>OPTIMIZE</v>
      </c>
    </row>
    <row r="128" spans="1:12" x14ac:dyDescent="0.35">
      <c r="A128" s="3" t="str">
        <f>tbl_raw[[#This Row],[product_id]]</f>
        <v>8317b177579dd27ff068b83205e2169b</v>
      </c>
      <c r="B128" s="4" t="str">
        <f>tbl_raw[[#This Row],[category]]</f>
        <v>cool_stuff</v>
      </c>
      <c r="C128" s="2">
        <f>tbl_raw[[#This Row],[gross_revenue]]</f>
        <v>8314.16</v>
      </c>
      <c r="D128" s="2">
        <f>tbl_raw[[#This Row],[return_loss]]</f>
        <v>16.559999999999999</v>
      </c>
      <c r="E128" s="2">
        <f t="shared" si="1"/>
        <v>8297.6</v>
      </c>
      <c r="F128" s="2">
        <f>tbl_raw[[#This Row],[cogs]]</f>
        <v>3741.37</v>
      </c>
      <c r="G128" s="2">
        <f>SUM(tbl_raw[[#This Row],[storage_cost]:[freight_cost]])</f>
        <v>1039.1799999999998</v>
      </c>
      <c r="H128" s="2">
        <f>tbl_profitability[[#This Row],[net_revenue_after_returns]]-tbl_profitability[[#This Row],[cogs]]-tbl_profitability[[#This Row],[operating_costs]]</f>
        <v>3517.0500000000006</v>
      </c>
      <c r="I128" s="10">
        <f>(tbl_profitability[[#This Row],[gross_revenue]]-tbl_profitability[[#This Row],[cogs]])/tbl_profitability[[#This Row],[gross_revenue]]</f>
        <v>0.55000024055346541</v>
      </c>
      <c r="J128" s="10">
        <f>tbl_profitability[[#This Row],[net_profit]]/tbl_profitability[[#This Row],[gross_revenue]]</f>
        <v>0.4230192827657876</v>
      </c>
      <c r="K128" s="2">
        <f>(tbl_profitability[[#This Row],[cogs]]+tbl_profitability[[#This Row],[return_loss]]+tbl_profitability[[#This Row],[operating_costs]])/tbl_raw[[#This Row],[units_sold]]</f>
        <v>104.285</v>
      </c>
      <c r="L128" s="8" t="str">
        <f>tbl_raw[[#This Row],[decision]]</f>
        <v>SCALE</v>
      </c>
    </row>
    <row r="129" spans="1:12" x14ac:dyDescent="0.35">
      <c r="A129" s="3" t="str">
        <f>tbl_raw[[#This Row],[product_id]]</f>
        <v>aed75ad669fbebd5a385ac7cc2ae7573</v>
      </c>
      <c r="B129" s="4" t="str">
        <f>tbl_raw[[#This Row],[category]]</f>
        <v>health_beauty</v>
      </c>
      <c r="C129" s="2">
        <f>tbl_raw[[#This Row],[gross_revenue]]</f>
        <v>8250</v>
      </c>
      <c r="D129" s="2">
        <f>tbl_raw[[#This Row],[return_loss]]</f>
        <v>5.4</v>
      </c>
      <c r="E129" s="2">
        <f t="shared" si="1"/>
        <v>8244.6</v>
      </c>
      <c r="F129" s="2">
        <f>tbl_raw[[#This Row],[cogs]]</f>
        <v>3465</v>
      </c>
      <c r="G129" s="2">
        <f>SUM(tbl_raw[[#This Row],[storage_cost]:[freight_cost]])</f>
        <v>2039.16</v>
      </c>
      <c r="H129" s="2">
        <f>tbl_profitability[[#This Row],[net_revenue_after_returns]]-tbl_profitability[[#This Row],[cogs]]-tbl_profitability[[#This Row],[operating_costs]]</f>
        <v>2740.4400000000005</v>
      </c>
      <c r="I129" s="10">
        <f>(tbl_profitability[[#This Row],[gross_revenue]]-tbl_profitability[[#This Row],[cogs]])/tbl_profitability[[#This Row],[gross_revenue]]</f>
        <v>0.57999999999999996</v>
      </c>
      <c r="J129" s="10">
        <f>tbl_profitability[[#This Row],[net_profit]]/tbl_profitability[[#This Row],[gross_revenue]]</f>
        <v>0.3321745454545455</v>
      </c>
      <c r="K129" s="2">
        <f>(tbl_profitability[[#This Row],[cogs]]+tbl_profitability[[#This Row],[return_loss]]+tbl_profitability[[#This Row],[operating_costs]])/tbl_raw[[#This Row],[units_sold]]</f>
        <v>367.30400000000003</v>
      </c>
      <c r="L129" s="8" t="str">
        <f>tbl_raw[[#This Row],[decision]]</f>
        <v>SCALE</v>
      </c>
    </row>
    <row r="130" spans="1:12" x14ac:dyDescent="0.35">
      <c r="A130" s="3" t="str">
        <f>tbl_raw[[#This Row],[product_id]]</f>
        <v>629e019a6f298a83aeecc7877964f935</v>
      </c>
      <c r="B130" s="4" t="str">
        <f>tbl_raw[[#This Row],[category]]</f>
        <v>auto</v>
      </c>
      <c r="C130" s="2">
        <f>tbl_raw[[#This Row],[gross_revenue]]</f>
        <v>8247.6</v>
      </c>
      <c r="D130" s="2">
        <f>tbl_raw[[#This Row],[return_loss]]</f>
        <v>26.64</v>
      </c>
      <c r="E130" s="2">
        <f t="shared" si="1"/>
        <v>8220.9600000000009</v>
      </c>
      <c r="F130" s="2">
        <f>tbl_raw[[#This Row],[cogs]]</f>
        <v>3711.42</v>
      </c>
      <c r="G130" s="2">
        <f>SUM(tbl_raw[[#This Row],[storage_cost]:[freight_cost]])</f>
        <v>2130.3900000000003</v>
      </c>
      <c r="H130" s="2">
        <f>tbl_profitability[[#This Row],[net_revenue_after_returns]]-tbl_profitability[[#This Row],[cogs]]-tbl_profitability[[#This Row],[operating_costs]]</f>
        <v>2379.1500000000005</v>
      </c>
      <c r="I130" s="10">
        <f>(tbl_profitability[[#This Row],[gross_revenue]]-tbl_profitability[[#This Row],[cogs]])/tbl_profitability[[#This Row],[gross_revenue]]</f>
        <v>0.55000000000000004</v>
      </c>
      <c r="J130" s="10">
        <f>tbl_profitability[[#This Row],[net_profit]]/tbl_profitability[[#This Row],[gross_revenue]]</f>
        <v>0.28846573548668708</v>
      </c>
      <c r="K130" s="2">
        <f>(tbl_profitability[[#This Row],[cogs]]+tbl_profitability[[#This Row],[return_loss]]+tbl_profitability[[#This Row],[operating_costs]])/tbl_raw[[#This Row],[units_sold]]</f>
        <v>79.303378378378383</v>
      </c>
      <c r="L130" s="8" t="str">
        <f>tbl_raw[[#This Row],[decision]]</f>
        <v>SCALE</v>
      </c>
    </row>
    <row r="131" spans="1:12" x14ac:dyDescent="0.35">
      <c r="A131" s="3" t="str">
        <f>tbl_raw[[#This Row],[product_id]]</f>
        <v>657247f6f60543b93e3cc708a8e6329c</v>
      </c>
      <c r="B131" s="4" t="str">
        <f>tbl_raw[[#This Row],[category]]</f>
        <v>luggage_accessories</v>
      </c>
      <c r="C131" s="2">
        <f>tbl_raw[[#This Row],[gross_revenue]]</f>
        <v>8237.68</v>
      </c>
      <c r="D131" s="2">
        <f>tbl_raw[[#This Row],[return_loss]]</f>
        <v>11.52</v>
      </c>
      <c r="E131" s="2">
        <f t="shared" si="1"/>
        <v>8226.16</v>
      </c>
      <c r="F131" s="2">
        <f>tbl_raw[[#This Row],[cogs]]</f>
        <v>3459.83</v>
      </c>
      <c r="G131" s="2">
        <f>SUM(tbl_raw[[#This Row],[storage_cost]:[freight_cost]])</f>
        <v>2130.4899999999998</v>
      </c>
      <c r="H131" s="2">
        <f>tbl_profitability[[#This Row],[net_revenue_after_returns]]-tbl_profitability[[#This Row],[cogs]]-tbl_profitability[[#This Row],[operating_costs]]</f>
        <v>2635.84</v>
      </c>
      <c r="I131" s="10">
        <f>(tbl_profitability[[#This Row],[gross_revenue]]-tbl_profitability[[#This Row],[cogs]])/tbl_profitability[[#This Row],[gross_revenue]]</f>
        <v>0.57999946586903106</v>
      </c>
      <c r="J131" s="10">
        <f>tbl_profitability[[#This Row],[net_profit]]/tbl_profitability[[#This Row],[gross_revenue]]</f>
        <v>0.31997358479571919</v>
      </c>
      <c r="K131" s="2">
        <f>(tbl_profitability[[#This Row],[cogs]]+tbl_profitability[[#This Row],[return_loss]]+tbl_profitability[[#This Row],[operating_costs]])/tbl_raw[[#This Row],[units_sold]]</f>
        <v>175.0575</v>
      </c>
      <c r="L131" s="8" t="str">
        <f>tbl_raw[[#This Row],[decision]]</f>
        <v>OPTIMIZE</v>
      </c>
    </row>
    <row r="132" spans="1:12" x14ac:dyDescent="0.35">
      <c r="A132" s="3" t="str">
        <f>tbl_raw[[#This Row],[product_id]]</f>
        <v>928e52a9ad53a294fdcc91bcf59d1751</v>
      </c>
      <c r="B132" s="4" t="str">
        <f>tbl_raw[[#This Row],[category]]</f>
        <v>housewares</v>
      </c>
      <c r="C132" s="2">
        <f>tbl_raw[[#This Row],[gross_revenue]]</f>
        <v>8150</v>
      </c>
      <c r="D132" s="2">
        <f>tbl_raw[[#This Row],[return_loss]]</f>
        <v>21.6</v>
      </c>
      <c r="E132" s="2">
        <f t="shared" ref="E132:E195" si="2">C132-D132</f>
        <v>8128.4</v>
      </c>
      <c r="F132" s="2">
        <f>tbl_raw[[#This Row],[cogs]]</f>
        <v>3667.5</v>
      </c>
      <c r="G132" s="2">
        <f>SUM(tbl_raw[[#This Row],[storage_cost]:[freight_cost]])</f>
        <v>1475.8</v>
      </c>
      <c r="H132" s="2">
        <f>tbl_profitability[[#This Row],[net_revenue_after_returns]]-tbl_profitability[[#This Row],[cogs]]-tbl_profitability[[#This Row],[operating_costs]]</f>
        <v>2985.0999999999995</v>
      </c>
      <c r="I132" s="10">
        <f>(tbl_profitability[[#This Row],[gross_revenue]]-tbl_profitability[[#This Row],[cogs]])/tbl_profitability[[#This Row],[gross_revenue]]</f>
        <v>0.55000000000000004</v>
      </c>
      <c r="J132" s="10">
        <f>tbl_profitability[[#This Row],[net_profit]]/tbl_profitability[[#This Row],[gross_revenue]]</f>
        <v>0.36626993865030666</v>
      </c>
      <c r="K132" s="2">
        <f>(tbl_profitability[[#This Row],[cogs]]+tbl_profitability[[#This Row],[return_loss]]+tbl_profitability[[#This Row],[operating_costs]])/tbl_raw[[#This Row],[units_sold]]</f>
        <v>86.081666666666663</v>
      </c>
      <c r="L132" s="8" t="str">
        <f>tbl_raw[[#This Row],[decision]]</f>
        <v>OPTIMIZE</v>
      </c>
    </row>
    <row r="133" spans="1:12" x14ac:dyDescent="0.35">
      <c r="A133" s="3" t="str">
        <f>tbl_raw[[#This Row],[product_id]]</f>
        <v>7c55ea4aea1acf1ce11440010f5aa298</v>
      </c>
      <c r="B133" s="4" t="str">
        <f>tbl_raw[[#This Row],[category]]</f>
        <v>housewares</v>
      </c>
      <c r="C133" s="2">
        <f>tbl_raw[[#This Row],[gross_revenue]]</f>
        <v>8127</v>
      </c>
      <c r="D133" s="2">
        <f>tbl_raw[[#This Row],[return_loss]]</f>
        <v>7.2</v>
      </c>
      <c r="E133" s="2">
        <f t="shared" si="2"/>
        <v>8119.8</v>
      </c>
      <c r="F133" s="2">
        <f>tbl_raw[[#This Row],[cogs]]</f>
        <v>3657.15</v>
      </c>
      <c r="G133" s="2">
        <f>SUM(tbl_raw[[#This Row],[storage_cost]:[freight_cost]])</f>
        <v>813.71</v>
      </c>
      <c r="H133" s="2">
        <f>tbl_profitability[[#This Row],[net_revenue_after_returns]]-tbl_profitability[[#This Row],[cogs]]-tbl_profitability[[#This Row],[operating_costs]]</f>
        <v>3648.9399999999996</v>
      </c>
      <c r="I133" s="10">
        <f>(tbl_profitability[[#This Row],[gross_revenue]]-tbl_profitability[[#This Row],[cogs]])/tbl_profitability[[#This Row],[gross_revenue]]</f>
        <v>0.55000000000000004</v>
      </c>
      <c r="J133" s="10">
        <f>tbl_profitability[[#This Row],[net_profit]]/tbl_profitability[[#This Row],[gross_revenue]]</f>
        <v>0.44898978712932197</v>
      </c>
      <c r="K133" s="2">
        <f>(tbl_profitability[[#This Row],[cogs]]+tbl_profitability[[#This Row],[return_loss]]+tbl_profitability[[#This Row],[operating_costs]])/tbl_raw[[#This Row],[units_sold]]</f>
        <v>223.90299999999996</v>
      </c>
      <c r="L133" s="8" t="str">
        <f>tbl_raw[[#This Row],[decision]]</f>
        <v>SCALE</v>
      </c>
    </row>
    <row r="134" spans="1:12" x14ac:dyDescent="0.35">
      <c r="A134" s="3" t="str">
        <f>tbl_raw[[#This Row],[product_id]]</f>
        <v>78819ab10b4a44927c832a21c06849e0</v>
      </c>
      <c r="B134" s="4" t="str">
        <f>tbl_raw[[#This Row],[category]]</f>
        <v>computers_accessories</v>
      </c>
      <c r="C134" s="2">
        <f>tbl_raw[[#This Row],[gross_revenue]]</f>
        <v>8123.78</v>
      </c>
      <c r="D134" s="2">
        <f>tbl_raw[[#This Row],[return_loss]]</f>
        <v>12.6</v>
      </c>
      <c r="E134" s="2">
        <f t="shared" si="2"/>
        <v>8111.1799999999994</v>
      </c>
      <c r="F134" s="2">
        <f>tbl_raw[[#This Row],[cogs]]</f>
        <v>4630.55</v>
      </c>
      <c r="G134" s="2">
        <f>SUM(tbl_raw[[#This Row],[storage_cost]:[freight_cost]])</f>
        <v>560.11</v>
      </c>
      <c r="H134" s="2">
        <f>tbl_profitability[[#This Row],[net_revenue_after_returns]]-tbl_profitability[[#This Row],[cogs]]-tbl_profitability[[#This Row],[operating_costs]]</f>
        <v>2920.5199999999991</v>
      </c>
      <c r="I134" s="10">
        <f>(tbl_profitability[[#This Row],[gross_revenue]]-tbl_profitability[[#This Row],[cogs]])/tbl_profitability[[#This Row],[gross_revenue]]</f>
        <v>0.43000056623886906</v>
      </c>
      <c r="J134" s="10">
        <f>tbl_profitability[[#This Row],[net_profit]]/tbl_profitability[[#This Row],[gross_revenue]]</f>
        <v>0.35950259608211932</v>
      </c>
      <c r="K134" s="2">
        <f>(tbl_profitability[[#This Row],[cogs]]+tbl_profitability[[#This Row],[return_loss]]+tbl_profitability[[#This Row],[operating_costs]])/tbl_raw[[#This Row],[units_sold]]</f>
        <v>371.66142857142859</v>
      </c>
      <c r="L134" s="8" t="str">
        <f>tbl_raw[[#This Row],[decision]]</f>
        <v>SCALE</v>
      </c>
    </row>
    <row r="135" spans="1:12" x14ac:dyDescent="0.35">
      <c r="A135" s="3" t="str">
        <f>tbl_raw[[#This Row],[product_id]]</f>
        <v>2948658cb6abc82847412be7201bfc4c</v>
      </c>
      <c r="B135" s="4" t="str">
        <f>tbl_raw[[#This Row],[category]]</f>
        <v>health_beauty</v>
      </c>
      <c r="C135" s="2">
        <f>tbl_raw[[#This Row],[gross_revenue]]</f>
        <v>8100</v>
      </c>
      <c r="D135" s="2">
        <f>tbl_raw[[#This Row],[return_loss]]</f>
        <v>25.56</v>
      </c>
      <c r="E135" s="2">
        <f t="shared" si="2"/>
        <v>8074.44</v>
      </c>
      <c r="F135" s="2">
        <f>tbl_raw[[#This Row],[cogs]]</f>
        <v>3402</v>
      </c>
      <c r="G135" s="2">
        <f>SUM(tbl_raw[[#This Row],[storage_cost]:[freight_cost]])</f>
        <v>2299.69</v>
      </c>
      <c r="H135" s="2">
        <f>tbl_profitability[[#This Row],[net_revenue_after_returns]]-tbl_profitability[[#This Row],[cogs]]-tbl_profitability[[#This Row],[operating_costs]]</f>
        <v>2372.7499999999995</v>
      </c>
      <c r="I135" s="10">
        <f>(tbl_profitability[[#This Row],[gross_revenue]]-tbl_profitability[[#This Row],[cogs]])/tbl_profitability[[#This Row],[gross_revenue]]</f>
        <v>0.57999999999999996</v>
      </c>
      <c r="J135" s="10">
        <f>tbl_profitability[[#This Row],[net_profit]]/tbl_profitability[[#This Row],[gross_revenue]]</f>
        <v>0.29293209876543203</v>
      </c>
      <c r="K135" s="2">
        <f>(tbl_profitability[[#This Row],[cogs]]+tbl_profitability[[#This Row],[return_loss]]+tbl_profitability[[#This Row],[operating_costs]])/tbl_raw[[#This Row],[units_sold]]</f>
        <v>80.66549295774648</v>
      </c>
      <c r="L135" s="8" t="str">
        <f>tbl_raw[[#This Row],[decision]]</f>
        <v>OPTIMIZE</v>
      </c>
    </row>
    <row r="136" spans="1:12" x14ac:dyDescent="0.35">
      <c r="A136" s="3" t="str">
        <f>tbl_raw[[#This Row],[product_id]]</f>
        <v>4413a608a42bd21bbf9d5abbd58c249a</v>
      </c>
      <c r="B136" s="4" t="str">
        <f>tbl_raw[[#This Row],[category]]</f>
        <v>cool_stuff</v>
      </c>
      <c r="C136" s="2">
        <f>tbl_raw[[#This Row],[gross_revenue]]</f>
        <v>8089.49</v>
      </c>
      <c r="D136" s="2">
        <f>tbl_raw[[#This Row],[return_loss]]</f>
        <v>18.36</v>
      </c>
      <c r="E136" s="2">
        <f t="shared" si="2"/>
        <v>8071.13</v>
      </c>
      <c r="F136" s="2">
        <f>tbl_raw[[#This Row],[cogs]]</f>
        <v>3640.27</v>
      </c>
      <c r="G136" s="2">
        <f>SUM(tbl_raw[[#This Row],[storage_cost]:[freight_cost]])</f>
        <v>1356.34</v>
      </c>
      <c r="H136" s="2">
        <f>tbl_profitability[[#This Row],[net_revenue_after_returns]]-tbl_profitability[[#This Row],[cogs]]-tbl_profitability[[#This Row],[operating_costs]]</f>
        <v>3074.5200000000004</v>
      </c>
      <c r="I136" s="10">
        <f>(tbl_profitability[[#This Row],[gross_revenue]]-tbl_profitability[[#This Row],[cogs]])/tbl_profitability[[#This Row],[gross_revenue]]</f>
        <v>0.55000006180859351</v>
      </c>
      <c r="J136" s="10">
        <f>tbl_profitability[[#This Row],[net_profit]]/tbl_profitability[[#This Row],[gross_revenue]]</f>
        <v>0.38006351451080361</v>
      </c>
      <c r="K136" s="2">
        <f>(tbl_profitability[[#This Row],[cogs]]+tbl_profitability[[#This Row],[return_loss]]+tbl_profitability[[#This Row],[operating_costs]])/tbl_raw[[#This Row],[units_sold]]</f>
        <v>98.332745098039226</v>
      </c>
      <c r="L136" s="8" t="str">
        <f>tbl_raw[[#This Row],[decision]]</f>
        <v>OPTIMIZE</v>
      </c>
    </row>
    <row r="137" spans="1:12" x14ac:dyDescent="0.35">
      <c r="A137" s="3" t="str">
        <f>tbl_raw[[#This Row],[product_id]]</f>
        <v>952670bc019a73f0933157ec82ff6e4f</v>
      </c>
      <c r="B137" s="4" t="str">
        <f>tbl_raw[[#This Row],[category]]</f>
        <v>bed_bath_table</v>
      </c>
      <c r="C137" s="2">
        <f>tbl_raw[[#This Row],[gross_revenue]]</f>
        <v>8087.83</v>
      </c>
      <c r="D137" s="2">
        <f>tbl_raw[[#This Row],[return_loss]]</f>
        <v>14.4</v>
      </c>
      <c r="E137" s="2">
        <f t="shared" si="2"/>
        <v>8073.43</v>
      </c>
      <c r="F137" s="2">
        <f>tbl_raw[[#This Row],[cogs]]</f>
        <v>3639.52</v>
      </c>
      <c r="G137" s="2">
        <f>SUM(tbl_raw[[#This Row],[storage_cost]:[freight_cost]])</f>
        <v>1244.73</v>
      </c>
      <c r="H137" s="2">
        <f>tbl_profitability[[#This Row],[net_revenue_after_returns]]-tbl_profitability[[#This Row],[cogs]]-tbl_profitability[[#This Row],[operating_costs]]</f>
        <v>3189.18</v>
      </c>
      <c r="I137" s="10">
        <f>(tbl_profitability[[#This Row],[gross_revenue]]-tbl_profitability[[#This Row],[cogs]])/tbl_profitability[[#This Row],[gross_revenue]]</f>
        <v>0.55000043274895738</v>
      </c>
      <c r="J137" s="10">
        <f>tbl_profitability[[#This Row],[net_profit]]/tbl_profitability[[#This Row],[gross_revenue]]</f>
        <v>0.39431837711722428</v>
      </c>
      <c r="K137" s="2">
        <f>(tbl_profitability[[#This Row],[cogs]]+tbl_profitability[[#This Row],[return_loss]]+tbl_profitability[[#This Row],[operating_costs]])/tbl_raw[[#This Row],[units_sold]]</f>
        <v>122.46624999999999</v>
      </c>
      <c r="L137" s="8" t="str">
        <f>tbl_raw[[#This Row],[decision]]</f>
        <v>SCALE</v>
      </c>
    </row>
    <row r="138" spans="1:12" x14ac:dyDescent="0.35">
      <c r="A138" s="3" t="str">
        <f>tbl_raw[[#This Row],[product_id]]</f>
        <v>8b5227e28272123eefd613a10ffd7704</v>
      </c>
      <c r="B138" s="4" t="str">
        <f>tbl_raw[[#This Row],[category]]</f>
        <v>watches_gifts</v>
      </c>
      <c r="C138" s="2">
        <f>tbl_raw[[#This Row],[gross_revenue]]</f>
        <v>8069</v>
      </c>
      <c r="D138" s="2">
        <f>tbl_raw[[#This Row],[return_loss]]</f>
        <v>5.76</v>
      </c>
      <c r="E138" s="2">
        <f t="shared" si="2"/>
        <v>8063.24</v>
      </c>
      <c r="F138" s="2">
        <f>tbl_raw[[#This Row],[cogs]]</f>
        <v>3388.98</v>
      </c>
      <c r="G138" s="2">
        <f>SUM(tbl_raw[[#This Row],[storage_cost]:[freight_cost]])</f>
        <v>346.16</v>
      </c>
      <c r="H138" s="2">
        <f>tbl_profitability[[#This Row],[net_revenue_after_returns]]-tbl_profitability[[#This Row],[cogs]]-tbl_profitability[[#This Row],[operating_costs]]</f>
        <v>4328.1000000000004</v>
      </c>
      <c r="I138" s="10">
        <f>(tbl_profitability[[#This Row],[gross_revenue]]-tbl_profitability[[#This Row],[cogs]])/tbl_profitability[[#This Row],[gross_revenue]]</f>
        <v>0.58000000000000007</v>
      </c>
      <c r="J138" s="10">
        <f>tbl_profitability[[#This Row],[net_profit]]/tbl_profitability[[#This Row],[gross_revenue]]</f>
        <v>0.53638616928987493</v>
      </c>
      <c r="K138" s="2">
        <f>(tbl_profitability[[#This Row],[cogs]]+tbl_profitability[[#This Row],[return_loss]]+tbl_profitability[[#This Row],[operating_costs]])/tbl_raw[[#This Row],[units_sold]]</f>
        <v>233.80625000000001</v>
      </c>
      <c r="L138" s="8" t="str">
        <f>tbl_raw[[#This Row],[decision]]</f>
        <v>OPTIMIZE</v>
      </c>
    </row>
    <row r="139" spans="1:12" x14ac:dyDescent="0.35">
      <c r="A139" s="3" t="str">
        <f>tbl_raw[[#This Row],[product_id]]</f>
        <v>423a6644f0aa529e8828ff1f91003690</v>
      </c>
      <c r="B139" s="4" t="str">
        <f>tbl_raw[[#This Row],[category]]</f>
        <v>agro_industry_and_commerce</v>
      </c>
      <c r="C139" s="2">
        <f>tbl_raw[[#This Row],[gross_revenue]]</f>
        <v>8043</v>
      </c>
      <c r="D139" s="2">
        <f>tbl_raw[[#This Row],[return_loss]]</f>
        <v>6.48</v>
      </c>
      <c r="E139" s="2">
        <f t="shared" si="2"/>
        <v>8036.52</v>
      </c>
      <c r="F139" s="2">
        <f>tbl_raw[[#This Row],[cogs]]</f>
        <v>3619.35</v>
      </c>
      <c r="G139" s="2">
        <f>SUM(tbl_raw[[#This Row],[storage_cost]:[freight_cost]])</f>
        <v>656.73</v>
      </c>
      <c r="H139" s="2">
        <f>tbl_profitability[[#This Row],[net_revenue_after_returns]]-tbl_profitability[[#This Row],[cogs]]-tbl_profitability[[#This Row],[operating_costs]]</f>
        <v>3760.44</v>
      </c>
      <c r="I139" s="10">
        <f>(tbl_profitability[[#This Row],[gross_revenue]]-tbl_profitability[[#This Row],[cogs]])/tbl_profitability[[#This Row],[gross_revenue]]</f>
        <v>0.54999999999999993</v>
      </c>
      <c r="J139" s="10">
        <f>tbl_profitability[[#This Row],[net_profit]]/tbl_profitability[[#This Row],[gross_revenue]]</f>
        <v>0.4675419619544946</v>
      </c>
      <c r="K139" s="2">
        <f>(tbl_profitability[[#This Row],[cogs]]+tbl_profitability[[#This Row],[return_loss]]+tbl_profitability[[#This Row],[operating_costs]])/tbl_raw[[#This Row],[units_sold]]</f>
        <v>237.91999999999996</v>
      </c>
      <c r="L139" s="8" t="str">
        <f>tbl_raw[[#This Row],[decision]]</f>
        <v>SCALE</v>
      </c>
    </row>
    <row r="140" spans="1:12" x14ac:dyDescent="0.35">
      <c r="A140" s="3" t="str">
        <f>tbl_raw[[#This Row],[product_id]]</f>
        <v>38c56c5c5b16958d95bf8254498ad555</v>
      </c>
      <c r="B140" s="4" t="str">
        <f>tbl_raw[[#This Row],[category]]</f>
        <v>watches_gifts</v>
      </c>
      <c r="C140" s="2">
        <f>tbl_raw[[#This Row],[gross_revenue]]</f>
        <v>8040</v>
      </c>
      <c r="D140" s="2">
        <f>tbl_raw[[#This Row],[return_loss]]</f>
        <v>3.6</v>
      </c>
      <c r="E140" s="2">
        <f t="shared" si="2"/>
        <v>8036.4</v>
      </c>
      <c r="F140" s="2">
        <f>tbl_raw[[#This Row],[cogs]]</f>
        <v>3376.8</v>
      </c>
      <c r="G140" s="2">
        <f>SUM(tbl_raw[[#This Row],[storage_cost]:[freight_cost]])</f>
        <v>256.91999999999996</v>
      </c>
      <c r="H140" s="2">
        <f>tbl_profitability[[#This Row],[net_revenue_after_returns]]-tbl_profitability[[#This Row],[cogs]]-tbl_profitability[[#This Row],[operating_costs]]</f>
        <v>4402.6799999999994</v>
      </c>
      <c r="I140" s="10">
        <f>(tbl_profitability[[#This Row],[gross_revenue]]-tbl_profitability[[#This Row],[cogs]])/tbl_profitability[[#This Row],[gross_revenue]]</f>
        <v>0.57999999999999996</v>
      </c>
      <c r="J140" s="10">
        <f>tbl_profitability[[#This Row],[net_profit]]/tbl_profitability[[#This Row],[gross_revenue]]</f>
        <v>0.54759701492537305</v>
      </c>
      <c r="K140" s="2">
        <f>(tbl_profitability[[#This Row],[cogs]]+tbl_profitability[[#This Row],[return_loss]]+tbl_profitability[[#This Row],[operating_costs]])/tbl_raw[[#This Row],[units_sold]]</f>
        <v>363.73200000000003</v>
      </c>
      <c r="L140" s="8" t="str">
        <f>tbl_raw[[#This Row],[decision]]</f>
        <v>SCALE</v>
      </c>
    </row>
    <row r="141" spans="1:12" x14ac:dyDescent="0.35">
      <c r="A141" s="3" t="str">
        <f>tbl_raw[[#This Row],[product_id]]</f>
        <v>5183344b5357029cfd88c7f511ed876d</v>
      </c>
      <c r="B141" s="4" t="str">
        <f>tbl_raw[[#This Row],[category]]</f>
        <v>musical_instruments</v>
      </c>
      <c r="C141" s="2">
        <f>tbl_raw[[#This Row],[gross_revenue]]</f>
        <v>7996</v>
      </c>
      <c r="D141" s="2">
        <f>tbl_raw[[#This Row],[return_loss]]</f>
        <v>0.4</v>
      </c>
      <c r="E141" s="2">
        <f t="shared" si="2"/>
        <v>7995.6</v>
      </c>
      <c r="F141" s="2">
        <f>tbl_raw[[#This Row],[cogs]]</f>
        <v>3198.4</v>
      </c>
      <c r="G141" s="2">
        <f>SUM(tbl_raw[[#This Row],[storage_cost]:[freight_cost]])</f>
        <v>223.82</v>
      </c>
      <c r="H141" s="2">
        <f>tbl_profitability[[#This Row],[net_revenue_after_returns]]-tbl_profitability[[#This Row],[cogs]]-tbl_profitability[[#This Row],[operating_costs]]</f>
        <v>4573.380000000001</v>
      </c>
      <c r="I141" s="10">
        <f>(tbl_profitability[[#This Row],[gross_revenue]]-tbl_profitability[[#This Row],[cogs]])/tbl_profitability[[#This Row],[gross_revenue]]</f>
        <v>0.60000000000000009</v>
      </c>
      <c r="J141" s="10">
        <f>tbl_profitability[[#This Row],[net_profit]]/tbl_profitability[[#This Row],[gross_revenue]]</f>
        <v>0.57195847923961995</v>
      </c>
      <c r="K141" s="2">
        <f>(tbl_profitability[[#This Row],[cogs]]+tbl_profitability[[#This Row],[return_loss]]+tbl_profitability[[#This Row],[operating_costs]])/tbl_raw[[#This Row],[units_sold]]</f>
        <v>855.65500000000009</v>
      </c>
      <c r="L141" s="8" t="str">
        <f>tbl_raw[[#This Row],[decision]]</f>
        <v>OPTIMIZE</v>
      </c>
    </row>
    <row r="142" spans="1:12" x14ac:dyDescent="0.35">
      <c r="A142" s="3" t="str">
        <f>tbl_raw[[#This Row],[product_id]]</f>
        <v>f39a8b27ce90ac582103bf36f09690dd</v>
      </c>
      <c r="B142" s="4" t="str">
        <f>tbl_raw[[#This Row],[category]]</f>
        <v>consoles_games</v>
      </c>
      <c r="C142" s="2">
        <f>tbl_raw[[#This Row],[gross_revenue]]</f>
        <v>7986</v>
      </c>
      <c r="D142" s="2">
        <f>tbl_raw[[#This Row],[return_loss]]</f>
        <v>8.64</v>
      </c>
      <c r="E142" s="2">
        <f t="shared" si="2"/>
        <v>7977.36</v>
      </c>
      <c r="F142" s="2">
        <f>tbl_raw[[#This Row],[cogs]]</f>
        <v>4552.0200000000004</v>
      </c>
      <c r="G142" s="2">
        <f>SUM(tbl_raw[[#This Row],[storage_cost]:[freight_cost]])</f>
        <v>456.03</v>
      </c>
      <c r="H142" s="2">
        <f>tbl_profitability[[#This Row],[net_revenue_after_returns]]-tbl_profitability[[#This Row],[cogs]]-tbl_profitability[[#This Row],[operating_costs]]</f>
        <v>2969.3099999999995</v>
      </c>
      <c r="I142" s="10">
        <f>(tbl_profitability[[#This Row],[gross_revenue]]-tbl_profitability[[#This Row],[cogs]])/tbl_profitability[[#This Row],[gross_revenue]]</f>
        <v>0.42999999999999994</v>
      </c>
      <c r="J142" s="10">
        <f>tbl_profitability[[#This Row],[net_profit]]/tbl_profitability[[#This Row],[gross_revenue]]</f>
        <v>0.37181442524417724</v>
      </c>
      <c r="K142" s="2">
        <f>(tbl_profitability[[#This Row],[cogs]]+tbl_profitability[[#This Row],[return_loss]]+tbl_profitability[[#This Row],[operating_costs]])/tbl_raw[[#This Row],[units_sold]]</f>
        <v>209.02875000000003</v>
      </c>
      <c r="L142" s="8" t="str">
        <f>tbl_raw[[#This Row],[decision]]</f>
        <v>SCALE</v>
      </c>
    </row>
    <row r="143" spans="1:12" x14ac:dyDescent="0.35">
      <c r="A143" s="3" t="str">
        <f>tbl_raw[[#This Row],[product_id]]</f>
        <v>df0c26d7ddb998e2517658a55e46e48a</v>
      </c>
      <c r="B143" s="4" t="str">
        <f>tbl_raw[[#This Row],[category]]</f>
        <v>home_appliances_2</v>
      </c>
      <c r="C143" s="2">
        <f>tbl_raw[[#This Row],[gross_revenue]]</f>
        <v>7943</v>
      </c>
      <c r="D143" s="2">
        <f>tbl_raw[[#This Row],[return_loss]]</f>
        <v>1.8</v>
      </c>
      <c r="E143" s="2">
        <f t="shared" si="2"/>
        <v>7941.2</v>
      </c>
      <c r="F143" s="2">
        <f>tbl_raw[[#This Row],[cogs]]</f>
        <v>4527.51</v>
      </c>
      <c r="G143" s="2">
        <f>SUM(tbl_raw[[#This Row],[storage_cost]:[freight_cost]])</f>
        <v>495.02</v>
      </c>
      <c r="H143" s="2">
        <f>tbl_profitability[[#This Row],[net_revenue_after_returns]]-tbl_profitability[[#This Row],[cogs]]-tbl_profitability[[#This Row],[operating_costs]]</f>
        <v>2918.6699999999996</v>
      </c>
      <c r="I143" s="10">
        <f>(tbl_profitability[[#This Row],[gross_revenue]]-tbl_profitability[[#This Row],[cogs]])/tbl_profitability[[#This Row],[gross_revenue]]</f>
        <v>0.43</v>
      </c>
      <c r="J143" s="10">
        <f>tbl_profitability[[#This Row],[net_profit]]/tbl_profitability[[#This Row],[gross_revenue]]</f>
        <v>0.36745184439128786</v>
      </c>
      <c r="K143" s="2">
        <f>(tbl_profitability[[#This Row],[cogs]]+tbl_profitability[[#This Row],[return_loss]]+tbl_profitability[[#This Row],[operating_costs]])/tbl_raw[[#This Row],[units_sold]]</f>
        <v>1004.866</v>
      </c>
      <c r="L143" s="8" t="str">
        <f>tbl_raw[[#This Row],[decision]]</f>
        <v>SCALE</v>
      </c>
    </row>
    <row r="144" spans="1:12" x14ac:dyDescent="0.35">
      <c r="A144" s="3" t="str">
        <f>tbl_raw[[#This Row],[product_id]]</f>
        <v>617186c3d97ea56c9c683a8a3974e8c1</v>
      </c>
      <c r="B144" s="4" t="str">
        <f>tbl_raw[[#This Row],[category]]</f>
        <v>perfumery</v>
      </c>
      <c r="C144" s="2">
        <f>tbl_raw[[#This Row],[gross_revenue]]</f>
        <v>7924.05</v>
      </c>
      <c r="D144" s="2">
        <f>tbl_raw[[#This Row],[return_loss]]</f>
        <v>34.200000000000003</v>
      </c>
      <c r="E144" s="2">
        <f t="shared" si="2"/>
        <v>7889.85</v>
      </c>
      <c r="F144" s="2">
        <f>tbl_raw[[#This Row],[cogs]]</f>
        <v>3328.1</v>
      </c>
      <c r="G144" s="2">
        <f>SUM(tbl_raw[[#This Row],[storage_cost]:[freight_cost]])</f>
        <v>1943.62</v>
      </c>
      <c r="H144" s="2">
        <f>tbl_profitability[[#This Row],[net_revenue_after_returns]]-tbl_profitability[[#This Row],[cogs]]-tbl_profitability[[#This Row],[operating_costs]]</f>
        <v>2618.13</v>
      </c>
      <c r="I144" s="10">
        <f>(tbl_profitability[[#This Row],[gross_revenue]]-tbl_profitability[[#This Row],[cogs]])/tbl_profitability[[#This Row],[gross_revenue]]</f>
        <v>0.58000012619809327</v>
      </c>
      <c r="J144" s="10">
        <f>tbl_profitability[[#This Row],[net_profit]]/tbl_profitability[[#This Row],[gross_revenue]]</f>
        <v>0.33040301361046437</v>
      </c>
      <c r="K144" s="2">
        <f>(tbl_profitability[[#This Row],[cogs]]+tbl_profitability[[#This Row],[return_loss]]+tbl_profitability[[#This Row],[operating_costs]])/tbl_raw[[#This Row],[units_sold]]</f>
        <v>55.851789473684214</v>
      </c>
      <c r="L144" s="8" t="str">
        <f>tbl_raw[[#This Row],[decision]]</f>
        <v>SCALE</v>
      </c>
    </row>
    <row r="145" spans="1:12" x14ac:dyDescent="0.35">
      <c r="A145" s="3" t="str">
        <f>tbl_raw[[#This Row],[product_id]]</f>
        <v>1f411e9a31196b71ed8438c8254b858e</v>
      </c>
      <c r="B145" s="4" t="str">
        <f>tbl_raw[[#This Row],[category]]</f>
        <v>computers</v>
      </c>
      <c r="C145" s="2">
        <f>tbl_raw[[#This Row],[gross_revenue]]</f>
        <v>7879.92</v>
      </c>
      <c r="D145" s="2">
        <f>tbl_raw[[#This Row],[return_loss]]</f>
        <v>10.8</v>
      </c>
      <c r="E145" s="2">
        <f t="shared" si="2"/>
        <v>7869.12</v>
      </c>
      <c r="F145" s="2">
        <f>tbl_raw[[#This Row],[cogs]]</f>
        <v>4491.55</v>
      </c>
      <c r="G145" s="2">
        <f>SUM(tbl_raw[[#This Row],[storage_cost]:[freight_cost]])</f>
        <v>572.22</v>
      </c>
      <c r="H145" s="2">
        <f>tbl_profitability[[#This Row],[net_revenue_after_returns]]-tbl_profitability[[#This Row],[cogs]]-tbl_profitability[[#This Row],[operating_costs]]</f>
        <v>2805.3499999999995</v>
      </c>
      <c r="I145" s="10">
        <f>(tbl_profitability[[#This Row],[gross_revenue]]-tbl_profitability[[#This Row],[cogs]])/tbl_profitability[[#This Row],[gross_revenue]]</f>
        <v>0.43000055838130335</v>
      </c>
      <c r="J145" s="10">
        <f>tbl_profitability[[#This Row],[net_profit]]/tbl_profitability[[#This Row],[gross_revenue]]</f>
        <v>0.35601249758880793</v>
      </c>
      <c r="K145" s="2">
        <f>(tbl_profitability[[#This Row],[cogs]]+tbl_profitability[[#This Row],[return_loss]]+tbl_profitability[[#This Row],[operating_costs]])/tbl_raw[[#This Row],[units_sold]]</f>
        <v>422.88083333333338</v>
      </c>
      <c r="L145" s="8" t="str">
        <f>tbl_raw[[#This Row],[decision]]</f>
        <v>SCALE</v>
      </c>
    </row>
    <row r="146" spans="1:12" x14ac:dyDescent="0.35">
      <c r="A146" s="3" t="str">
        <f>tbl_raw[[#This Row],[product_id]]</f>
        <v>3ecf69ee1fe21cfd40b30cbea549e563</v>
      </c>
      <c r="B146" s="4" t="str">
        <f>tbl_raw[[#This Row],[category]]</f>
        <v>small_appliances</v>
      </c>
      <c r="C146" s="2">
        <f>tbl_raw[[#This Row],[gross_revenue]]</f>
        <v>7868</v>
      </c>
      <c r="D146" s="2">
        <f>tbl_raw[[#This Row],[return_loss]]</f>
        <v>1.08</v>
      </c>
      <c r="E146" s="2">
        <f t="shared" si="2"/>
        <v>7866.92</v>
      </c>
      <c r="F146" s="2">
        <f>tbl_raw[[#This Row],[cogs]]</f>
        <v>4484.76</v>
      </c>
      <c r="G146" s="2">
        <f>SUM(tbl_raw[[#This Row],[storage_cost]:[freight_cost]])</f>
        <v>119.66</v>
      </c>
      <c r="H146" s="2">
        <f>tbl_profitability[[#This Row],[net_revenue_after_returns]]-tbl_profitability[[#This Row],[cogs]]-tbl_profitability[[#This Row],[operating_costs]]</f>
        <v>3262.5</v>
      </c>
      <c r="I146" s="10">
        <f>(tbl_profitability[[#This Row],[gross_revenue]]-tbl_profitability[[#This Row],[cogs]])/tbl_profitability[[#This Row],[gross_revenue]]</f>
        <v>0.43</v>
      </c>
      <c r="J146" s="10">
        <f>tbl_profitability[[#This Row],[net_profit]]/tbl_profitability[[#This Row],[gross_revenue]]</f>
        <v>0.41465429588205388</v>
      </c>
      <c r="K146" s="2">
        <f>(tbl_profitability[[#This Row],[cogs]]+tbl_profitability[[#This Row],[return_loss]]+tbl_profitability[[#This Row],[operating_costs]])/tbl_raw[[#This Row],[units_sold]]</f>
        <v>1535.1666666666667</v>
      </c>
      <c r="L146" s="8" t="str">
        <f>tbl_raw[[#This Row],[decision]]</f>
        <v>OPTIMIZE</v>
      </c>
    </row>
    <row r="147" spans="1:12" x14ac:dyDescent="0.35">
      <c r="A147" s="3" t="str">
        <f>tbl_raw[[#This Row],[product_id]]</f>
        <v>679d1a26cc192f14e7e30ae397f8b089</v>
      </c>
      <c r="B147" s="4" t="str">
        <f>tbl_raw[[#This Row],[category]]</f>
        <v>health_beauty</v>
      </c>
      <c r="C147" s="2">
        <f>tbl_raw[[#This Row],[gross_revenue]]</f>
        <v>7825.93</v>
      </c>
      <c r="D147" s="2">
        <f>tbl_raw[[#This Row],[return_loss]]</f>
        <v>3.24</v>
      </c>
      <c r="E147" s="2">
        <f t="shared" si="2"/>
        <v>7822.6900000000005</v>
      </c>
      <c r="F147" s="2">
        <f>tbl_raw[[#This Row],[cogs]]</f>
        <v>3286.89</v>
      </c>
      <c r="G147" s="2">
        <f>SUM(tbl_raw[[#This Row],[storage_cost]:[freight_cost]])</f>
        <v>235.17</v>
      </c>
      <c r="H147" s="2">
        <f>tbl_profitability[[#This Row],[net_revenue_after_returns]]-tbl_profitability[[#This Row],[cogs]]-tbl_profitability[[#This Row],[operating_costs]]</f>
        <v>4300.630000000001</v>
      </c>
      <c r="I147" s="10">
        <f>(tbl_profitability[[#This Row],[gross_revenue]]-tbl_profitability[[#This Row],[cogs]])/tbl_profitability[[#This Row],[gross_revenue]]</f>
        <v>0.58000007666820441</v>
      </c>
      <c r="J147" s="10">
        <f>tbl_profitability[[#This Row],[net_profit]]/tbl_profitability[[#This Row],[gross_revenue]]</f>
        <v>0.54953596569353425</v>
      </c>
      <c r="K147" s="2">
        <f>(tbl_profitability[[#This Row],[cogs]]+tbl_profitability[[#This Row],[return_loss]]+tbl_profitability[[#This Row],[operating_costs]])/tbl_raw[[#This Row],[units_sold]]</f>
        <v>391.7</v>
      </c>
      <c r="L147" s="8" t="str">
        <f>tbl_raw[[#This Row],[decision]]</f>
        <v>OPTIMIZE</v>
      </c>
    </row>
    <row r="148" spans="1:12" x14ac:dyDescent="0.35">
      <c r="A148" s="3" t="str">
        <f>tbl_raw[[#This Row],[product_id]]</f>
        <v>b5e13c9a353102f79c6206ff5cb61a50</v>
      </c>
      <c r="B148" s="4" t="str">
        <f>tbl_raw[[#This Row],[category]]</f>
        <v>toys</v>
      </c>
      <c r="C148" s="2">
        <f>tbl_raw[[#This Row],[gross_revenue]]</f>
        <v>7810.9</v>
      </c>
      <c r="D148" s="2">
        <f>tbl_raw[[#This Row],[return_loss]]</f>
        <v>32.76</v>
      </c>
      <c r="E148" s="2">
        <f t="shared" si="2"/>
        <v>7778.1399999999994</v>
      </c>
      <c r="F148" s="2">
        <f>tbl_raw[[#This Row],[cogs]]</f>
        <v>3280.58</v>
      </c>
      <c r="G148" s="2">
        <f>SUM(tbl_raw[[#This Row],[storage_cost]:[freight_cost]])</f>
        <v>1980.24</v>
      </c>
      <c r="H148" s="2">
        <f>tbl_profitability[[#This Row],[net_revenue_after_returns]]-tbl_profitability[[#This Row],[cogs]]-tbl_profitability[[#This Row],[operating_costs]]</f>
        <v>2517.3199999999997</v>
      </c>
      <c r="I148" s="10">
        <f>(tbl_profitability[[#This Row],[gross_revenue]]-tbl_profitability[[#This Row],[cogs]])/tbl_profitability[[#This Row],[gross_revenue]]</f>
        <v>0.57999974394756049</v>
      </c>
      <c r="J148" s="10">
        <f>tbl_profitability[[#This Row],[net_profit]]/tbl_profitability[[#This Row],[gross_revenue]]</f>
        <v>0.32228296355093522</v>
      </c>
      <c r="K148" s="2">
        <f>(tbl_profitability[[#This Row],[cogs]]+tbl_profitability[[#This Row],[return_loss]]+tbl_profitability[[#This Row],[operating_costs]])/tbl_raw[[#This Row],[units_sold]]</f>
        <v>58.171208791208791</v>
      </c>
      <c r="L148" s="8" t="str">
        <f>tbl_raw[[#This Row],[decision]]</f>
        <v>EXIT</v>
      </c>
    </row>
    <row r="149" spans="1:12" x14ac:dyDescent="0.35">
      <c r="A149" s="3" t="str">
        <f>tbl_raw[[#This Row],[product_id]]</f>
        <v>437c05a395e9e47f9762e677a7068ce7</v>
      </c>
      <c r="B149" s="4" t="str">
        <f>tbl_raw[[#This Row],[category]]</f>
        <v>health_beauty</v>
      </c>
      <c r="C149" s="2">
        <f>tbl_raw[[#This Row],[gross_revenue]]</f>
        <v>7757.91</v>
      </c>
      <c r="D149" s="2">
        <f>tbl_raw[[#This Row],[return_loss]]</f>
        <v>55.8</v>
      </c>
      <c r="E149" s="2">
        <f t="shared" si="2"/>
        <v>7702.11</v>
      </c>
      <c r="F149" s="2">
        <f>tbl_raw[[#This Row],[cogs]]</f>
        <v>3258.32</v>
      </c>
      <c r="G149" s="2">
        <f>SUM(tbl_raw[[#This Row],[storage_cost]:[freight_cost]])</f>
        <v>2536.08</v>
      </c>
      <c r="H149" s="2">
        <f>tbl_profitability[[#This Row],[net_revenue_after_returns]]-tbl_profitability[[#This Row],[cogs]]-tbl_profitability[[#This Row],[operating_costs]]</f>
        <v>1907.7099999999991</v>
      </c>
      <c r="I149" s="10">
        <f>(tbl_profitability[[#This Row],[gross_revenue]]-tbl_profitability[[#This Row],[cogs]])/tbl_profitability[[#This Row],[gross_revenue]]</f>
        <v>0.58000028358153166</v>
      </c>
      <c r="J149" s="10">
        <f>tbl_profitability[[#This Row],[net_profit]]/tbl_profitability[[#This Row],[gross_revenue]]</f>
        <v>0.24590514713369957</v>
      </c>
      <c r="K149" s="2">
        <f>(tbl_profitability[[#This Row],[cogs]]+tbl_profitability[[#This Row],[return_loss]]+tbl_profitability[[#This Row],[operating_costs]])/tbl_raw[[#This Row],[units_sold]]</f>
        <v>37.743225806451619</v>
      </c>
      <c r="L149" s="8" t="str">
        <f>tbl_raw[[#This Row],[decision]]</f>
        <v>OPTIMIZE</v>
      </c>
    </row>
    <row r="150" spans="1:12" x14ac:dyDescent="0.35">
      <c r="A150" s="3" t="str">
        <f>tbl_raw[[#This Row],[product_id]]</f>
        <v>dd113cb02b2af9c8e5787e8f1f0722f6</v>
      </c>
      <c r="B150" s="4" t="str">
        <f>tbl_raw[[#This Row],[category]]</f>
        <v>sports_leisure</v>
      </c>
      <c r="C150" s="2">
        <f>tbl_raw[[#This Row],[gross_revenue]]</f>
        <v>7749</v>
      </c>
      <c r="D150" s="2">
        <f>tbl_raw[[#This Row],[return_loss]]</f>
        <v>0.72</v>
      </c>
      <c r="E150" s="2">
        <f t="shared" si="2"/>
        <v>7748.28</v>
      </c>
      <c r="F150" s="2">
        <f>tbl_raw[[#This Row],[cogs]]</f>
        <v>3254.58</v>
      </c>
      <c r="G150" s="2">
        <f>SUM(tbl_raw[[#This Row],[storage_cost]:[freight_cost]])</f>
        <v>258.81</v>
      </c>
      <c r="H150" s="2">
        <f>tbl_profitability[[#This Row],[net_revenue_after_returns]]-tbl_profitability[[#This Row],[cogs]]-tbl_profitability[[#This Row],[operating_costs]]</f>
        <v>4234.8899999999994</v>
      </c>
      <c r="I150" s="10">
        <f>(tbl_profitability[[#This Row],[gross_revenue]]-tbl_profitability[[#This Row],[cogs]])/tbl_profitability[[#This Row],[gross_revenue]]</f>
        <v>0.57999999999999996</v>
      </c>
      <c r="J150" s="10">
        <f>tbl_profitability[[#This Row],[net_profit]]/tbl_profitability[[#This Row],[gross_revenue]]</f>
        <v>0.54650793650793639</v>
      </c>
      <c r="K150" s="2">
        <f>(tbl_profitability[[#This Row],[cogs]]+tbl_profitability[[#This Row],[return_loss]]+tbl_profitability[[#This Row],[operating_costs]])/tbl_raw[[#This Row],[units_sold]]</f>
        <v>1757.0549999999998</v>
      </c>
      <c r="L150" s="8" t="str">
        <f>tbl_raw[[#This Row],[decision]]</f>
        <v>SCALE</v>
      </c>
    </row>
    <row r="151" spans="1:12" x14ac:dyDescent="0.35">
      <c r="A151" s="3" t="str">
        <f>tbl_raw[[#This Row],[product_id]]</f>
        <v>09481a6dfe9eb590dc8b265b54dc4c97</v>
      </c>
      <c r="B151" s="4" t="str">
        <f>tbl_raw[[#This Row],[category]]</f>
        <v>computers_accessories</v>
      </c>
      <c r="C151" s="2">
        <f>tbl_raw[[#This Row],[gross_revenue]]</f>
        <v>7697.4</v>
      </c>
      <c r="D151" s="2">
        <f>tbl_raw[[#This Row],[return_loss]]</f>
        <v>7.2</v>
      </c>
      <c r="E151" s="2">
        <f t="shared" si="2"/>
        <v>7690.2</v>
      </c>
      <c r="F151" s="2">
        <f>tbl_raw[[#This Row],[cogs]]</f>
        <v>4387.5200000000004</v>
      </c>
      <c r="G151" s="2">
        <f>SUM(tbl_raw[[#This Row],[storage_cost]:[freight_cost]])</f>
        <v>578.77</v>
      </c>
      <c r="H151" s="2">
        <f>tbl_profitability[[#This Row],[net_revenue_after_returns]]-tbl_profitability[[#This Row],[cogs]]-tbl_profitability[[#This Row],[operating_costs]]</f>
        <v>2723.9099999999994</v>
      </c>
      <c r="I151" s="10">
        <f>(tbl_profitability[[#This Row],[gross_revenue]]-tbl_profitability[[#This Row],[cogs]])/tbl_profitability[[#This Row],[gross_revenue]]</f>
        <v>0.42999974017200604</v>
      </c>
      <c r="J151" s="10">
        <f>tbl_profitability[[#This Row],[net_profit]]/tbl_profitability[[#This Row],[gross_revenue]]</f>
        <v>0.35387403538857271</v>
      </c>
      <c r="K151" s="2">
        <f>(tbl_profitability[[#This Row],[cogs]]+tbl_profitability[[#This Row],[return_loss]]+tbl_profitability[[#This Row],[operating_costs]])/tbl_raw[[#This Row],[units_sold]]</f>
        <v>621.68624999999997</v>
      </c>
      <c r="L151" s="8" t="str">
        <f>tbl_raw[[#This Row],[decision]]</f>
        <v>EXIT</v>
      </c>
    </row>
    <row r="152" spans="1:12" x14ac:dyDescent="0.35">
      <c r="A152" s="3" t="str">
        <f>tbl_raw[[#This Row],[product_id]]</f>
        <v>2028bf1b01cafb2d2b1901fca4083222</v>
      </c>
      <c r="B152" s="4" t="str">
        <f>tbl_raw[[#This Row],[category]]</f>
        <v>perfumery</v>
      </c>
      <c r="C152" s="2">
        <f>tbl_raw[[#This Row],[gross_revenue]]</f>
        <v>7675.62</v>
      </c>
      <c r="D152" s="2">
        <f>tbl_raw[[#This Row],[return_loss]]</f>
        <v>49.68</v>
      </c>
      <c r="E152" s="2">
        <f t="shared" si="2"/>
        <v>7625.94</v>
      </c>
      <c r="F152" s="2">
        <f>tbl_raw[[#This Row],[cogs]]</f>
        <v>3223.76</v>
      </c>
      <c r="G152" s="2">
        <f>SUM(tbl_raw[[#This Row],[storage_cost]:[freight_cost]])</f>
        <v>2523.48</v>
      </c>
      <c r="H152" s="2">
        <f>tbl_profitability[[#This Row],[net_revenue_after_returns]]-tbl_profitability[[#This Row],[cogs]]-tbl_profitability[[#This Row],[operating_costs]]</f>
        <v>1878.6999999999994</v>
      </c>
      <c r="I152" s="10">
        <f>(tbl_profitability[[#This Row],[gross_revenue]]-tbl_profitability[[#This Row],[cogs]])/tbl_profitability[[#This Row],[gross_revenue]]</f>
        <v>0.58000005211305405</v>
      </c>
      <c r="J152" s="10">
        <f>tbl_profitability[[#This Row],[net_profit]]/tbl_profitability[[#This Row],[gross_revenue]]</f>
        <v>0.24476198665384677</v>
      </c>
      <c r="K152" s="2">
        <f>(tbl_profitability[[#This Row],[cogs]]+tbl_profitability[[#This Row],[return_loss]]+tbl_profitability[[#This Row],[operating_costs]])/tbl_raw[[#This Row],[units_sold]]</f>
        <v>42.006666666666668</v>
      </c>
      <c r="L152" s="8" t="str">
        <f>tbl_raw[[#This Row],[decision]]</f>
        <v>OPTIMIZE</v>
      </c>
    </row>
    <row r="153" spans="1:12" x14ac:dyDescent="0.35">
      <c r="A153" s="3" t="str">
        <f>tbl_raw[[#This Row],[product_id]]</f>
        <v>7614c62b86a81021243e438cfde78ccc</v>
      </c>
      <c r="B153" s="4" t="str">
        <f>tbl_raw[[#This Row],[category]]</f>
        <v>health_beauty</v>
      </c>
      <c r="C153" s="2">
        <f>tbl_raw[[#This Row],[gross_revenue]]</f>
        <v>7539.51</v>
      </c>
      <c r="D153" s="2">
        <f>tbl_raw[[#This Row],[return_loss]]</f>
        <v>5.4</v>
      </c>
      <c r="E153" s="2">
        <f t="shared" si="2"/>
        <v>7534.1100000000006</v>
      </c>
      <c r="F153" s="2">
        <f>tbl_raw[[#This Row],[cogs]]</f>
        <v>3166.59</v>
      </c>
      <c r="G153" s="2">
        <f>SUM(tbl_raw[[#This Row],[storage_cost]:[freight_cost]])</f>
        <v>570.76</v>
      </c>
      <c r="H153" s="2">
        <f>tbl_profitability[[#This Row],[net_revenue_after_returns]]-tbl_profitability[[#This Row],[cogs]]-tbl_profitability[[#This Row],[operating_costs]]</f>
        <v>3796.76</v>
      </c>
      <c r="I153" s="10">
        <f>(tbl_profitability[[#This Row],[gross_revenue]]-tbl_profitability[[#This Row],[cogs]])/tbl_profitability[[#This Row],[gross_revenue]]</f>
        <v>0.58000055706537956</v>
      </c>
      <c r="J153" s="10">
        <f>tbl_profitability[[#This Row],[net_profit]]/tbl_profitability[[#This Row],[gross_revenue]]</f>
        <v>0.50358179775608758</v>
      </c>
      <c r="K153" s="2">
        <f>(tbl_profitability[[#This Row],[cogs]]+tbl_profitability[[#This Row],[return_loss]]+tbl_profitability[[#This Row],[operating_costs]])/tbl_raw[[#This Row],[units_sold]]</f>
        <v>249.51666666666668</v>
      </c>
      <c r="L153" s="8" t="str">
        <f>tbl_raw[[#This Row],[decision]]</f>
        <v>SCALE</v>
      </c>
    </row>
    <row r="154" spans="1:12" x14ac:dyDescent="0.35">
      <c r="A154" s="3" t="str">
        <f>tbl_raw[[#This Row],[product_id]]</f>
        <v>f8b624d4e475bb8d1bddf1b65c6a64f6</v>
      </c>
      <c r="B154" s="4" t="str">
        <f>tbl_raw[[#This Row],[category]]</f>
        <v>housewares</v>
      </c>
      <c r="C154" s="2">
        <f>tbl_raw[[#This Row],[gross_revenue]]</f>
        <v>7518</v>
      </c>
      <c r="D154" s="2">
        <f>tbl_raw[[#This Row],[return_loss]]</f>
        <v>15.12</v>
      </c>
      <c r="E154" s="2">
        <f t="shared" si="2"/>
        <v>7502.88</v>
      </c>
      <c r="F154" s="2">
        <f>tbl_raw[[#This Row],[cogs]]</f>
        <v>3383.1</v>
      </c>
      <c r="G154" s="2">
        <f>SUM(tbl_raw[[#This Row],[storage_cost]:[freight_cost]])</f>
        <v>1334.17</v>
      </c>
      <c r="H154" s="2">
        <f>tbl_profitability[[#This Row],[net_revenue_after_returns]]-tbl_profitability[[#This Row],[cogs]]-tbl_profitability[[#This Row],[operating_costs]]</f>
        <v>2785.6100000000006</v>
      </c>
      <c r="I154" s="10">
        <f>(tbl_profitability[[#This Row],[gross_revenue]]-tbl_profitability[[#This Row],[cogs]])/tbl_profitability[[#This Row],[gross_revenue]]</f>
        <v>0.54999999999999993</v>
      </c>
      <c r="J154" s="10">
        <f>tbl_profitability[[#This Row],[net_profit]]/tbl_profitability[[#This Row],[gross_revenue]]</f>
        <v>0.37052540569300352</v>
      </c>
      <c r="K154" s="2">
        <f>(tbl_profitability[[#This Row],[cogs]]+tbl_profitability[[#This Row],[return_loss]]+tbl_profitability[[#This Row],[operating_costs]])/tbl_raw[[#This Row],[units_sold]]</f>
        <v>112.67595238095237</v>
      </c>
      <c r="L154" s="8" t="str">
        <f>tbl_raw[[#This Row],[decision]]</f>
        <v>SCALE</v>
      </c>
    </row>
    <row r="155" spans="1:12" x14ac:dyDescent="0.35">
      <c r="A155" s="3" t="str">
        <f>tbl_raw[[#This Row],[product_id]]</f>
        <v>3f14d740544f37ece8a9e7bc8349797e</v>
      </c>
      <c r="B155" s="4" t="str">
        <f>tbl_raw[[#This Row],[category]]</f>
        <v>computers_accessories</v>
      </c>
      <c r="C155" s="2">
        <f>tbl_raw[[#This Row],[gross_revenue]]</f>
        <v>7476.36</v>
      </c>
      <c r="D155" s="2">
        <f>tbl_raw[[#This Row],[return_loss]]</f>
        <v>79.2</v>
      </c>
      <c r="E155" s="2">
        <f t="shared" si="2"/>
        <v>7397.16</v>
      </c>
      <c r="F155" s="2">
        <f>tbl_raw[[#This Row],[cogs]]</f>
        <v>4261.53</v>
      </c>
      <c r="G155" s="2">
        <f>SUM(tbl_raw[[#This Row],[storage_cost]:[freight_cost]])</f>
        <v>2493.79</v>
      </c>
      <c r="H155" s="2">
        <f>tbl_profitability[[#This Row],[net_revenue_after_returns]]-tbl_profitability[[#This Row],[cogs]]-tbl_profitability[[#This Row],[operating_costs]]</f>
        <v>641.84000000000015</v>
      </c>
      <c r="I155" s="10">
        <f>(tbl_profitability[[#This Row],[gross_revenue]]-tbl_profitability[[#This Row],[cogs]])/tbl_profitability[[#This Row],[gross_revenue]]</f>
        <v>0.42999935797634142</v>
      </c>
      <c r="J155" s="10">
        <f>tbl_profitability[[#This Row],[net_profit]]/tbl_profitability[[#This Row],[gross_revenue]]</f>
        <v>8.5849263545361668E-2</v>
      </c>
      <c r="K155" s="2">
        <f>(tbl_profitability[[#This Row],[cogs]]+tbl_profitability[[#This Row],[return_loss]]+tbl_profitability[[#This Row],[operating_costs]])/tbl_raw[[#This Row],[units_sold]]</f>
        <v>77.664999999999992</v>
      </c>
      <c r="L155" s="8" t="str">
        <f>tbl_raw[[#This Row],[decision]]</f>
        <v>EXIT</v>
      </c>
    </row>
    <row r="156" spans="1:12" x14ac:dyDescent="0.35">
      <c r="A156" s="3" t="str">
        <f>tbl_raw[[#This Row],[product_id]]</f>
        <v>0abc19e41fdc9d6894b8cae651619253</v>
      </c>
      <c r="B156" s="4" t="str">
        <f>tbl_raw[[#This Row],[category]]</f>
        <v>electronics</v>
      </c>
      <c r="C156" s="2">
        <f>tbl_raw[[#This Row],[gross_revenue]]</f>
        <v>7374.6</v>
      </c>
      <c r="D156" s="2">
        <f>tbl_raw[[#This Row],[return_loss]]</f>
        <v>2.7</v>
      </c>
      <c r="E156" s="2">
        <f t="shared" si="2"/>
        <v>7371.9000000000005</v>
      </c>
      <c r="F156" s="2">
        <f>tbl_raw[[#This Row],[cogs]]</f>
        <v>4203.5200000000004</v>
      </c>
      <c r="G156" s="2">
        <f>SUM(tbl_raw[[#This Row],[storage_cost]:[freight_cost]])</f>
        <v>454.67</v>
      </c>
      <c r="H156" s="2">
        <f>tbl_profitability[[#This Row],[net_revenue_after_returns]]-tbl_profitability[[#This Row],[cogs]]-tbl_profitability[[#This Row],[operating_costs]]</f>
        <v>2713.71</v>
      </c>
      <c r="I156" s="10">
        <f>(tbl_profitability[[#This Row],[gross_revenue]]-tbl_profitability[[#This Row],[cogs]])/tbl_profitability[[#This Row],[gross_revenue]]</f>
        <v>0.43000027120114986</v>
      </c>
      <c r="J156" s="10">
        <f>tbl_profitability[[#This Row],[net_profit]]/tbl_profitability[[#This Row],[gross_revenue]]</f>
        <v>0.36798063623789762</v>
      </c>
      <c r="K156" s="2">
        <f>(tbl_profitability[[#This Row],[cogs]]+tbl_profitability[[#This Row],[return_loss]]+tbl_profitability[[#This Row],[operating_costs]])/tbl_raw[[#This Row],[units_sold]]</f>
        <v>1553.63</v>
      </c>
      <c r="L156" s="8" t="str">
        <f>tbl_raw[[#This Row],[decision]]</f>
        <v>OPTIMIZE</v>
      </c>
    </row>
    <row r="157" spans="1:12" x14ac:dyDescent="0.35">
      <c r="A157" s="3" t="str">
        <f>tbl_raw[[#This Row],[product_id]]</f>
        <v>b0961721fd839e9982420e807758a2a6</v>
      </c>
      <c r="B157" s="4" t="str">
        <f>tbl_raw[[#This Row],[category]]</f>
        <v>garden_tools</v>
      </c>
      <c r="C157" s="2">
        <f>tbl_raw[[#This Row],[gross_revenue]]</f>
        <v>7333.7</v>
      </c>
      <c r="D157" s="2">
        <f>tbl_raw[[#This Row],[return_loss]]</f>
        <v>45.72</v>
      </c>
      <c r="E157" s="2">
        <f t="shared" si="2"/>
        <v>7287.98</v>
      </c>
      <c r="F157" s="2">
        <f>tbl_raw[[#This Row],[cogs]]</f>
        <v>3300.16</v>
      </c>
      <c r="G157" s="2">
        <f>SUM(tbl_raw[[#This Row],[storage_cost]:[freight_cost]])</f>
        <v>4459.9400000000005</v>
      </c>
      <c r="H157" s="2">
        <f>tbl_profitability[[#This Row],[net_revenue_after_returns]]-tbl_profitability[[#This Row],[cogs]]-tbl_profitability[[#This Row],[operating_costs]]</f>
        <v>-472.1200000000008</v>
      </c>
      <c r="I157" s="10">
        <f>(tbl_profitability[[#This Row],[gross_revenue]]-tbl_profitability[[#This Row],[cogs]])/tbl_profitability[[#This Row],[gross_revenue]]</f>
        <v>0.55000068178409267</v>
      </c>
      <c r="J157" s="10">
        <f>tbl_profitability[[#This Row],[net_profit]]/tbl_profitability[[#This Row],[gross_revenue]]</f>
        <v>-6.4376781160942059E-2</v>
      </c>
      <c r="K157" s="2">
        <f>(tbl_profitability[[#This Row],[cogs]]+tbl_profitability[[#This Row],[return_loss]]+tbl_profitability[[#This Row],[operating_costs]])/tbl_raw[[#This Row],[units_sold]]</f>
        <v>61.463149606299211</v>
      </c>
      <c r="L157" s="8" t="str">
        <f>tbl_raw[[#This Row],[decision]]</f>
        <v>EXIT</v>
      </c>
    </row>
    <row r="158" spans="1:12" x14ac:dyDescent="0.35">
      <c r="A158" s="3" t="str">
        <f>tbl_raw[[#This Row],[product_id]]</f>
        <v>d04e48982547095af81c231c3d581cb6</v>
      </c>
      <c r="B158" s="4" t="str">
        <f>tbl_raw[[#This Row],[category]]</f>
        <v>watches_gifts</v>
      </c>
      <c r="C158" s="2">
        <f>tbl_raw[[#This Row],[gross_revenue]]</f>
        <v>7201.5</v>
      </c>
      <c r="D158" s="2">
        <f>tbl_raw[[#This Row],[return_loss]]</f>
        <v>10.44</v>
      </c>
      <c r="E158" s="2">
        <f t="shared" si="2"/>
        <v>7191.06</v>
      </c>
      <c r="F158" s="2">
        <f>tbl_raw[[#This Row],[cogs]]</f>
        <v>3024.63</v>
      </c>
      <c r="G158" s="2">
        <f>SUM(tbl_raw[[#This Row],[storage_cost]:[freight_cost]])</f>
        <v>635.97</v>
      </c>
      <c r="H158" s="2">
        <f>tbl_profitability[[#This Row],[net_revenue_after_returns]]-tbl_profitability[[#This Row],[cogs]]-tbl_profitability[[#This Row],[operating_costs]]</f>
        <v>3530.46</v>
      </c>
      <c r="I158" s="10">
        <f>(tbl_profitability[[#This Row],[gross_revenue]]-tbl_profitability[[#This Row],[cogs]])/tbl_profitability[[#This Row],[gross_revenue]]</f>
        <v>0.57999999999999996</v>
      </c>
      <c r="J158" s="10">
        <f>tbl_profitability[[#This Row],[net_profit]]/tbl_profitability[[#This Row],[gross_revenue]]</f>
        <v>0.49023953343053533</v>
      </c>
      <c r="K158" s="2">
        <f>(tbl_profitability[[#This Row],[cogs]]+tbl_profitability[[#This Row],[return_loss]]+tbl_profitability[[#This Row],[operating_costs]])/tbl_raw[[#This Row],[units_sold]]</f>
        <v>126.58758620689655</v>
      </c>
      <c r="L158" s="8" t="str">
        <f>tbl_raw[[#This Row],[decision]]</f>
        <v>SCALE</v>
      </c>
    </row>
    <row r="159" spans="1:12" x14ac:dyDescent="0.35">
      <c r="A159" s="3" t="str">
        <f>tbl_raw[[#This Row],[product_id]]</f>
        <v>2d4500a3d35334916c955b3c365dbefe</v>
      </c>
      <c r="B159" s="4" t="str">
        <f>tbl_raw[[#This Row],[category]]</f>
        <v>small_appliances</v>
      </c>
      <c r="C159" s="2">
        <f>tbl_raw[[#This Row],[gross_revenue]]</f>
        <v>7194</v>
      </c>
      <c r="D159" s="2">
        <f>tbl_raw[[#This Row],[return_loss]]</f>
        <v>2.16</v>
      </c>
      <c r="E159" s="2">
        <f t="shared" si="2"/>
        <v>7191.84</v>
      </c>
      <c r="F159" s="2">
        <f>tbl_raw[[#This Row],[cogs]]</f>
        <v>4100.58</v>
      </c>
      <c r="G159" s="2">
        <f>SUM(tbl_raw[[#This Row],[storage_cost]:[freight_cost]])</f>
        <v>214.33</v>
      </c>
      <c r="H159" s="2">
        <f>tbl_profitability[[#This Row],[net_revenue_after_returns]]-tbl_profitability[[#This Row],[cogs]]-tbl_profitability[[#This Row],[operating_costs]]</f>
        <v>2876.9300000000003</v>
      </c>
      <c r="I159" s="10">
        <f>(tbl_profitability[[#This Row],[gross_revenue]]-tbl_profitability[[#This Row],[cogs]])/tbl_profitability[[#This Row],[gross_revenue]]</f>
        <v>0.43</v>
      </c>
      <c r="J159" s="10">
        <f>tbl_profitability[[#This Row],[net_profit]]/tbl_profitability[[#This Row],[gross_revenue]]</f>
        <v>0.39990686683347237</v>
      </c>
      <c r="K159" s="2">
        <f>(tbl_profitability[[#This Row],[cogs]]+tbl_profitability[[#This Row],[return_loss]]+tbl_profitability[[#This Row],[operating_costs]])/tbl_raw[[#This Row],[units_sold]]</f>
        <v>719.51166666666666</v>
      </c>
      <c r="L159" s="8" t="str">
        <f>tbl_raw[[#This Row],[decision]]</f>
        <v>SCALE</v>
      </c>
    </row>
    <row r="160" spans="1:12" x14ac:dyDescent="0.35">
      <c r="A160" s="3" t="str">
        <f>tbl_raw[[#This Row],[product_id]]</f>
        <v>7fb04722aba7a2b632bac8f9819796f3</v>
      </c>
      <c r="B160" s="4" t="str">
        <f>tbl_raw[[#This Row],[category]]</f>
        <v>health_beauty</v>
      </c>
      <c r="C160" s="2">
        <f>tbl_raw[[#This Row],[gross_revenue]]</f>
        <v>7185.1</v>
      </c>
      <c r="D160" s="2">
        <f>tbl_raw[[#This Row],[return_loss]]</f>
        <v>31.32</v>
      </c>
      <c r="E160" s="2">
        <f t="shared" si="2"/>
        <v>7153.7800000000007</v>
      </c>
      <c r="F160" s="2">
        <f>tbl_raw[[#This Row],[cogs]]</f>
        <v>3017.74</v>
      </c>
      <c r="G160" s="2">
        <f>SUM(tbl_raw[[#This Row],[storage_cost]:[freight_cost]])</f>
        <v>2193.3599999999997</v>
      </c>
      <c r="H160" s="2">
        <f>tbl_profitability[[#This Row],[net_revenue_after_returns]]-tbl_profitability[[#This Row],[cogs]]-tbl_profitability[[#This Row],[operating_costs]]</f>
        <v>1942.6800000000012</v>
      </c>
      <c r="I160" s="10">
        <f>(tbl_profitability[[#This Row],[gross_revenue]]-tbl_profitability[[#This Row],[cogs]])/tbl_profitability[[#This Row],[gross_revenue]]</f>
        <v>0.58000027835381562</v>
      </c>
      <c r="J160" s="10">
        <f>tbl_profitability[[#This Row],[net_profit]]/tbl_profitability[[#This Row],[gross_revenue]]</f>
        <v>0.27037619518169559</v>
      </c>
      <c r="K160" s="2">
        <f>(tbl_profitability[[#This Row],[cogs]]+tbl_profitability[[#This Row],[return_loss]]+tbl_profitability[[#This Row],[operating_costs]])/tbl_raw[[#This Row],[units_sold]]</f>
        <v>60.257701149425287</v>
      </c>
      <c r="L160" s="8" t="str">
        <f>tbl_raw[[#This Row],[decision]]</f>
        <v>SCALE</v>
      </c>
    </row>
    <row r="161" spans="1:12" x14ac:dyDescent="0.35">
      <c r="A161" s="3" t="str">
        <f>tbl_raw[[#This Row],[product_id]]</f>
        <v>93c902b021a9e594f658ab1b0351602a</v>
      </c>
      <c r="B161" s="4" t="str">
        <f>tbl_raw[[#This Row],[category]]</f>
        <v>electronics</v>
      </c>
      <c r="C161" s="2">
        <f>tbl_raw[[#This Row],[gross_revenue]]</f>
        <v>7112.9</v>
      </c>
      <c r="D161" s="2">
        <f>tbl_raw[[#This Row],[return_loss]]</f>
        <v>63.9</v>
      </c>
      <c r="E161" s="2">
        <f t="shared" si="2"/>
        <v>7049</v>
      </c>
      <c r="F161" s="2">
        <f>tbl_raw[[#This Row],[cogs]]</f>
        <v>4054.35</v>
      </c>
      <c r="G161" s="2">
        <f>SUM(tbl_raw[[#This Row],[storage_cost]:[freight_cost]])</f>
        <v>1725.66</v>
      </c>
      <c r="H161" s="2">
        <f>tbl_profitability[[#This Row],[net_revenue_after_returns]]-tbl_profitability[[#This Row],[cogs]]-tbl_profitability[[#This Row],[operating_costs]]</f>
        <v>1268.99</v>
      </c>
      <c r="I161" s="10">
        <f>(tbl_profitability[[#This Row],[gross_revenue]]-tbl_profitability[[#This Row],[cogs]])/tbl_profitability[[#This Row],[gross_revenue]]</f>
        <v>0.43000042176889874</v>
      </c>
      <c r="J161" s="10">
        <f>tbl_profitability[[#This Row],[net_profit]]/tbl_profitability[[#This Row],[gross_revenue]]</f>
        <v>0.17840683827974527</v>
      </c>
      <c r="K161" s="2">
        <f>(tbl_profitability[[#This Row],[cogs]]+tbl_profitability[[#This Row],[return_loss]]+tbl_profitability[[#This Row],[operating_costs]])/tbl_raw[[#This Row],[units_sold]]</f>
        <v>82.30859154929577</v>
      </c>
      <c r="L161" s="8" t="str">
        <f>tbl_raw[[#This Row],[decision]]</f>
        <v>OPTIMIZE</v>
      </c>
    </row>
    <row r="162" spans="1:12" x14ac:dyDescent="0.35">
      <c r="A162" s="3" t="str">
        <f>tbl_raw[[#This Row],[product_id]]</f>
        <v>61937887eb6ee0b405a5759756426486</v>
      </c>
      <c r="B162" s="4" t="str">
        <f>tbl_raw[[#This Row],[category]]</f>
        <v>health_beauty</v>
      </c>
      <c r="C162" s="2">
        <f>tbl_raw[[#This Row],[gross_revenue]]</f>
        <v>7110.5</v>
      </c>
      <c r="D162" s="2">
        <f>tbl_raw[[#This Row],[return_loss]]</f>
        <v>3.24</v>
      </c>
      <c r="E162" s="2">
        <f t="shared" si="2"/>
        <v>7107.26</v>
      </c>
      <c r="F162" s="2">
        <f>tbl_raw[[#This Row],[cogs]]</f>
        <v>2986.41</v>
      </c>
      <c r="G162" s="2">
        <f>SUM(tbl_raw[[#This Row],[storage_cost]:[freight_cost]])</f>
        <v>290.16999999999996</v>
      </c>
      <c r="H162" s="2">
        <f>tbl_profitability[[#This Row],[net_revenue_after_returns]]-tbl_profitability[[#This Row],[cogs]]-tbl_profitability[[#This Row],[operating_costs]]</f>
        <v>3830.6800000000003</v>
      </c>
      <c r="I162" s="10">
        <f>(tbl_profitability[[#This Row],[gross_revenue]]-tbl_profitability[[#This Row],[cogs]])/tbl_profitability[[#This Row],[gross_revenue]]</f>
        <v>0.58000000000000007</v>
      </c>
      <c r="J162" s="10">
        <f>tbl_profitability[[#This Row],[net_profit]]/tbl_profitability[[#This Row],[gross_revenue]]</f>
        <v>0.53873567259686383</v>
      </c>
      <c r="K162" s="2">
        <f>(tbl_profitability[[#This Row],[cogs]]+tbl_profitability[[#This Row],[return_loss]]+tbl_profitability[[#This Row],[operating_costs]])/tbl_raw[[#This Row],[units_sold]]</f>
        <v>364.42444444444442</v>
      </c>
      <c r="L162" s="8" t="str">
        <f>tbl_raw[[#This Row],[decision]]</f>
        <v>SCALE</v>
      </c>
    </row>
    <row r="163" spans="1:12" x14ac:dyDescent="0.35">
      <c r="A163" s="3" t="str">
        <f>tbl_raw[[#This Row],[product_id]]</f>
        <v>a9516a079e37a9c9c36b9b78b10169e8</v>
      </c>
      <c r="B163" s="4" t="str">
        <f>tbl_raw[[#This Row],[category]]</f>
        <v>office_furniture</v>
      </c>
      <c r="C163" s="2">
        <f>tbl_raw[[#This Row],[gross_revenue]]</f>
        <v>7042.41</v>
      </c>
      <c r="D163" s="2">
        <f>tbl_raw[[#This Row],[return_loss]]</f>
        <v>21.24</v>
      </c>
      <c r="E163" s="2">
        <f t="shared" si="2"/>
        <v>7021.17</v>
      </c>
      <c r="F163" s="2">
        <f>tbl_raw[[#This Row],[cogs]]</f>
        <v>3169.08</v>
      </c>
      <c r="G163" s="2">
        <f>SUM(tbl_raw[[#This Row],[storage_cost]:[freight_cost]])</f>
        <v>2556.0500000000002</v>
      </c>
      <c r="H163" s="2">
        <f>tbl_profitability[[#This Row],[net_revenue_after_returns]]-tbl_profitability[[#This Row],[cogs]]-tbl_profitability[[#This Row],[operating_costs]]</f>
        <v>1296.04</v>
      </c>
      <c r="I163" s="10">
        <f>(tbl_profitability[[#This Row],[gross_revenue]]-tbl_profitability[[#This Row],[cogs]])/tbl_profitability[[#This Row],[gross_revenue]]</f>
        <v>0.55000063898580176</v>
      </c>
      <c r="J163" s="10">
        <f>tbl_profitability[[#This Row],[net_profit]]/tbl_profitability[[#This Row],[gross_revenue]]</f>
        <v>0.184033590773613</v>
      </c>
      <c r="K163" s="2">
        <f>(tbl_profitability[[#This Row],[cogs]]+tbl_profitability[[#This Row],[return_loss]]+tbl_profitability[[#This Row],[operating_costs]])/tbl_raw[[#This Row],[units_sold]]</f>
        <v>97.396101694915259</v>
      </c>
      <c r="L163" s="8" t="str">
        <f>tbl_raw[[#This Row],[decision]]</f>
        <v>OPTIMIZE</v>
      </c>
    </row>
    <row r="164" spans="1:12" x14ac:dyDescent="0.35">
      <c r="A164" s="3" t="str">
        <f>tbl_raw[[#This Row],[product_id]]</f>
        <v>a3cd9517ebf5a50dca25acce54f3b171</v>
      </c>
      <c r="B164" s="4" t="str">
        <f>tbl_raw[[#This Row],[category]]</f>
        <v>housewares</v>
      </c>
      <c r="C164" s="2">
        <f>tbl_raw[[#This Row],[gross_revenue]]</f>
        <v>7014.24</v>
      </c>
      <c r="D164" s="2">
        <f>tbl_raw[[#This Row],[return_loss]]</f>
        <v>1.08</v>
      </c>
      <c r="E164" s="2">
        <f t="shared" si="2"/>
        <v>7013.16</v>
      </c>
      <c r="F164" s="2">
        <f>tbl_raw[[#This Row],[cogs]]</f>
        <v>3156.41</v>
      </c>
      <c r="G164" s="2">
        <f>SUM(tbl_raw[[#This Row],[storage_cost]:[freight_cost]])</f>
        <v>951.26</v>
      </c>
      <c r="H164" s="2">
        <f>tbl_profitability[[#This Row],[net_revenue_after_returns]]-tbl_profitability[[#This Row],[cogs]]-tbl_profitability[[#This Row],[operating_costs]]</f>
        <v>2905.49</v>
      </c>
      <c r="I164" s="10">
        <f>(tbl_profitability[[#This Row],[gross_revenue]]-tbl_profitability[[#This Row],[cogs]])/tbl_profitability[[#This Row],[gross_revenue]]</f>
        <v>0.54999971486575883</v>
      </c>
      <c r="J164" s="10">
        <f>tbl_profitability[[#This Row],[net_profit]]/tbl_profitability[[#This Row],[gross_revenue]]</f>
        <v>0.41422734323319416</v>
      </c>
      <c r="K164" s="2">
        <f>(tbl_profitability[[#This Row],[cogs]]+tbl_profitability[[#This Row],[return_loss]]+tbl_profitability[[#This Row],[operating_costs]])/tbl_raw[[#This Row],[units_sold]]</f>
        <v>1369.5833333333333</v>
      </c>
      <c r="L164" s="8" t="str">
        <f>tbl_raw[[#This Row],[decision]]</f>
        <v>SCALE</v>
      </c>
    </row>
    <row r="165" spans="1:12" x14ac:dyDescent="0.35">
      <c r="A165" s="3" t="str">
        <f>tbl_raw[[#This Row],[product_id]]</f>
        <v>5328338cfaa16ba10561cd970c73ca11</v>
      </c>
      <c r="B165" s="4" t="str">
        <f>tbl_raw[[#This Row],[category]]</f>
        <v>cool_stuff</v>
      </c>
      <c r="C165" s="2">
        <f>tbl_raw[[#This Row],[gross_revenue]]</f>
        <v>7004</v>
      </c>
      <c r="D165" s="2">
        <f>tbl_raw[[#This Row],[return_loss]]</f>
        <v>12.6</v>
      </c>
      <c r="E165" s="2">
        <f t="shared" si="2"/>
        <v>6991.4</v>
      </c>
      <c r="F165" s="2">
        <f>tbl_raw[[#This Row],[cogs]]</f>
        <v>3151.8</v>
      </c>
      <c r="G165" s="2">
        <f>SUM(tbl_raw[[#This Row],[storage_cost]:[freight_cost]])</f>
        <v>1182.3899999999999</v>
      </c>
      <c r="H165" s="2">
        <f>tbl_profitability[[#This Row],[net_revenue_after_returns]]-tbl_profitability[[#This Row],[cogs]]-tbl_profitability[[#This Row],[operating_costs]]</f>
        <v>2657.2099999999996</v>
      </c>
      <c r="I165" s="10">
        <f>(tbl_profitability[[#This Row],[gross_revenue]]-tbl_profitability[[#This Row],[cogs]])/tbl_profitability[[#This Row],[gross_revenue]]</f>
        <v>0.54999999999999993</v>
      </c>
      <c r="J165" s="10">
        <f>tbl_profitability[[#This Row],[net_profit]]/tbl_profitability[[#This Row],[gross_revenue]]</f>
        <v>0.3793846373500856</v>
      </c>
      <c r="K165" s="2">
        <f>(tbl_profitability[[#This Row],[cogs]]+tbl_profitability[[#This Row],[return_loss]]+tbl_profitability[[#This Row],[operating_costs]])/tbl_raw[[#This Row],[units_sold]]</f>
        <v>124.194</v>
      </c>
      <c r="L165" s="8" t="str">
        <f>tbl_raw[[#This Row],[decision]]</f>
        <v>SCALE</v>
      </c>
    </row>
    <row r="166" spans="1:12" x14ac:dyDescent="0.35">
      <c r="A166" s="3" t="str">
        <f>tbl_raw[[#This Row],[product_id]]</f>
        <v>43944a8f8f0b7ae86b6c3d3c2f257375</v>
      </c>
      <c r="B166" s="4" t="str">
        <f>tbl_raw[[#This Row],[category]]</f>
        <v>home_appliances</v>
      </c>
      <c r="C166" s="2">
        <f>tbl_raw[[#This Row],[gross_revenue]]</f>
        <v>6990</v>
      </c>
      <c r="D166" s="2">
        <f>tbl_raw[[#This Row],[return_loss]]</f>
        <v>3.6</v>
      </c>
      <c r="E166" s="2">
        <f t="shared" si="2"/>
        <v>6986.4</v>
      </c>
      <c r="F166" s="2">
        <f>tbl_raw[[#This Row],[cogs]]</f>
        <v>3984.3</v>
      </c>
      <c r="G166" s="2">
        <f>SUM(tbl_raw[[#This Row],[storage_cost]:[freight_cost]])</f>
        <v>587.88</v>
      </c>
      <c r="H166" s="2">
        <f>tbl_profitability[[#This Row],[net_revenue_after_returns]]-tbl_profitability[[#This Row],[cogs]]-tbl_profitability[[#This Row],[operating_costs]]</f>
        <v>2414.2199999999993</v>
      </c>
      <c r="I166" s="10">
        <f>(tbl_profitability[[#This Row],[gross_revenue]]-tbl_profitability[[#This Row],[cogs]])/tbl_profitability[[#This Row],[gross_revenue]]</f>
        <v>0.43</v>
      </c>
      <c r="J166" s="10">
        <f>tbl_profitability[[#This Row],[net_profit]]/tbl_profitability[[#This Row],[gross_revenue]]</f>
        <v>0.34538197424892697</v>
      </c>
      <c r="K166" s="2">
        <f>(tbl_profitability[[#This Row],[cogs]]+tbl_profitability[[#This Row],[return_loss]]+tbl_profitability[[#This Row],[operating_costs]])/tbl_raw[[#This Row],[units_sold]]</f>
        <v>457.57799999999997</v>
      </c>
      <c r="L166" s="8" t="str">
        <f>tbl_raw[[#This Row],[decision]]</f>
        <v>SCALE</v>
      </c>
    </row>
    <row r="167" spans="1:12" x14ac:dyDescent="0.35">
      <c r="A167" s="3" t="str">
        <f>tbl_raw[[#This Row],[product_id]]</f>
        <v>41cd333a4af5e36df81fc0b83ccf8e2d</v>
      </c>
      <c r="B167" s="4" t="str">
        <f>tbl_raw[[#This Row],[category]]</f>
        <v>baby</v>
      </c>
      <c r="C167" s="2">
        <f>tbl_raw[[#This Row],[gross_revenue]]</f>
        <v>6975.9</v>
      </c>
      <c r="D167" s="2">
        <f>tbl_raw[[#This Row],[return_loss]]</f>
        <v>6.48</v>
      </c>
      <c r="E167" s="2">
        <f t="shared" si="2"/>
        <v>6969.42</v>
      </c>
      <c r="F167" s="2">
        <f>tbl_raw[[#This Row],[cogs]]</f>
        <v>2929.88</v>
      </c>
      <c r="G167" s="2">
        <f>SUM(tbl_raw[[#This Row],[storage_cost]:[freight_cost]])</f>
        <v>560.85</v>
      </c>
      <c r="H167" s="2">
        <f>tbl_profitability[[#This Row],[net_revenue_after_returns]]-tbl_profitability[[#This Row],[cogs]]-tbl_profitability[[#This Row],[operating_costs]]</f>
        <v>3478.69</v>
      </c>
      <c r="I167" s="10">
        <f>(tbl_profitability[[#This Row],[gross_revenue]]-tbl_profitability[[#This Row],[cogs]])/tbl_profitability[[#This Row],[gross_revenue]]</f>
        <v>0.57999971329864242</v>
      </c>
      <c r="J167" s="10">
        <f>tbl_profitability[[#This Row],[net_profit]]/tbl_profitability[[#This Row],[gross_revenue]]</f>
        <v>0.49867257271463183</v>
      </c>
      <c r="K167" s="2">
        <f>(tbl_profitability[[#This Row],[cogs]]+tbl_profitability[[#This Row],[return_loss]]+tbl_profitability[[#This Row],[operating_costs]])/tbl_raw[[#This Row],[units_sold]]</f>
        <v>194.28944444444446</v>
      </c>
      <c r="L167" s="8" t="str">
        <f>tbl_raw[[#This Row],[decision]]</f>
        <v>OPTIMIZE</v>
      </c>
    </row>
    <row r="168" spans="1:12" x14ac:dyDescent="0.35">
      <c r="A168" s="3" t="str">
        <f>tbl_raw[[#This Row],[product_id]]</f>
        <v>dbb67791e405873b259e4656bf971246</v>
      </c>
      <c r="B168" s="4" t="str">
        <f>tbl_raw[[#This Row],[category]]</f>
        <v>computers_accessories</v>
      </c>
      <c r="C168" s="2">
        <f>tbl_raw[[#This Row],[gross_revenue]]</f>
        <v>6975.37</v>
      </c>
      <c r="D168" s="2">
        <f>tbl_raw[[#This Row],[return_loss]]</f>
        <v>79.2</v>
      </c>
      <c r="E168" s="2">
        <f t="shared" si="2"/>
        <v>6896.17</v>
      </c>
      <c r="F168" s="2">
        <f>tbl_raw[[#This Row],[cogs]]</f>
        <v>3975.96</v>
      </c>
      <c r="G168" s="2">
        <f>SUM(tbl_raw[[#This Row],[storage_cost]:[freight_cost]])</f>
        <v>2023.57</v>
      </c>
      <c r="H168" s="2">
        <f>tbl_profitability[[#This Row],[net_revenue_after_returns]]-tbl_profitability[[#This Row],[cogs]]-tbl_profitability[[#This Row],[operating_costs]]</f>
        <v>896.6400000000001</v>
      </c>
      <c r="I168" s="10">
        <f>(tbl_profitability[[#This Row],[gross_revenue]]-tbl_profitability[[#This Row],[cogs]])/tbl_profitability[[#This Row],[gross_revenue]]</f>
        <v>0.43000012902541368</v>
      </c>
      <c r="J168" s="10">
        <f>tbl_profitability[[#This Row],[net_profit]]/tbl_profitability[[#This Row],[gross_revenue]]</f>
        <v>0.12854371882781848</v>
      </c>
      <c r="K168" s="2">
        <f>(tbl_profitability[[#This Row],[cogs]]+tbl_profitability[[#This Row],[return_loss]]+tbl_profitability[[#This Row],[operating_costs]])/tbl_raw[[#This Row],[units_sold]]</f>
        <v>69.076477272727274</v>
      </c>
      <c r="L168" s="8" t="str">
        <f>tbl_raw[[#This Row],[decision]]</f>
        <v>OPTIMIZE</v>
      </c>
    </row>
    <row r="169" spans="1:12" x14ac:dyDescent="0.35">
      <c r="A169" s="3" t="str">
        <f>tbl_raw[[#This Row],[product_id]]</f>
        <v>363218ba55c610b750224f90bdd34be1</v>
      </c>
      <c r="B169" s="4" t="str">
        <f>tbl_raw[[#This Row],[category]]</f>
        <v>bed_bath_table</v>
      </c>
      <c r="C169" s="2">
        <f>tbl_raw[[#This Row],[gross_revenue]]</f>
        <v>6923.33</v>
      </c>
      <c r="D169" s="2">
        <f>tbl_raw[[#This Row],[return_loss]]</f>
        <v>30.96</v>
      </c>
      <c r="E169" s="2">
        <f t="shared" si="2"/>
        <v>6892.37</v>
      </c>
      <c r="F169" s="2">
        <f>tbl_raw[[#This Row],[cogs]]</f>
        <v>3115.5</v>
      </c>
      <c r="G169" s="2">
        <f>SUM(tbl_raw[[#This Row],[storage_cost]:[freight_cost]])</f>
        <v>1894.49</v>
      </c>
      <c r="H169" s="2">
        <f>tbl_profitability[[#This Row],[net_revenue_after_returns]]-tbl_profitability[[#This Row],[cogs]]-tbl_profitability[[#This Row],[operating_costs]]</f>
        <v>1882.3799999999999</v>
      </c>
      <c r="I169" s="10">
        <f>(tbl_profitability[[#This Row],[gross_revenue]]-tbl_profitability[[#This Row],[cogs]])/tbl_profitability[[#This Row],[gross_revenue]]</f>
        <v>0.54999978334125343</v>
      </c>
      <c r="J169" s="10">
        <f>tbl_profitability[[#This Row],[net_profit]]/tbl_profitability[[#This Row],[gross_revenue]]</f>
        <v>0.27188939426547626</v>
      </c>
      <c r="K169" s="2">
        <f>(tbl_profitability[[#This Row],[cogs]]+tbl_profitability[[#This Row],[return_loss]]+tbl_profitability[[#This Row],[operating_costs]])/tbl_raw[[#This Row],[units_sold]]</f>
        <v>58.615697674418605</v>
      </c>
      <c r="L169" s="8" t="str">
        <f>tbl_raw[[#This Row],[decision]]</f>
        <v>SCALE</v>
      </c>
    </row>
    <row r="170" spans="1:12" x14ac:dyDescent="0.35">
      <c r="A170" s="3" t="str">
        <f>tbl_raw[[#This Row],[product_id]]</f>
        <v>8b52d90d2e8716dad633486c6cc94ecf</v>
      </c>
      <c r="B170" s="4" t="str">
        <f>tbl_raw[[#This Row],[category]]</f>
        <v>telephony</v>
      </c>
      <c r="C170" s="2">
        <f>tbl_raw[[#This Row],[gross_revenue]]</f>
        <v>6923</v>
      </c>
      <c r="D170" s="2">
        <f>tbl_raw[[#This Row],[return_loss]]</f>
        <v>6.3</v>
      </c>
      <c r="E170" s="2">
        <f t="shared" si="2"/>
        <v>6916.7</v>
      </c>
      <c r="F170" s="2">
        <f>tbl_raw[[#This Row],[cogs]]</f>
        <v>3946.11</v>
      </c>
      <c r="G170" s="2">
        <f>SUM(tbl_raw[[#This Row],[storage_cost]:[freight_cost]])</f>
        <v>195.19</v>
      </c>
      <c r="H170" s="2">
        <f>tbl_profitability[[#This Row],[net_revenue_after_returns]]-tbl_profitability[[#This Row],[cogs]]-tbl_profitability[[#This Row],[operating_costs]]</f>
        <v>2775.3999999999996</v>
      </c>
      <c r="I170" s="10">
        <f>(tbl_profitability[[#This Row],[gross_revenue]]-tbl_profitability[[#This Row],[cogs]])/tbl_profitability[[#This Row],[gross_revenue]]</f>
        <v>0.43</v>
      </c>
      <c r="J170" s="10">
        <f>tbl_profitability[[#This Row],[net_profit]]/tbl_profitability[[#This Row],[gross_revenue]]</f>
        <v>0.40089556550628336</v>
      </c>
      <c r="K170" s="2">
        <f>(tbl_profitability[[#This Row],[cogs]]+tbl_profitability[[#This Row],[return_loss]]+tbl_profitability[[#This Row],[operating_costs]])/tbl_raw[[#This Row],[units_sold]]</f>
        <v>592.51428571428573</v>
      </c>
      <c r="L170" s="8" t="str">
        <f>tbl_raw[[#This Row],[decision]]</f>
        <v>EXIT</v>
      </c>
    </row>
    <row r="171" spans="1:12" x14ac:dyDescent="0.35">
      <c r="A171" s="3" t="str">
        <f>tbl_raw[[#This Row],[product_id]]</f>
        <v>4178e16324fd0c9a8e18463caf390cc6</v>
      </c>
      <c r="B171" s="4" t="str">
        <f>tbl_raw[[#This Row],[category]]</f>
        <v>cool_stuff</v>
      </c>
      <c r="C171" s="2">
        <f>tbl_raw[[#This Row],[gross_revenue]]</f>
        <v>6918</v>
      </c>
      <c r="D171" s="2">
        <f>tbl_raw[[#This Row],[return_loss]]</f>
        <v>9.36</v>
      </c>
      <c r="E171" s="2">
        <f t="shared" si="2"/>
        <v>6908.64</v>
      </c>
      <c r="F171" s="2">
        <f>tbl_raw[[#This Row],[cogs]]</f>
        <v>3113.1</v>
      </c>
      <c r="G171" s="2">
        <f>SUM(tbl_raw[[#This Row],[storage_cost]:[freight_cost]])</f>
        <v>1088.3899999999999</v>
      </c>
      <c r="H171" s="2">
        <f>tbl_profitability[[#This Row],[net_revenue_after_returns]]-tbl_profitability[[#This Row],[cogs]]-tbl_profitability[[#This Row],[operating_costs]]</f>
        <v>2707.1500000000005</v>
      </c>
      <c r="I171" s="10">
        <f>(tbl_profitability[[#This Row],[gross_revenue]]-tbl_profitability[[#This Row],[cogs]])/tbl_profitability[[#This Row],[gross_revenue]]</f>
        <v>0.55000000000000004</v>
      </c>
      <c r="J171" s="10">
        <f>tbl_profitability[[#This Row],[net_profit]]/tbl_profitability[[#This Row],[gross_revenue]]</f>
        <v>0.39131974559121141</v>
      </c>
      <c r="K171" s="2">
        <f>(tbl_profitability[[#This Row],[cogs]]+tbl_profitability[[#This Row],[return_loss]]+tbl_profitability[[#This Row],[operating_costs]])/tbl_raw[[#This Row],[units_sold]]</f>
        <v>161.95576923076925</v>
      </c>
      <c r="L171" s="8" t="str">
        <f>tbl_raw[[#This Row],[decision]]</f>
        <v>SCALE</v>
      </c>
    </row>
    <row r="172" spans="1:12" x14ac:dyDescent="0.35">
      <c r="A172" s="3" t="str">
        <f>tbl_raw[[#This Row],[product_id]]</f>
        <v>672e757f331900b9deea127a2a7b79fd</v>
      </c>
      <c r="B172" s="4" t="str">
        <f>tbl_raw[[#This Row],[category]]</f>
        <v>agro_industry_and_commerce</v>
      </c>
      <c r="C172" s="2">
        <f>tbl_raw[[#This Row],[gross_revenue]]</f>
        <v>6885</v>
      </c>
      <c r="D172" s="2">
        <f>tbl_raw[[#This Row],[return_loss]]</f>
        <v>6.12</v>
      </c>
      <c r="E172" s="2">
        <f t="shared" si="2"/>
        <v>6878.88</v>
      </c>
      <c r="F172" s="2">
        <f>tbl_raw[[#This Row],[cogs]]</f>
        <v>3098.25</v>
      </c>
      <c r="G172" s="2">
        <f>SUM(tbl_raw[[#This Row],[storage_cost]:[freight_cost]])</f>
        <v>543.33999999999992</v>
      </c>
      <c r="H172" s="2">
        <f>tbl_profitability[[#This Row],[net_revenue_after_returns]]-tbl_profitability[[#This Row],[cogs]]-tbl_profitability[[#This Row],[operating_costs]]</f>
        <v>3237.29</v>
      </c>
      <c r="I172" s="10">
        <f>(tbl_profitability[[#This Row],[gross_revenue]]-tbl_profitability[[#This Row],[cogs]])/tbl_profitability[[#This Row],[gross_revenue]]</f>
        <v>0.55000000000000004</v>
      </c>
      <c r="J172" s="10">
        <f>tbl_profitability[[#This Row],[net_profit]]/tbl_profitability[[#This Row],[gross_revenue]]</f>
        <v>0.47019462599854756</v>
      </c>
      <c r="K172" s="2">
        <f>(tbl_profitability[[#This Row],[cogs]]+tbl_profitability[[#This Row],[return_loss]]+tbl_profitability[[#This Row],[operating_costs]])/tbl_raw[[#This Row],[units_sold]]</f>
        <v>214.57117647058823</v>
      </c>
      <c r="L172" s="8" t="str">
        <f>tbl_raw[[#This Row],[decision]]</f>
        <v>SCALE</v>
      </c>
    </row>
    <row r="173" spans="1:12" x14ac:dyDescent="0.35">
      <c r="A173" s="3" t="str">
        <f>tbl_raw[[#This Row],[product_id]]</f>
        <v>fbc1488c1a1e72ba175f53ab29a248e8</v>
      </c>
      <c r="B173" s="4" t="str">
        <f>tbl_raw[[#This Row],[category]]</f>
        <v>perfumery</v>
      </c>
      <c r="C173" s="2">
        <f>tbl_raw[[#This Row],[gross_revenue]]</f>
        <v>6872.49</v>
      </c>
      <c r="D173" s="2">
        <f>tbl_raw[[#This Row],[return_loss]]</f>
        <v>20.88</v>
      </c>
      <c r="E173" s="2">
        <f t="shared" si="2"/>
        <v>6851.61</v>
      </c>
      <c r="F173" s="2">
        <f>tbl_raw[[#This Row],[cogs]]</f>
        <v>2886.45</v>
      </c>
      <c r="G173" s="2">
        <f>SUM(tbl_raw[[#This Row],[storage_cost]:[freight_cost]])</f>
        <v>1174.52</v>
      </c>
      <c r="H173" s="2">
        <f>tbl_profitability[[#This Row],[net_revenue_after_returns]]-tbl_profitability[[#This Row],[cogs]]-tbl_profitability[[#This Row],[operating_costs]]</f>
        <v>2790.64</v>
      </c>
      <c r="I173" s="10">
        <f>(tbl_profitability[[#This Row],[gross_revenue]]-tbl_profitability[[#This Row],[cogs]])/tbl_profitability[[#This Row],[gross_revenue]]</f>
        <v>0.57999938886779034</v>
      </c>
      <c r="J173" s="10">
        <f>tbl_profitability[[#This Row],[net_profit]]/tbl_profitability[[#This Row],[gross_revenue]]</f>
        <v>0.40605952136707363</v>
      </c>
      <c r="K173" s="2">
        <f>(tbl_profitability[[#This Row],[cogs]]+tbl_profitability[[#This Row],[return_loss]]+tbl_profitability[[#This Row],[operating_costs]])/tbl_raw[[#This Row],[units_sold]]</f>
        <v>70.376724137931035</v>
      </c>
      <c r="L173" s="8" t="str">
        <f>tbl_raw[[#This Row],[decision]]</f>
        <v>SCALE</v>
      </c>
    </row>
    <row r="174" spans="1:12" x14ac:dyDescent="0.35">
      <c r="A174" s="3" t="str">
        <f>tbl_raw[[#This Row],[product_id]]</f>
        <v>d017a2151d543a9885604dc62a3d9dcc</v>
      </c>
      <c r="B174" s="4" t="str">
        <f>tbl_raw[[#This Row],[category]]</f>
        <v>fashion_bags_accessories</v>
      </c>
      <c r="C174" s="2">
        <f>tbl_raw[[#This Row],[gross_revenue]]</f>
        <v>6860</v>
      </c>
      <c r="D174" s="2">
        <f>tbl_raw[[#This Row],[return_loss]]</f>
        <v>126</v>
      </c>
      <c r="E174" s="2">
        <f t="shared" si="2"/>
        <v>6734</v>
      </c>
      <c r="F174" s="2">
        <f>tbl_raw[[#This Row],[cogs]]</f>
        <v>2881.2</v>
      </c>
      <c r="G174" s="2">
        <f>SUM(tbl_raw[[#This Row],[storage_cost]:[freight_cost]])</f>
        <v>2450.4700000000003</v>
      </c>
      <c r="H174" s="2">
        <f>tbl_profitability[[#This Row],[net_revenue_after_returns]]-tbl_profitability[[#This Row],[cogs]]-tbl_profitability[[#This Row],[operating_costs]]</f>
        <v>1402.33</v>
      </c>
      <c r="I174" s="10">
        <f>(tbl_profitability[[#This Row],[gross_revenue]]-tbl_profitability[[#This Row],[cogs]])/tbl_profitability[[#This Row],[gross_revenue]]</f>
        <v>0.58000000000000007</v>
      </c>
      <c r="J174" s="10">
        <f>tbl_profitability[[#This Row],[net_profit]]/tbl_profitability[[#This Row],[gross_revenue]]</f>
        <v>0.20442128279883381</v>
      </c>
      <c r="K174" s="2">
        <f>(tbl_profitability[[#This Row],[cogs]]+tbl_profitability[[#This Row],[return_loss]]+tbl_profitability[[#This Row],[operating_costs]])/tbl_raw[[#This Row],[units_sold]]</f>
        <v>38.983357142857145</v>
      </c>
      <c r="L174" s="8" t="str">
        <f>tbl_raw[[#This Row],[decision]]</f>
        <v>OPTIMIZE</v>
      </c>
    </row>
    <row r="175" spans="1:12" x14ac:dyDescent="0.35">
      <c r="A175" s="3" t="str">
        <f>tbl_raw[[#This Row],[product_id]]</f>
        <v>41c24b8ce92d1a2cac62db5edfd088b2</v>
      </c>
      <c r="B175" s="4" t="str">
        <f>tbl_raw[[#This Row],[category]]</f>
        <v>watches_gifts</v>
      </c>
      <c r="C175" s="2">
        <f>tbl_raw[[#This Row],[gross_revenue]]</f>
        <v>6859.81</v>
      </c>
      <c r="D175" s="2">
        <f>tbl_raw[[#This Row],[return_loss]]</f>
        <v>22.68</v>
      </c>
      <c r="E175" s="2">
        <f t="shared" si="2"/>
        <v>6837.13</v>
      </c>
      <c r="F175" s="2">
        <f>tbl_raw[[#This Row],[cogs]]</f>
        <v>2881.12</v>
      </c>
      <c r="G175" s="2">
        <f>SUM(tbl_raw[[#This Row],[storage_cost]:[freight_cost]])</f>
        <v>1370.59</v>
      </c>
      <c r="H175" s="2">
        <f>tbl_profitability[[#This Row],[net_revenue_after_returns]]-tbl_profitability[[#This Row],[cogs]]-tbl_profitability[[#This Row],[operating_costs]]</f>
        <v>2585.42</v>
      </c>
      <c r="I175" s="10">
        <f>(tbl_profitability[[#This Row],[gross_revenue]]-tbl_profitability[[#This Row],[cogs]])/tbl_profitability[[#This Row],[gross_revenue]]</f>
        <v>0.58000002915532645</v>
      </c>
      <c r="J175" s="10">
        <f>tbl_profitability[[#This Row],[net_profit]]/tbl_profitability[[#This Row],[gross_revenue]]</f>
        <v>0.37689382067433352</v>
      </c>
      <c r="K175" s="2">
        <f>(tbl_profitability[[#This Row],[cogs]]+tbl_profitability[[#This Row],[return_loss]]+tbl_profitability[[#This Row],[operating_costs]])/tbl_raw[[#This Row],[units_sold]]</f>
        <v>67.847460317460303</v>
      </c>
      <c r="L175" s="8" t="str">
        <f>tbl_raw[[#This Row],[decision]]</f>
        <v>SCALE</v>
      </c>
    </row>
    <row r="176" spans="1:12" x14ac:dyDescent="0.35">
      <c r="A176" s="3" t="str">
        <f>tbl_raw[[#This Row],[product_id]]</f>
        <v>64fb265487de2238627ce43fe8a67efc</v>
      </c>
      <c r="B176" s="4" t="str">
        <f>tbl_raw[[#This Row],[category]]</f>
        <v>bed_bath_table</v>
      </c>
      <c r="C176" s="2">
        <f>tbl_raw[[#This Row],[gross_revenue]]</f>
        <v>6846.09</v>
      </c>
      <c r="D176" s="2">
        <f>tbl_raw[[#This Row],[return_loss]]</f>
        <v>27</v>
      </c>
      <c r="E176" s="2">
        <f t="shared" si="2"/>
        <v>6819.09</v>
      </c>
      <c r="F176" s="2">
        <f>tbl_raw[[#This Row],[cogs]]</f>
        <v>3080.74</v>
      </c>
      <c r="G176" s="2">
        <f>SUM(tbl_raw[[#This Row],[storage_cost]:[freight_cost]])</f>
        <v>2316.12</v>
      </c>
      <c r="H176" s="2">
        <f>tbl_profitability[[#This Row],[net_revenue_after_returns]]-tbl_profitability[[#This Row],[cogs]]-tbl_profitability[[#This Row],[operating_costs]]</f>
        <v>1422.2300000000005</v>
      </c>
      <c r="I176" s="10">
        <f>(tbl_profitability[[#This Row],[gross_revenue]]-tbl_profitability[[#This Row],[cogs]])/tbl_profitability[[#This Row],[gross_revenue]]</f>
        <v>0.55000007303438903</v>
      </c>
      <c r="J176" s="10">
        <f>tbl_profitability[[#This Row],[net_profit]]/tbl_profitability[[#This Row],[gross_revenue]]</f>
        <v>0.2077433980564089</v>
      </c>
      <c r="K176" s="2">
        <f>(tbl_profitability[[#This Row],[cogs]]+tbl_profitability[[#This Row],[return_loss]]+tbl_profitability[[#This Row],[operating_costs]])/tbl_raw[[#This Row],[units_sold]]</f>
        <v>72.318133333333336</v>
      </c>
      <c r="L176" s="8" t="str">
        <f>tbl_raw[[#This Row],[decision]]</f>
        <v>OPTIMIZE</v>
      </c>
    </row>
    <row r="177" spans="1:12" x14ac:dyDescent="0.35">
      <c r="A177" s="3" t="str">
        <f>tbl_raw[[#This Row],[product_id]]</f>
        <v>aba86c093ccdbac75b09111d57e50004</v>
      </c>
      <c r="B177" s="4" t="str">
        <f>tbl_raw[[#This Row],[category]]</f>
        <v>office_furniture</v>
      </c>
      <c r="C177" s="2">
        <f>tbl_raw[[#This Row],[gross_revenue]]</f>
        <v>6819.2</v>
      </c>
      <c r="D177" s="2">
        <f>tbl_raw[[#This Row],[return_loss]]</f>
        <v>20.52</v>
      </c>
      <c r="E177" s="2">
        <f t="shared" si="2"/>
        <v>6798.6799999999994</v>
      </c>
      <c r="F177" s="2">
        <f>tbl_raw[[#This Row],[cogs]]</f>
        <v>3068.64</v>
      </c>
      <c r="G177" s="2">
        <f>SUM(tbl_raw[[#This Row],[storage_cost]:[freight_cost]])</f>
        <v>1982.45</v>
      </c>
      <c r="H177" s="2">
        <f>tbl_profitability[[#This Row],[net_revenue_after_returns]]-tbl_profitability[[#This Row],[cogs]]-tbl_profitability[[#This Row],[operating_costs]]</f>
        <v>1747.5899999999995</v>
      </c>
      <c r="I177" s="10">
        <f>(tbl_profitability[[#This Row],[gross_revenue]]-tbl_profitability[[#This Row],[cogs]])/tbl_profitability[[#This Row],[gross_revenue]]</f>
        <v>0.55000000000000004</v>
      </c>
      <c r="J177" s="10">
        <f>tbl_profitability[[#This Row],[net_profit]]/tbl_profitability[[#This Row],[gross_revenue]]</f>
        <v>0.2562749296105114</v>
      </c>
      <c r="K177" s="2">
        <f>(tbl_profitability[[#This Row],[cogs]]+tbl_profitability[[#This Row],[return_loss]]+tbl_profitability[[#This Row],[operating_costs]])/tbl_raw[[#This Row],[units_sold]]</f>
        <v>88.975614035087716</v>
      </c>
      <c r="L177" s="8" t="str">
        <f>tbl_raw[[#This Row],[decision]]</f>
        <v>OPTIMIZE</v>
      </c>
    </row>
    <row r="178" spans="1:12" x14ac:dyDescent="0.35">
      <c r="A178" s="3" t="str">
        <f>tbl_raw[[#This Row],[product_id]]</f>
        <v>223d34a3d9334039f5ff9511dc044bbb</v>
      </c>
      <c r="B178" s="4" t="str">
        <f>tbl_raw[[#This Row],[category]]</f>
        <v>telephony</v>
      </c>
      <c r="C178" s="2">
        <f>tbl_raw[[#This Row],[gross_revenue]]</f>
        <v>6792.5</v>
      </c>
      <c r="D178" s="2">
        <f>tbl_raw[[#This Row],[return_loss]]</f>
        <v>25.2</v>
      </c>
      <c r="E178" s="2">
        <f t="shared" si="2"/>
        <v>6767.3</v>
      </c>
      <c r="F178" s="2">
        <f>tbl_raw[[#This Row],[cogs]]</f>
        <v>3871.72</v>
      </c>
      <c r="G178" s="2">
        <f>SUM(tbl_raw[[#This Row],[storage_cost]:[freight_cost]])</f>
        <v>820.73</v>
      </c>
      <c r="H178" s="2">
        <f>tbl_profitability[[#This Row],[net_revenue_after_returns]]-tbl_profitability[[#This Row],[cogs]]-tbl_profitability[[#This Row],[operating_costs]]</f>
        <v>2074.8500000000004</v>
      </c>
      <c r="I178" s="10">
        <f>(tbl_profitability[[#This Row],[gross_revenue]]-tbl_profitability[[#This Row],[cogs]])/tbl_profitability[[#This Row],[gross_revenue]]</f>
        <v>0.43000073610599931</v>
      </c>
      <c r="J178" s="10">
        <f>tbl_profitability[[#This Row],[net_profit]]/tbl_profitability[[#This Row],[gross_revenue]]</f>
        <v>0.30546190651453814</v>
      </c>
      <c r="K178" s="2">
        <f>(tbl_profitability[[#This Row],[cogs]]+tbl_profitability[[#This Row],[return_loss]]+tbl_profitability[[#This Row],[operating_costs]])/tbl_raw[[#This Row],[units_sold]]</f>
        <v>168.48749999999998</v>
      </c>
      <c r="L178" s="8" t="str">
        <f>tbl_raw[[#This Row],[decision]]</f>
        <v>SCALE</v>
      </c>
    </row>
    <row r="179" spans="1:12" x14ac:dyDescent="0.35">
      <c r="A179" s="3" t="str">
        <f>tbl_raw[[#This Row],[product_id]]</f>
        <v>8f211599d0cde9d8551a6984d758e1f4</v>
      </c>
      <c r="B179" s="4" t="str">
        <f>tbl_raw[[#This Row],[category]]</f>
        <v>housewares</v>
      </c>
      <c r="C179" s="2">
        <f>tbl_raw[[#This Row],[gross_revenue]]</f>
        <v>6787.5</v>
      </c>
      <c r="D179" s="2">
        <f>tbl_raw[[#This Row],[return_loss]]</f>
        <v>1.8</v>
      </c>
      <c r="E179" s="2">
        <f t="shared" si="2"/>
        <v>6785.7</v>
      </c>
      <c r="F179" s="2">
        <f>tbl_raw[[#This Row],[cogs]]</f>
        <v>3054.38</v>
      </c>
      <c r="G179" s="2">
        <f>SUM(tbl_raw[[#This Row],[storage_cost]:[freight_cost]])</f>
        <v>424.66</v>
      </c>
      <c r="H179" s="2">
        <f>tbl_profitability[[#This Row],[net_revenue_after_returns]]-tbl_profitability[[#This Row],[cogs]]-tbl_profitability[[#This Row],[operating_costs]]</f>
        <v>3306.66</v>
      </c>
      <c r="I179" s="10">
        <f>(tbl_profitability[[#This Row],[gross_revenue]]-tbl_profitability[[#This Row],[cogs]])/tbl_profitability[[#This Row],[gross_revenue]]</f>
        <v>0.54999926335174953</v>
      </c>
      <c r="J179" s="10">
        <f>tbl_profitability[[#This Row],[net_profit]]/tbl_profitability[[#This Row],[gross_revenue]]</f>
        <v>0.48716906077348066</v>
      </c>
      <c r="K179" s="2">
        <f>(tbl_profitability[[#This Row],[cogs]]+tbl_profitability[[#This Row],[return_loss]]+tbl_profitability[[#This Row],[operating_costs]])/tbl_raw[[#This Row],[units_sold]]</f>
        <v>696.16800000000001</v>
      </c>
      <c r="L179" s="8" t="str">
        <f>tbl_raw[[#This Row],[decision]]</f>
        <v>SCALE</v>
      </c>
    </row>
    <row r="180" spans="1:12" x14ac:dyDescent="0.35">
      <c r="A180" s="3" t="str">
        <f>tbl_raw[[#This Row],[product_id]]</f>
        <v>fb55982be901439613a95940feefd9ee</v>
      </c>
      <c r="B180" s="4" t="str">
        <f>tbl_raw[[#This Row],[category]]</f>
        <v>stationery</v>
      </c>
      <c r="C180" s="2">
        <f>tbl_raw[[#This Row],[gross_revenue]]</f>
        <v>6786</v>
      </c>
      <c r="D180" s="2">
        <f>tbl_raw[[#This Row],[return_loss]]</f>
        <v>8.4</v>
      </c>
      <c r="E180" s="2">
        <f t="shared" si="2"/>
        <v>6777.6</v>
      </c>
      <c r="F180" s="2">
        <f>tbl_raw[[#This Row],[cogs]]</f>
        <v>2714.4</v>
      </c>
      <c r="G180" s="2">
        <f>SUM(tbl_raw[[#This Row],[storage_cost]:[freight_cost]])</f>
        <v>2010.55</v>
      </c>
      <c r="H180" s="2">
        <f>tbl_profitability[[#This Row],[net_revenue_after_returns]]-tbl_profitability[[#This Row],[cogs]]-tbl_profitability[[#This Row],[operating_costs]]</f>
        <v>2052.6500000000005</v>
      </c>
      <c r="I180" s="10">
        <f>(tbl_profitability[[#This Row],[gross_revenue]]-tbl_profitability[[#This Row],[cogs]])/tbl_profitability[[#This Row],[gross_revenue]]</f>
        <v>0.6</v>
      </c>
      <c r="J180" s="10">
        <f>tbl_profitability[[#This Row],[net_profit]]/tbl_profitability[[#This Row],[gross_revenue]]</f>
        <v>0.30248305334512238</v>
      </c>
      <c r="K180" s="2">
        <f>(tbl_profitability[[#This Row],[cogs]]+tbl_profitability[[#This Row],[return_loss]]+tbl_profitability[[#This Row],[operating_costs]])/tbl_raw[[#This Row],[units_sold]]</f>
        <v>56.349404761904765</v>
      </c>
      <c r="L180" s="8" t="str">
        <f>tbl_raw[[#This Row],[decision]]</f>
        <v>SCALE</v>
      </c>
    </row>
    <row r="181" spans="1:12" x14ac:dyDescent="0.35">
      <c r="A181" s="3" t="str">
        <f>tbl_raw[[#This Row],[product_id]]</f>
        <v>7b35be468d9795a7529f65c50ec87668</v>
      </c>
      <c r="B181" s="4" t="str">
        <f>tbl_raw[[#This Row],[category]]</f>
        <v>watches_gifts</v>
      </c>
      <c r="C181" s="2">
        <f>tbl_raw[[#This Row],[gross_revenue]]</f>
        <v>6735.25</v>
      </c>
      <c r="D181" s="2">
        <f>tbl_raw[[#This Row],[return_loss]]</f>
        <v>3.96</v>
      </c>
      <c r="E181" s="2">
        <f t="shared" si="2"/>
        <v>6731.29</v>
      </c>
      <c r="F181" s="2">
        <f>tbl_raw[[#This Row],[cogs]]</f>
        <v>2828.81</v>
      </c>
      <c r="G181" s="2">
        <f>SUM(tbl_raw[[#This Row],[storage_cost]:[freight_cost]])</f>
        <v>263.97000000000003</v>
      </c>
      <c r="H181" s="2">
        <f>tbl_profitability[[#This Row],[net_revenue_after_returns]]-tbl_profitability[[#This Row],[cogs]]-tbl_profitability[[#This Row],[operating_costs]]</f>
        <v>3638.51</v>
      </c>
      <c r="I181" s="10">
        <f>(tbl_profitability[[#This Row],[gross_revenue]]-tbl_profitability[[#This Row],[cogs]])/tbl_profitability[[#This Row],[gross_revenue]]</f>
        <v>0.57999925763705873</v>
      </c>
      <c r="J181" s="10">
        <f>tbl_profitability[[#This Row],[net_profit]]/tbl_profitability[[#This Row],[gross_revenue]]</f>
        <v>0.54021899706766641</v>
      </c>
      <c r="K181" s="2">
        <f>(tbl_profitability[[#This Row],[cogs]]+tbl_profitability[[#This Row],[return_loss]]+tbl_profitability[[#This Row],[operating_costs]])/tbl_raw[[#This Row],[units_sold]]</f>
        <v>281.52181818181816</v>
      </c>
      <c r="L181" s="8" t="str">
        <f>tbl_raw[[#This Row],[decision]]</f>
        <v>SCALE</v>
      </c>
    </row>
    <row r="182" spans="1:12" x14ac:dyDescent="0.35">
      <c r="A182" s="3" t="str">
        <f>tbl_raw[[#This Row],[product_id]]</f>
        <v>489ae2aa008f021502940f251d4cce7f</v>
      </c>
      <c r="B182" s="4" t="str">
        <f>tbl_raw[[#This Row],[category]]</f>
        <v>housewares</v>
      </c>
      <c r="C182" s="2">
        <f>tbl_raw[[#This Row],[gross_revenue]]</f>
        <v>6735</v>
      </c>
      <c r="D182" s="2">
        <f>tbl_raw[[#This Row],[return_loss]]</f>
        <v>0.36</v>
      </c>
      <c r="E182" s="2">
        <f t="shared" si="2"/>
        <v>6734.64</v>
      </c>
      <c r="F182" s="2">
        <f>tbl_raw[[#This Row],[cogs]]</f>
        <v>3030.75</v>
      </c>
      <c r="G182" s="2">
        <f>SUM(tbl_raw[[#This Row],[storage_cost]:[freight_cost]])</f>
        <v>203.06</v>
      </c>
      <c r="H182" s="2">
        <f>tbl_profitability[[#This Row],[net_revenue_after_returns]]-tbl_profitability[[#This Row],[cogs]]-tbl_profitability[[#This Row],[operating_costs]]</f>
        <v>3500.8300000000004</v>
      </c>
      <c r="I182" s="10">
        <f>(tbl_profitability[[#This Row],[gross_revenue]]-tbl_profitability[[#This Row],[cogs]])/tbl_profitability[[#This Row],[gross_revenue]]</f>
        <v>0.55000000000000004</v>
      </c>
      <c r="J182" s="10">
        <f>tbl_profitability[[#This Row],[net_profit]]/tbl_profitability[[#This Row],[gross_revenue]]</f>
        <v>0.51979658500371206</v>
      </c>
      <c r="K182" s="2">
        <f>(tbl_profitability[[#This Row],[cogs]]+tbl_profitability[[#This Row],[return_loss]]+tbl_profitability[[#This Row],[operating_costs]])/tbl_raw[[#This Row],[units_sold]]</f>
        <v>3234.17</v>
      </c>
      <c r="L182" s="8" t="str">
        <f>tbl_raw[[#This Row],[decision]]</f>
        <v>SCALE</v>
      </c>
    </row>
    <row r="183" spans="1:12" x14ac:dyDescent="0.35">
      <c r="A183" s="3" t="str">
        <f>tbl_raw[[#This Row],[product_id]]</f>
        <v>69c590f7ffc7bf8db97190b6cb6ed62e</v>
      </c>
      <c r="B183" s="4" t="str">
        <f>tbl_raw[[#This Row],[category]]</f>
        <v>computers</v>
      </c>
      <c r="C183" s="2">
        <f>tbl_raw[[#This Row],[gross_revenue]]</f>
        <v>6729</v>
      </c>
      <c r="D183" s="2">
        <f>tbl_raw[[#This Row],[return_loss]]</f>
        <v>0.9</v>
      </c>
      <c r="E183" s="2">
        <f t="shared" si="2"/>
        <v>6728.1</v>
      </c>
      <c r="F183" s="2">
        <f>tbl_raw[[#This Row],[cogs]]</f>
        <v>3835.53</v>
      </c>
      <c r="G183" s="2">
        <f>SUM(tbl_raw[[#This Row],[storage_cost]:[freight_cost]])</f>
        <v>205.46</v>
      </c>
      <c r="H183" s="2">
        <f>tbl_profitability[[#This Row],[net_revenue_after_returns]]-tbl_profitability[[#This Row],[cogs]]-tbl_profitability[[#This Row],[operating_costs]]</f>
        <v>2687.11</v>
      </c>
      <c r="I183" s="10">
        <f>(tbl_profitability[[#This Row],[gross_revenue]]-tbl_profitability[[#This Row],[cogs]])/tbl_profitability[[#This Row],[gross_revenue]]</f>
        <v>0.43</v>
      </c>
      <c r="J183" s="10">
        <f>tbl_profitability[[#This Row],[net_profit]]/tbl_profitability[[#This Row],[gross_revenue]]</f>
        <v>0.39933273889136572</v>
      </c>
      <c r="K183" s="2">
        <f>(tbl_profitability[[#This Row],[cogs]]+tbl_profitability[[#This Row],[return_loss]]+tbl_profitability[[#This Row],[operating_costs]])/tbl_raw[[#This Row],[units_sold]]</f>
        <v>4041.8900000000003</v>
      </c>
      <c r="L183" s="8" t="str">
        <f>tbl_raw[[#This Row],[decision]]</f>
        <v>OPTIMIZE</v>
      </c>
    </row>
    <row r="184" spans="1:12" x14ac:dyDescent="0.35">
      <c r="A184" s="3" t="str">
        <f>tbl_raw[[#This Row],[product_id]]</f>
        <v>4d0322b5ddf89ce6a3564aca2e261a3a</v>
      </c>
      <c r="B184" s="4" t="str">
        <f>tbl_raw[[#This Row],[category]]</f>
        <v>garden_tools</v>
      </c>
      <c r="C184" s="2">
        <f>tbl_raw[[#This Row],[gross_revenue]]</f>
        <v>6727</v>
      </c>
      <c r="D184" s="2">
        <f>tbl_raw[[#This Row],[return_loss]]</f>
        <v>1.44</v>
      </c>
      <c r="E184" s="2">
        <f t="shared" si="2"/>
        <v>6725.56</v>
      </c>
      <c r="F184" s="2">
        <f>tbl_raw[[#This Row],[cogs]]</f>
        <v>3027.15</v>
      </c>
      <c r="G184" s="2">
        <f>SUM(tbl_raw[[#This Row],[storage_cost]:[freight_cost]])</f>
        <v>489.54</v>
      </c>
      <c r="H184" s="2">
        <f>tbl_profitability[[#This Row],[net_revenue_after_returns]]-tbl_profitability[[#This Row],[cogs]]-tbl_profitability[[#This Row],[operating_costs]]</f>
        <v>3208.8700000000003</v>
      </c>
      <c r="I184" s="10">
        <f>(tbl_profitability[[#This Row],[gross_revenue]]-tbl_profitability[[#This Row],[cogs]])/tbl_profitability[[#This Row],[gross_revenue]]</f>
        <v>0.54999999999999993</v>
      </c>
      <c r="J184" s="10">
        <f>tbl_profitability[[#This Row],[net_profit]]/tbl_profitability[[#This Row],[gross_revenue]]</f>
        <v>0.4770135275754423</v>
      </c>
      <c r="K184" s="2">
        <f>(tbl_profitability[[#This Row],[cogs]]+tbl_profitability[[#This Row],[return_loss]]+tbl_profitability[[#This Row],[operating_costs]])/tbl_raw[[#This Row],[units_sold]]</f>
        <v>879.53250000000003</v>
      </c>
      <c r="L184" s="8" t="str">
        <f>tbl_raw[[#This Row],[decision]]</f>
        <v>SCALE</v>
      </c>
    </row>
    <row r="185" spans="1:12" x14ac:dyDescent="0.35">
      <c r="A185" s="3" t="str">
        <f>tbl_raw[[#This Row],[product_id]]</f>
        <v>11fd9d7ba552e1d28872e008acf1e050</v>
      </c>
      <c r="B185" s="4" t="str">
        <f>tbl_raw[[#This Row],[category]]</f>
        <v>cool_stuff</v>
      </c>
      <c r="C185" s="2">
        <f>tbl_raw[[#This Row],[gross_revenue]]</f>
        <v>6700.2</v>
      </c>
      <c r="D185" s="2">
        <f>tbl_raw[[#This Row],[return_loss]]</f>
        <v>17.64</v>
      </c>
      <c r="E185" s="2">
        <f t="shared" si="2"/>
        <v>6682.5599999999995</v>
      </c>
      <c r="F185" s="2">
        <f>tbl_raw[[#This Row],[cogs]]</f>
        <v>3015.09</v>
      </c>
      <c r="G185" s="2">
        <f>SUM(tbl_raw[[#This Row],[storage_cost]:[freight_cost]])</f>
        <v>1040.1199999999999</v>
      </c>
      <c r="H185" s="2">
        <f>tbl_profitability[[#This Row],[net_revenue_after_returns]]-tbl_profitability[[#This Row],[cogs]]-tbl_profitability[[#This Row],[operating_costs]]</f>
        <v>2627.3499999999995</v>
      </c>
      <c r="I185" s="10">
        <f>(tbl_profitability[[#This Row],[gross_revenue]]-tbl_profitability[[#This Row],[cogs]])/tbl_profitability[[#This Row],[gross_revenue]]</f>
        <v>0.54999999999999993</v>
      </c>
      <c r="J185" s="10">
        <f>tbl_profitability[[#This Row],[net_profit]]/tbl_profitability[[#This Row],[gross_revenue]]</f>
        <v>0.39213008566908442</v>
      </c>
      <c r="K185" s="2">
        <f>(tbl_profitability[[#This Row],[cogs]]+tbl_profitability[[#This Row],[return_loss]]+tbl_profitability[[#This Row],[operating_costs]])/tbl_raw[[#This Row],[units_sold]]</f>
        <v>83.119387755102039</v>
      </c>
      <c r="L185" s="8" t="str">
        <f>tbl_raw[[#This Row],[decision]]</f>
        <v>SCALE</v>
      </c>
    </row>
    <row r="186" spans="1:12" x14ac:dyDescent="0.35">
      <c r="A186" s="3" t="str">
        <f>tbl_raw[[#This Row],[product_id]]</f>
        <v>9545d45c37449ccbc376de3a04c66e71</v>
      </c>
      <c r="B186" s="4" t="str">
        <f>tbl_raw[[#This Row],[category]]</f>
        <v>health_beauty</v>
      </c>
      <c r="C186" s="2">
        <f>tbl_raw[[#This Row],[gross_revenue]]</f>
        <v>6698.7</v>
      </c>
      <c r="D186" s="2">
        <f>tbl_raw[[#This Row],[return_loss]]</f>
        <v>19.079999999999998</v>
      </c>
      <c r="E186" s="2">
        <f t="shared" si="2"/>
        <v>6679.62</v>
      </c>
      <c r="F186" s="2">
        <f>tbl_raw[[#This Row],[cogs]]</f>
        <v>2813.45</v>
      </c>
      <c r="G186" s="2">
        <f>SUM(tbl_raw[[#This Row],[storage_cost]:[freight_cost]])</f>
        <v>1220.17</v>
      </c>
      <c r="H186" s="2">
        <f>tbl_profitability[[#This Row],[net_revenue_after_returns]]-tbl_profitability[[#This Row],[cogs]]-tbl_profitability[[#This Row],[operating_costs]]</f>
        <v>2646</v>
      </c>
      <c r="I186" s="10">
        <f>(tbl_profitability[[#This Row],[gross_revenue]]-tbl_profitability[[#This Row],[cogs]])/tbl_profitability[[#This Row],[gross_revenue]]</f>
        <v>0.58000059713078655</v>
      </c>
      <c r="J186" s="10">
        <f>tbl_profitability[[#This Row],[net_profit]]/tbl_profitability[[#This Row],[gross_revenue]]</f>
        <v>0.39500201531640466</v>
      </c>
      <c r="K186" s="2">
        <f>(tbl_profitability[[#This Row],[cogs]]+tbl_profitability[[#This Row],[return_loss]]+tbl_profitability[[#This Row],[operating_costs]])/tbl_raw[[#This Row],[units_sold]]</f>
        <v>76.466037735849056</v>
      </c>
      <c r="L186" s="8" t="str">
        <f>tbl_raw[[#This Row],[decision]]</f>
        <v>SCALE</v>
      </c>
    </row>
    <row r="187" spans="1:12" x14ac:dyDescent="0.35">
      <c r="A187" s="3" t="str">
        <f>tbl_raw[[#This Row],[product_id]]</f>
        <v>f71973c922ccaab05514a36a8bc741b8</v>
      </c>
      <c r="B187" s="4" t="str">
        <f>tbl_raw[[#This Row],[category]]</f>
        <v>luggage_accessories</v>
      </c>
      <c r="C187" s="2">
        <f>tbl_raw[[#This Row],[gross_revenue]]</f>
        <v>6687.59</v>
      </c>
      <c r="D187" s="2">
        <f>tbl_raw[[#This Row],[return_loss]]</f>
        <v>23.4</v>
      </c>
      <c r="E187" s="2">
        <f t="shared" si="2"/>
        <v>6664.1900000000005</v>
      </c>
      <c r="F187" s="2">
        <f>tbl_raw[[#This Row],[cogs]]</f>
        <v>2808.79</v>
      </c>
      <c r="G187" s="2">
        <f>SUM(tbl_raw[[#This Row],[storage_cost]:[freight_cost]])</f>
        <v>2914.63</v>
      </c>
      <c r="H187" s="2">
        <f>tbl_profitability[[#This Row],[net_revenue_after_returns]]-tbl_profitability[[#This Row],[cogs]]-tbl_profitability[[#This Row],[operating_costs]]</f>
        <v>940.77000000000044</v>
      </c>
      <c r="I187" s="10">
        <f>(tbl_profitability[[#This Row],[gross_revenue]]-tbl_profitability[[#This Row],[cogs]])/tbl_profitability[[#This Row],[gross_revenue]]</f>
        <v>0.57999967103246464</v>
      </c>
      <c r="J187" s="10">
        <f>tbl_profitability[[#This Row],[net_profit]]/tbl_profitability[[#This Row],[gross_revenue]]</f>
        <v>0.14067399466773536</v>
      </c>
      <c r="K187" s="2">
        <f>(tbl_profitability[[#This Row],[cogs]]+tbl_profitability[[#This Row],[return_loss]]+tbl_profitability[[#This Row],[operating_costs]])/tbl_raw[[#This Row],[units_sold]]</f>
        <v>88.412615384615378</v>
      </c>
      <c r="L187" s="8" t="str">
        <f>tbl_raw[[#This Row],[decision]]</f>
        <v>OPTIMIZE</v>
      </c>
    </row>
    <row r="188" spans="1:12" x14ac:dyDescent="0.35">
      <c r="A188" s="3" t="str">
        <f>tbl_raw[[#This Row],[product_id]]</f>
        <v>69455f41626a745aea9ee9164cb9eafd</v>
      </c>
      <c r="B188" s="4" t="str">
        <f>tbl_raw[[#This Row],[category]]</f>
        <v>watches_gifts</v>
      </c>
      <c r="C188" s="2">
        <f>tbl_raw[[#This Row],[gross_revenue]]</f>
        <v>6652.48</v>
      </c>
      <c r="D188" s="2">
        <f>tbl_raw[[#This Row],[return_loss]]</f>
        <v>14.76</v>
      </c>
      <c r="E188" s="2">
        <f t="shared" si="2"/>
        <v>6637.7199999999993</v>
      </c>
      <c r="F188" s="2">
        <f>tbl_raw[[#This Row],[cogs]]</f>
        <v>2794.04</v>
      </c>
      <c r="G188" s="2">
        <f>SUM(tbl_raw[[#This Row],[storage_cost]:[freight_cost]])</f>
        <v>930.14</v>
      </c>
      <c r="H188" s="2">
        <f>tbl_profitability[[#This Row],[net_revenue_after_returns]]-tbl_profitability[[#This Row],[cogs]]-tbl_profitability[[#This Row],[operating_costs]]</f>
        <v>2913.5399999999995</v>
      </c>
      <c r="I188" s="10">
        <f>(tbl_profitability[[#This Row],[gross_revenue]]-tbl_profitability[[#This Row],[cogs]])/tbl_profitability[[#This Row],[gross_revenue]]</f>
        <v>0.5800002405118091</v>
      </c>
      <c r="J188" s="10">
        <f>tbl_profitability[[#This Row],[net_profit]]/tbl_profitability[[#This Row],[gross_revenue]]</f>
        <v>0.43796298523257488</v>
      </c>
      <c r="K188" s="2">
        <f>(tbl_profitability[[#This Row],[cogs]]+tbl_profitability[[#This Row],[return_loss]]+tbl_profitability[[#This Row],[operating_costs]])/tbl_raw[[#This Row],[units_sold]]</f>
        <v>91.19365853658536</v>
      </c>
      <c r="L188" s="8" t="str">
        <f>tbl_raw[[#This Row],[decision]]</f>
        <v>SCALE</v>
      </c>
    </row>
    <row r="189" spans="1:12" x14ac:dyDescent="0.35">
      <c r="A189" s="3" t="str">
        <f>tbl_raw[[#This Row],[product_id]]</f>
        <v>e9c1abcc7126360336d8f56d49041a8c</v>
      </c>
      <c r="B189" s="4" t="str">
        <f>tbl_raw[[#This Row],[category]]</f>
        <v>health_beauty</v>
      </c>
      <c r="C189" s="2">
        <f>tbl_raw[[#This Row],[gross_revenue]]</f>
        <v>6631</v>
      </c>
      <c r="D189" s="2">
        <f>tbl_raw[[#This Row],[return_loss]]</f>
        <v>6.84</v>
      </c>
      <c r="E189" s="2">
        <f t="shared" si="2"/>
        <v>6624.16</v>
      </c>
      <c r="F189" s="2">
        <f>tbl_raw[[#This Row],[cogs]]</f>
        <v>2785.02</v>
      </c>
      <c r="G189" s="2">
        <f>SUM(tbl_raw[[#This Row],[storage_cost]:[freight_cost]])</f>
        <v>489.53</v>
      </c>
      <c r="H189" s="2">
        <f>tbl_profitability[[#This Row],[net_revenue_after_returns]]-tbl_profitability[[#This Row],[cogs]]-tbl_profitability[[#This Row],[operating_costs]]</f>
        <v>3349.6099999999997</v>
      </c>
      <c r="I189" s="10">
        <f>(tbl_profitability[[#This Row],[gross_revenue]]-tbl_profitability[[#This Row],[cogs]])/tbl_profitability[[#This Row],[gross_revenue]]</f>
        <v>0.57999999999999996</v>
      </c>
      <c r="J189" s="10">
        <f>tbl_profitability[[#This Row],[net_profit]]/tbl_profitability[[#This Row],[gross_revenue]]</f>
        <v>0.50514402050972695</v>
      </c>
      <c r="K189" s="2">
        <f>(tbl_profitability[[#This Row],[cogs]]+tbl_profitability[[#This Row],[return_loss]]+tbl_profitability[[#This Row],[operating_costs]])/tbl_raw[[#This Row],[units_sold]]</f>
        <v>172.70473684210529</v>
      </c>
      <c r="L189" s="8" t="str">
        <f>tbl_raw[[#This Row],[decision]]</f>
        <v>SCALE</v>
      </c>
    </row>
    <row r="190" spans="1:12" x14ac:dyDescent="0.35">
      <c r="A190" s="3" t="str">
        <f>tbl_raw[[#This Row],[product_id]]</f>
        <v>5d6bea33648f018dbb563f3a2fab09f3</v>
      </c>
      <c r="B190" s="4" t="str">
        <f>tbl_raw[[#This Row],[category]]</f>
        <v>furniture_decor</v>
      </c>
      <c r="C190" s="2">
        <f>tbl_raw[[#This Row],[gross_revenue]]</f>
        <v>6609.8</v>
      </c>
      <c r="D190" s="2">
        <f>tbl_raw[[#This Row],[return_loss]]</f>
        <v>15.84</v>
      </c>
      <c r="E190" s="2">
        <f t="shared" si="2"/>
        <v>6593.96</v>
      </c>
      <c r="F190" s="2">
        <f>tbl_raw[[#This Row],[cogs]]</f>
        <v>2974.41</v>
      </c>
      <c r="G190" s="2">
        <f>SUM(tbl_raw[[#This Row],[storage_cost]:[freight_cost]])</f>
        <v>1680.17</v>
      </c>
      <c r="H190" s="2">
        <f>tbl_profitability[[#This Row],[net_revenue_after_returns]]-tbl_profitability[[#This Row],[cogs]]-tbl_profitability[[#This Row],[operating_costs]]</f>
        <v>1939.38</v>
      </c>
      <c r="I190" s="10">
        <f>(tbl_profitability[[#This Row],[gross_revenue]]-tbl_profitability[[#This Row],[cogs]])/tbl_profitability[[#This Row],[gross_revenue]]</f>
        <v>0.55000000000000004</v>
      </c>
      <c r="J190" s="10">
        <f>tbl_profitability[[#This Row],[net_profit]]/tbl_profitability[[#This Row],[gross_revenue]]</f>
        <v>0.29340978547005964</v>
      </c>
      <c r="K190" s="2">
        <f>(tbl_profitability[[#This Row],[cogs]]+tbl_profitability[[#This Row],[return_loss]]+tbl_profitability[[#This Row],[operating_costs]])/tbl_raw[[#This Row],[units_sold]]</f>
        <v>106.14590909090909</v>
      </c>
      <c r="L190" s="8" t="str">
        <f>tbl_raw[[#This Row],[decision]]</f>
        <v>SCALE</v>
      </c>
    </row>
    <row r="191" spans="1:12" x14ac:dyDescent="0.35">
      <c r="A191" s="3" t="str">
        <f>tbl_raw[[#This Row],[product_id]]</f>
        <v>777d2e438a1b645f3aec9bd57e92672c</v>
      </c>
      <c r="B191" s="4" t="str">
        <f>tbl_raw[[#This Row],[category]]</f>
        <v>bed_bath_table</v>
      </c>
      <c r="C191" s="2">
        <f>tbl_raw[[#This Row],[gross_revenue]]</f>
        <v>6567.8</v>
      </c>
      <c r="D191" s="2">
        <f>tbl_raw[[#This Row],[return_loss]]</f>
        <v>33.840000000000003</v>
      </c>
      <c r="E191" s="2">
        <f t="shared" si="2"/>
        <v>6533.96</v>
      </c>
      <c r="F191" s="2">
        <f>tbl_raw[[#This Row],[cogs]]</f>
        <v>2955.51</v>
      </c>
      <c r="G191" s="2">
        <f>SUM(tbl_raw[[#This Row],[storage_cost]:[freight_cost]])</f>
        <v>2347.21</v>
      </c>
      <c r="H191" s="2">
        <f>tbl_profitability[[#This Row],[net_revenue_after_returns]]-tbl_profitability[[#This Row],[cogs]]-tbl_profitability[[#This Row],[operating_costs]]</f>
        <v>1231.2399999999998</v>
      </c>
      <c r="I191" s="10">
        <f>(tbl_profitability[[#This Row],[gross_revenue]]-tbl_profitability[[#This Row],[cogs]])/tbl_profitability[[#This Row],[gross_revenue]]</f>
        <v>0.54999999999999993</v>
      </c>
      <c r="J191" s="10">
        <f>tbl_profitability[[#This Row],[net_profit]]/tbl_profitability[[#This Row],[gross_revenue]]</f>
        <v>0.18746612259813022</v>
      </c>
      <c r="K191" s="2">
        <f>(tbl_profitability[[#This Row],[cogs]]+tbl_profitability[[#This Row],[return_loss]]+tbl_profitability[[#This Row],[operating_costs]])/tbl_raw[[#This Row],[units_sold]]</f>
        <v>56.771914893617023</v>
      </c>
      <c r="L191" s="8" t="str">
        <f>tbl_raw[[#This Row],[decision]]</f>
        <v>OPTIMIZE</v>
      </c>
    </row>
    <row r="192" spans="1:12" x14ac:dyDescent="0.35">
      <c r="A192" s="3" t="str">
        <f>tbl_raw[[#This Row],[product_id]]</f>
        <v>cb26d15d1b6eabaac7c0803774245884</v>
      </c>
      <c r="B192" s="4" t="str">
        <f>tbl_raw[[#This Row],[category]]</f>
        <v>sports_leisure</v>
      </c>
      <c r="C192" s="2">
        <f>tbl_raw[[#This Row],[gross_revenue]]</f>
        <v>6567</v>
      </c>
      <c r="D192" s="2">
        <f>tbl_raw[[#This Row],[return_loss]]</f>
        <v>2.52</v>
      </c>
      <c r="E192" s="2">
        <f t="shared" si="2"/>
        <v>6564.48</v>
      </c>
      <c r="F192" s="2">
        <f>tbl_raw[[#This Row],[cogs]]</f>
        <v>2758.14</v>
      </c>
      <c r="G192" s="2">
        <f>SUM(tbl_raw[[#This Row],[storage_cost]:[freight_cost]])</f>
        <v>970.88</v>
      </c>
      <c r="H192" s="2">
        <f>tbl_profitability[[#This Row],[net_revenue_after_returns]]-tbl_profitability[[#This Row],[cogs]]-tbl_profitability[[#This Row],[operating_costs]]</f>
        <v>2835.4599999999996</v>
      </c>
      <c r="I192" s="10">
        <f>(tbl_profitability[[#This Row],[gross_revenue]]-tbl_profitability[[#This Row],[cogs]])/tbl_profitability[[#This Row],[gross_revenue]]</f>
        <v>0.58000000000000007</v>
      </c>
      <c r="J192" s="10">
        <f>tbl_profitability[[#This Row],[net_profit]]/tbl_profitability[[#This Row],[gross_revenue]]</f>
        <v>0.43177402162326778</v>
      </c>
      <c r="K192" s="2">
        <f>(tbl_profitability[[#This Row],[cogs]]+tbl_profitability[[#This Row],[return_loss]]+tbl_profitability[[#This Row],[operating_costs]])/tbl_raw[[#This Row],[units_sold]]</f>
        <v>533.0771428571428</v>
      </c>
      <c r="L192" s="8" t="str">
        <f>tbl_raw[[#This Row],[decision]]</f>
        <v>SCALE</v>
      </c>
    </row>
    <row r="193" spans="1:12" x14ac:dyDescent="0.35">
      <c r="A193" s="3" t="str">
        <f>tbl_raw[[#This Row],[product_id]]</f>
        <v>d2e131d6f19ae0d665fc1a6c420b4f4c</v>
      </c>
      <c r="B193" s="4" t="str">
        <f>tbl_raw[[#This Row],[category]]</f>
        <v>watches_gifts</v>
      </c>
      <c r="C193" s="2">
        <f>tbl_raw[[#This Row],[gross_revenue]]</f>
        <v>6543.93</v>
      </c>
      <c r="D193" s="2">
        <f>tbl_raw[[#This Row],[return_loss]]</f>
        <v>3.24</v>
      </c>
      <c r="E193" s="2">
        <f t="shared" si="2"/>
        <v>6540.6900000000005</v>
      </c>
      <c r="F193" s="2">
        <f>tbl_raw[[#This Row],[cogs]]</f>
        <v>2748.45</v>
      </c>
      <c r="G193" s="2">
        <f>SUM(tbl_raw[[#This Row],[storage_cost]:[freight_cost]])</f>
        <v>210.84</v>
      </c>
      <c r="H193" s="2">
        <f>tbl_profitability[[#This Row],[net_revenue_after_returns]]-tbl_profitability[[#This Row],[cogs]]-tbl_profitability[[#This Row],[operating_costs]]</f>
        <v>3581.4000000000005</v>
      </c>
      <c r="I193" s="10">
        <f>(tbl_profitability[[#This Row],[gross_revenue]]-tbl_profitability[[#This Row],[cogs]])/tbl_profitability[[#This Row],[gross_revenue]]</f>
        <v>0.58000009168802236</v>
      </c>
      <c r="J193" s="10">
        <f>tbl_profitability[[#This Row],[net_profit]]/tbl_profitability[[#This Row],[gross_revenue]]</f>
        <v>0.5472858053188222</v>
      </c>
      <c r="K193" s="2">
        <f>(tbl_profitability[[#This Row],[cogs]]+tbl_profitability[[#This Row],[return_loss]]+tbl_profitability[[#This Row],[operating_costs]])/tbl_raw[[#This Row],[units_sold]]</f>
        <v>329.16999999999996</v>
      </c>
      <c r="L193" s="8" t="str">
        <f>tbl_raw[[#This Row],[decision]]</f>
        <v>OPTIMIZE</v>
      </c>
    </row>
    <row r="194" spans="1:12" x14ac:dyDescent="0.35">
      <c r="A194" s="3" t="str">
        <f>tbl_raw[[#This Row],[product_id]]</f>
        <v>b192be433004cc1f10b467c0e9ea309b</v>
      </c>
      <c r="B194" s="4" t="str">
        <f>tbl_raw[[#This Row],[category]]</f>
        <v>computers_accessories</v>
      </c>
      <c r="C194" s="2">
        <f>tbl_raw[[#This Row],[gross_revenue]]</f>
        <v>6542.9</v>
      </c>
      <c r="D194" s="2">
        <f>tbl_raw[[#This Row],[return_loss]]</f>
        <v>31.5</v>
      </c>
      <c r="E194" s="2">
        <f t="shared" si="2"/>
        <v>6511.4</v>
      </c>
      <c r="F194" s="2">
        <f>tbl_raw[[#This Row],[cogs]]</f>
        <v>3729.45</v>
      </c>
      <c r="G194" s="2">
        <f>SUM(tbl_raw[[#This Row],[storage_cost]:[freight_cost]])</f>
        <v>1450.44</v>
      </c>
      <c r="H194" s="2">
        <f>tbl_profitability[[#This Row],[net_revenue_after_returns]]-tbl_profitability[[#This Row],[cogs]]-tbl_profitability[[#This Row],[operating_costs]]</f>
        <v>1331.5099999999998</v>
      </c>
      <c r="I194" s="10">
        <f>(tbl_profitability[[#This Row],[gross_revenue]]-tbl_profitability[[#This Row],[cogs]])/tbl_profitability[[#This Row],[gross_revenue]]</f>
        <v>0.43000045851228047</v>
      </c>
      <c r="J194" s="10">
        <f>tbl_profitability[[#This Row],[net_profit]]/tbl_profitability[[#This Row],[gross_revenue]]</f>
        <v>0.20350456219719082</v>
      </c>
      <c r="K194" s="2">
        <f>(tbl_profitability[[#This Row],[cogs]]+tbl_profitability[[#This Row],[return_loss]]+tbl_profitability[[#This Row],[operating_costs]])/tbl_raw[[#This Row],[units_sold]]</f>
        <v>148.89685714285713</v>
      </c>
      <c r="L194" s="8" t="str">
        <f>tbl_raw[[#This Row],[decision]]</f>
        <v>OPTIMIZE</v>
      </c>
    </row>
    <row r="195" spans="1:12" x14ac:dyDescent="0.35">
      <c r="A195" s="3" t="str">
        <f>tbl_raw[[#This Row],[product_id]]</f>
        <v>f35927953ed82e19d06ad3aac2f06353</v>
      </c>
      <c r="B195" s="4" t="str">
        <f>tbl_raw[[#This Row],[category]]</f>
        <v>books_general_interest</v>
      </c>
      <c r="C195" s="2">
        <f>tbl_raw[[#This Row],[gross_revenue]]</f>
        <v>6539.99</v>
      </c>
      <c r="D195" s="2">
        <f>tbl_raw[[#This Row],[return_loss]]</f>
        <v>5.7</v>
      </c>
      <c r="E195" s="2">
        <f t="shared" si="2"/>
        <v>6534.29</v>
      </c>
      <c r="F195" s="2">
        <f>tbl_raw[[#This Row],[cogs]]</f>
        <v>2616</v>
      </c>
      <c r="G195" s="2">
        <f>SUM(tbl_raw[[#This Row],[storage_cost]:[freight_cost]])</f>
        <v>1366.44</v>
      </c>
      <c r="H195" s="2">
        <f>tbl_profitability[[#This Row],[net_revenue_after_returns]]-tbl_profitability[[#This Row],[cogs]]-tbl_profitability[[#This Row],[operating_costs]]</f>
        <v>2551.85</v>
      </c>
      <c r="I195" s="10">
        <f>(tbl_profitability[[#This Row],[gross_revenue]]-tbl_profitability[[#This Row],[cogs]])/tbl_profitability[[#This Row],[gross_revenue]]</f>
        <v>0.59999938837826972</v>
      </c>
      <c r="J195" s="10">
        <f>tbl_profitability[[#This Row],[net_profit]]/tbl_profitability[[#This Row],[gross_revenue]]</f>
        <v>0.39019172812190844</v>
      </c>
      <c r="K195" s="2">
        <f>(tbl_profitability[[#This Row],[cogs]]+tbl_profitability[[#This Row],[return_loss]]+tbl_profitability[[#This Row],[operating_costs]])/tbl_raw[[#This Row],[units_sold]]</f>
        <v>69.967368421052626</v>
      </c>
      <c r="L195" s="8" t="str">
        <f>tbl_raw[[#This Row],[decision]]</f>
        <v>SCALE</v>
      </c>
    </row>
    <row r="196" spans="1:12" x14ac:dyDescent="0.35">
      <c r="A196" s="3" t="str">
        <f>tbl_raw[[#This Row],[product_id]]</f>
        <v>628f5ed6c14790dcb9233c8dbf596175</v>
      </c>
      <c r="B196" s="4" t="str">
        <f>tbl_raw[[#This Row],[category]]</f>
        <v>health_beauty</v>
      </c>
      <c r="C196" s="2">
        <f>tbl_raw[[#This Row],[gross_revenue]]</f>
        <v>6526.55</v>
      </c>
      <c r="D196" s="2">
        <f>tbl_raw[[#This Row],[return_loss]]</f>
        <v>4.32</v>
      </c>
      <c r="E196" s="2">
        <f t="shared" ref="E196:E259" si="3">C196-D196</f>
        <v>6522.2300000000005</v>
      </c>
      <c r="F196" s="2">
        <f>tbl_raw[[#This Row],[cogs]]</f>
        <v>2741.15</v>
      </c>
      <c r="G196" s="2">
        <f>SUM(tbl_raw[[#This Row],[storage_cost]:[freight_cost]])</f>
        <v>444.53</v>
      </c>
      <c r="H196" s="2">
        <f>tbl_profitability[[#This Row],[net_revenue_after_returns]]-tbl_profitability[[#This Row],[cogs]]-tbl_profitability[[#This Row],[operating_costs]]</f>
        <v>3336.55</v>
      </c>
      <c r="I196" s="10">
        <f>(tbl_profitability[[#This Row],[gross_revenue]]-tbl_profitability[[#This Row],[cogs]])/tbl_profitability[[#This Row],[gross_revenue]]</f>
        <v>0.58000015322030785</v>
      </c>
      <c r="J196" s="10">
        <f>tbl_profitability[[#This Row],[net_profit]]/tbl_profitability[[#This Row],[gross_revenue]]</f>
        <v>0.5112272180554811</v>
      </c>
      <c r="K196" s="2">
        <f>(tbl_profitability[[#This Row],[cogs]]+tbl_profitability[[#This Row],[return_loss]]+tbl_profitability[[#This Row],[operating_costs]])/tbl_raw[[#This Row],[units_sold]]</f>
        <v>265.83333333333331</v>
      </c>
      <c r="L196" s="8" t="str">
        <f>tbl_raw[[#This Row],[decision]]</f>
        <v>OPTIMIZE</v>
      </c>
    </row>
    <row r="197" spans="1:12" x14ac:dyDescent="0.35">
      <c r="A197" s="3" t="str">
        <f>tbl_raw[[#This Row],[product_id]]</f>
        <v>79c0ace2ccf0da036e787875a49151a4</v>
      </c>
      <c r="B197" s="4" t="str">
        <f>tbl_raw[[#This Row],[category]]</f>
        <v>kitchen_dining_laundry_garden_furniture</v>
      </c>
      <c r="C197" s="2">
        <f>tbl_raw[[#This Row],[gross_revenue]]</f>
        <v>6512</v>
      </c>
      <c r="D197" s="2">
        <f>tbl_raw[[#This Row],[return_loss]]</f>
        <v>6.12</v>
      </c>
      <c r="E197" s="2">
        <f t="shared" si="3"/>
        <v>6505.88</v>
      </c>
      <c r="F197" s="2">
        <f>tbl_raw[[#This Row],[cogs]]</f>
        <v>2930.4</v>
      </c>
      <c r="G197" s="2">
        <f>SUM(tbl_raw[[#This Row],[storage_cost]:[freight_cost]])</f>
        <v>1563.37</v>
      </c>
      <c r="H197" s="2">
        <f>tbl_profitability[[#This Row],[net_revenue_after_returns]]-tbl_profitability[[#This Row],[cogs]]-tbl_profitability[[#This Row],[operating_costs]]</f>
        <v>2012.1100000000001</v>
      </c>
      <c r="I197" s="10">
        <f>(tbl_profitability[[#This Row],[gross_revenue]]-tbl_profitability[[#This Row],[cogs]])/tbl_profitability[[#This Row],[gross_revenue]]</f>
        <v>0.54999999999999993</v>
      </c>
      <c r="J197" s="10">
        <f>tbl_profitability[[#This Row],[net_profit]]/tbl_profitability[[#This Row],[gross_revenue]]</f>
        <v>0.30898495085995087</v>
      </c>
      <c r="K197" s="2">
        <f>(tbl_profitability[[#This Row],[cogs]]+tbl_profitability[[#This Row],[return_loss]]+tbl_profitability[[#This Row],[operating_costs]])/tbl_raw[[#This Row],[units_sold]]</f>
        <v>264.69941176470587</v>
      </c>
      <c r="L197" s="8" t="str">
        <f>tbl_raw[[#This Row],[decision]]</f>
        <v>SCALE</v>
      </c>
    </row>
    <row r="198" spans="1:12" x14ac:dyDescent="0.35">
      <c r="A198" s="3" t="str">
        <f>tbl_raw[[#This Row],[product_id]]</f>
        <v>3354a4e684f5e7199f9407db70ccd92b</v>
      </c>
      <c r="B198" s="4" t="str">
        <f>tbl_raw[[#This Row],[category]]</f>
        <v>cool_stuff</v>
      </c>
      <c r="C198" s="2">
        <f>tbl_raw[[#This Row],[gross_revenue]]</f>
        <v>6509.28</v>
      </c>
      <c r="D198" s="2">
        <f>tbl_raw[[#This Row],[return_loss]]</f>
        <v>25.92</v>
      </c>
      <c r="E198" s="2">
        <f t="shared" si="3"/>
        <v>6483.36</v>
      </c>
      <c r="F198" s="2">
        <f>tbl_raw[[#This Row],[cogs]]</f>
        <v>2929.18</v>
      </c>
      <c r="G198" s="2">
        <f>SUM(tbl_raw[[#This Row],[storage_cost]:[freight_cost]])</f>
        <v>1690.18</v>
      </c>
      <c r="H198" s="2">
        <f>tbl_profitability[[#This Row],[net_revenue_after_returns]]-tbl_profitability[[#This Row],[cogs]]-tbl_profitability[[#This Row],[operating_costs]]</f>
        <v>1863.9999999999998</v>
      </c>
      <c r="I198" s="10">
        <f>(tbl_profitability[[#This Row],[gross_revenue]]-tbl_profitability[[#This Row],[cogs]])/tbl_profitability[[#This Row],[gross_revenue]]</f>
        <v>0.54999938549271199</v>
      </c>
      <c r="J198" s="10">
        <f>tbl_profitability[[#This Row],[net_profit]]/tbl_profitability[[#This Row],[gross_revenue]]</f>
        <v>0.28636039623429932</v>
      </c>
      <c r="K198" s="2">
        <f>(tbl_profitability[[#This Row],[cogs]]+tbl_profitability[[#This Row],[return_loss]]+tbl_profitability[[#This Row],[operating_costs]])/tbl_raw[[#This Row],[units_sold]]</f>
        <v>64.517777777777781</v>
      </c>
      <c r="L198" s="8" t="str">
        <f>tbl_raw[[#This Row],[decision]]</f>
        <v>SCALE</v>
      </c>
    </row>
    <row r="199" spans="1:12" x14ac:dyDescent="0.35">
      <c r="A199" s="3" t="str">
        <f>tbl_raw[[#This Row],[product_id]]</f>
        <v>1bdf5e6731585cf01aa8169c7028d6ad</v>
      </c>
      <c r="B199" s="4" t="str">
        <f>tbl_raw[[#This Row],[category]]</f>
        <v>art</v>
      </c>
      <c r="C199" s="2">
        <f>tbl_raw[[#This Row],[gross_revenue]]</f>
        <v>6499</v>
      </c>
      <c r="D199" s="2">
        <f>tbl_raw[[#This Row],[return_loss]]</f>
        <v>0.36</v>
      </c>
      <c r="E199" s="2">
        <f t="shared" si="3"/>
        <v>6498.64</v>
      </c>
      <c r="F199" s="2">
        <f>tbl_raw[[#This Row],[cogs]]</f>
        <v>2599.6</v>
      </c>
      <c r="G199" s="2">
        <f>SUM(tbl_raw[[#This Row],[storage_cost]:[freight_cost]])</f>
        <v>232.66</v>
      </c>
      <c r="H199" s="2">
        <f>tbl_profitability[[#This Row],[net_revenue_after_returns]]-tbl_profitability[[#This Row],[cogs]]-tbl_profitability[[#This Row],[operating_costs]]</f>
        <v>3666.3800000000006</v>
      </c>
      <c r="I199" s="10">
        <f>(tbl_profitability[[#This Row],[gross_revenue]]-tbl_profitability[[#This Row],[cogs]])/tbl_profitability[[#This Row],[gross_revenue]]</f>
        <v>0.6</v>
      </c>
      <c r="J199" s="10">
        <f>tbl_profitability[[#This Row],[net_profit]]/tbl_profitability[[#This Row],[gross_revenue]]</f>
        <v>0.56414525311586405</v>
      </c>
      <c r="K199" s="2">
        <f>(tbl_profitability[[#This Row],[cogs]]+tbl_profitability[[#This Row],[return_loss]]+tbl_profitability[[#This Row],[operating_costs]])/tbl_raw[[#This Row],[units_sold]]</f>
        <v>2832.62</v>
      </c>
      <c r="L199" s="8" t="str">
        <f>tbl_raw[[#This Row],[decision]]</f>
        <v>SCALE</v>
      </c>
    </row>
    <row r="200" spans="1:12" x14ac:dyDescent="0.35">
      <c r="A200" s="3" t="str">
        <f>tbl_raw[[#This Row],[product_id]]</f>
        <v>89f59eee27a6a49b9f0d887136c71cd4</v>
      </c>
      <c r="B200" s="4" t="str">
        <f>tbl_raw[[#This Row],[category]]</f>
        <v>health_beauty</v>
      </c>
      <c r="C200" s="2">
        <f>tbl_raw[[#This Row],[gross_revenue]]</f>
        <v>6498.25</v>
      </c>
      <c r="D200" s="2">
        <f>tbl_raw[[#This Row],[return_loss]]</f>
        <v>1.8</v>
      </c>
      <c r="E200" s="2">
        <f t="shared" si="3"/>
        <v>6496.45</v>
      </c>
      <c r="F200" s="2">
        <f>tbl_raw[[#This Row],[cogs]]</f>
        <v>2729.27</v>
      </c>
      <c r="G200" s="2">
        <f>SUM(tbl_raw[[#This Row],[storage_cost]:[freight_cost]])</f>
        <v>146.29000000000002</v>
      </c>
      <c r="H200" s="2">
        <f>tbl_profitability[[#This Row],[net_revenue_after_returns]]-tbl_profitability[[#This Row],[cogs]]-tbl_profitability[[#This Row],[operating_costs]]</f>
        <v>3620.89</v>
      </c>
      <c r="I200" s="10">
        <f>(tbl_profitability[[#This Row],[gross_revenue]]-tbl_profitability[[#This Row],[cogs]])/tbl_profitability[[#This Row],[gross_revenue]]</f>
        <v>0.57999923056207436</v>
      </c>
      <c r="J200" s="10">
        <f>tbl_profitability[[#This Row],[net_profit]]/tbl_profitability[[#This Row],[gross_revenue]]</f>
        <v>0.55721001808179127</v>
      </c>
      <c r="K200" s="2">
        <f>(tbl_profitability[[#This Row],[cogs]]+tbl_profitability[[#This Row],[return_loss]]+tbl_profitability[[#This Row],[operating_costs]])/tbl_raw[[#This Row],[units_sold]]</f>
        <v>575.47199999999998</v>
      </c>
      <c r="L200" s="8" t="str">
        <f>tbl_raw[[#This Row],[decision]]</f>
        <v>SCALE</v>
      </c>
    </row>
    <row r="201" spans="1:12" x14ac:dyDescent="0.35">
      <c r="A201" s="3" t="str">
        <f>tbl_raw[[#This Row],[product_id]]</f>
        <v>fe01b643060a6446e59f58e3021e66b3</v>
      </c>
      <c r="B201" s="4" t="str">
        <f>tbl_raw[[#This Row],[category]]</f>
        <v>perfumery</v>
      </c>
      <c r="C201" s="2">
        <f>tbl_raw[[#This Row],[gross_revenue]]</f>
        <v>6458.6</v>
      </c>
      <c r="D201" s="2">
        <f>tbl_raw[[#This Row],[return_loss]]</f>
        <v>16.559999999999999</v>
      </c>
      <c r="E201" s="2">
        <f t="shared" si="3"/>
        <v>6442.04</v>
      </c>
      <c r="F201" s="2">
        <f>tbl_raw[[#This Row],[cogs]]</f>
        <v>2712.61</v>
      </c>
      <c r="G201" s="2">
        <f>SUM(tbl_raw[[#This Row],[storage_cost]:[freight_cost]])</f>
        <v>1931.55</v>
      </c>
      <c r="H201" s="2">
        <f>tbl_profitability[[#This Row],[net_revenue_after_returns]]-tbl_profitability[[#This Row],[cogs]]-tbl_profitability[[#This Row],[operating_costs]]</f>
        <v>1797.8799999999999</v>
      </c>
      <c r="I201" s="10">
        <f>(tbl_profitability[[#This Row],[gross_revenue]]-tbl_profitability[[#This Row],[cogs]])/tbl_profitability[[#This Row],[gross_revenue]]</f>
        <v>0.58000030966463323</v>
      </c>
      <c r="J201" s="10">
        <f>tbl_profitability[[#This Row],[net_profit]]/tbl_profitability[[#This Row],[gross_revenue]]</f>
        <v>0.27836992537082339</v>
      </c>
      <c r="K201" s="2">
        <f>(tbl_profitability[[#This Row],[cogs]]+tbl_profitability[[#This Row],[return_loss]]+tbl_profitability[[#This Row],[operating_costs]])/tbl_raw[[#This Row],[units_sold]]</f>
        <v>101.32000000000001</v>
      </c>
      <c r="L201" s="8" t="str">
        <f>tbl_raw[[#This Row],[decision]]</f>
        <v>SCALE</v>
      </c>
    </row>
    <row r="202" spans="1:12" x14ac:dyDescent="0.35">
      <c r="A202" s="3" t="str">
        <f>tbl_raw[[#This Row],[product_id]]</f>
        <v>781afe929e3016a667f5f439afd55fce</v>
      </c>
      <c r="B202" s="4" t="str">
        <f>tbl_raw[[#This Row],[category]]</f>
        <v>sports_leisure</v>
      </c>
      <c r="C202" s="2">
        <f>tbl_raw[[#This Row],[gross_revenue]]</f>
        <v>6416.7</v>
      </c>
      <c r="D202" s="2">
        <f>tbl_raw[[#This Row],[return_loss]]</f>
        <v>21.24</v>
      </c>
      <c r="E202" s="2">
        <f t="shared" si="3"/>
        <v>6395.46</v>
      </c>
      <c r="F202" s="2">
        <f>tbl_raw[[#This Row],[cogs]]</f>
        <v>2695.01</v>
      </c>
      <c r="G202" s="2">
        <f>SUM(tbl_raw[[#This Row],[storage_cost]:[freight_cost]])</f>
        <v>1341.3899999999999</v>
      </c>
      <c r="H202" s="2">
        <f>tbl_profitability[[#This Row],[net_revenue_after_returns]]-tbl_profitability[[#This Row],[cogs]]-tbl_profitability[[#This Row],[operating_costs]]</f>
        <v>2359.06</v>
      </c>
      <c r="I202" s="10">
        <f>(tbl_profitability[[#This Row],[gross_revenue]]-tbl_profitability[[#This Row],[cogs]])/tbl_profitability[[#This Row],[gross_revenue]]</f>
        <v>0.58000062337338498</v>
      </c>
      <c r="J202" s="10">
        <f>tbl_profitability[[#This Row],[net_profit]]/tbl_profitability[[#This Row],[gross_revenue]]</f>
        <v>0.36764380444776912</v>
      </c>
      <c r="K202" s="2">
        <f>(tbl_profitability[[#This Row],[cogs]]+tbl_profitability[[#This Row],[return_loss]]+tbl_profitability[[#This Row],[operating_costs]])/tbl_raw[[#This Row],[units_sold]]</f>
        <v>68.77355932203389</v>
      </c>
      <c r="L202" s="8" t="str">
        <f>tbl_raw[[#This Row],[decision]]</f>
        <v>SCALE</v>
      </c>
    </row>
    <row r="203" spans="1:12" x14ac:dyDescent="0.35">
      <c r="A203" s="3" t="str">
        <f>tbl_raw[[#This Row],[product_id]]</f>
        <v>b3bcd6f54c943fecf8f51e0b988e5cc9</v>
      </c>
      <c r="B203" s="4" t="str">
        <f>tbl_raw[[#This Row],[category]]</f>
        <v>health_beauty</v>
      </c>
      <c r="C203" s="2">
        <f>tbl_raw[[#This Row],[gross_revenue]]</f>
        <v>6390.25</v>
      </c>
      <c r="D203" s="2">
        <f>tbl_raw[[#This Row],[return_loss]]</f>
        <v>1.8</v>
      </c>
      <c r="E203" s="2">
        <f t="shared" si="3"/>
        <v>6388.45</v>
      </c>
      <c r="F203" s="2">
        <f>tbl_raw[[#This Row],[cogs]]</f>
        <v>2683.91</v>
      </c>
      <c r="G203" s="2">
        <f>SUM(tbl_raw[[#This Row],[storage_cost]:[freight_cost]])</f>
        <v>229.98</v>
      </c>
      <c r="H203" s="2">
        <f>tbl_profitability[[#This Row],[net_revenue_after_returns]]-tbl_profitability[[#This Row],[cogs]]-tbl_profitability[[#This Row],[operating_costs]]</f>
        <v>3474.56</v>
      </c>
      <c r="I203" s="10">
        <f>(tbl_profitability[[#This Row],[gross_revenue]]-tbl_profitability[[#This Row],[cogs]])/tbl_profitability[[#This Row],[gross_revenue]]</f>
        <v>0.57999921755799855</v>
      </c>
      <c r="J203" s="10">
        <f>tbl_profitability[[#This Row],[net_profit]]/tbl_profitability[[#This Row],[gross_revenue]]</f>
        <v>0.54372833613708382</v>
      </c>
      <c r="K203" s="2">
        <f>(tbl_profitability[[#This Row],[cogs]]+tbl_profitability[[#This Row],[return_loss]]+tbl_profitability[[#This Row],[operating_costs]])/tbl_raw[[#This Row],[units_sold]]</f>
        <v>583.13800000000003</v>
      </c>
      <c r="L203" s="8" t="str">
        <f>tbl_raw[[#This Row],[decision]]</f>
        <v>SCALE</v>
      </c>
    </row>
    <row r="204" spans="1:12" x14ac:dyDescent="0.35">
      <c r="A204" s="3" t="str">
        <f>tbl_raw[[#This Row],[product_id]]</f>
        <v>7612afaa8218e79b3011243ed9edea9c</v>
      </c>
      <c r="B204" s="4" t="str">
        <f>tbl_raw[[#This Row],[category]]</f>
        <v>sports_leisure</v>
      </c>
      <c r="C204" s="2">
        <f>tbl_raw[[#This Row],[gross_revenue]]</f>
        <v>6379.6</v>
      </c>
      <c r="D204" s="2">
        <f>tbl_raw[[#This Row],[return_loss]]</f>
        <v>5.76</v>
      </c>
      <c r="E204" s="2">
        <f t="shared" si="3"/>
        <v>6373.84</v>
      </c>
      <c r="F204" s="2">
        <f>tbl_raw[[#This Row],[cogs]]</f>
        <v>2679.43</v>
      </c>
      <c r="G204" s="2">
        <f>SUM(tbl_raw[[#This Row],[storage_cost]:[freight_cost]])</f>
        <v>1035.97</v>
      </c>
      <c r="H204" s="2">
        <f>tbl_profitability[[#This Row],[net_revenue_after_returns]]-tbl_profitability[[#This Row],[cogs]]-tbl_profitability[[#This Row],[operating_costs]]</f>
        <v>2658.4400000000005</v>
      </c>
      <c r="I204" s="10">
        <f>(tbl_profitability[[#This Row],[gross_revenue]]-tbl_profitability[[#This Row],[cogs]])/tbl_profitability[[#This Row],[gross_revenue]]</f>
        <v>0.58000031349927905</v>
      </c>
      <c r="J204" s="10">
        <f>tbl_profitability[[#This Row],[net_profit]]/tbl_profitability[[#This Row],[gross_revenue]]</f>
        <v>0.41670951156812347</v>
      </c>
      <c r="K204" s="2">
        <f>(tbl_profitability[[#This Row],[cogs]]+tbl_profitability[[#This Row],[return_loss]]+tbl_profitability[[#This Row],[operating_costs]])/tbl_raw[[#This Row],[units_sold]]</f>
        <v>232.57249999999999</v>
      </c>
      <c r="L204" s="8" t="str">
        <f>tbl_raw[[#This Row],[decision]]</f>
        <v>OPTIMIZE</v>
      </c>
    </row>
    <row r="205" spans="1:12" x14ac:dyDescent="0.35">
      <c r="A205" s="3" t="str">
        <f>tbl_raw[[#This Row],[product_id]]</f>
        <v>15859e3a8aaa3c192c10a91d8722abd5</v>
      </c>
      <c r="B205" s="4" t="str">
        <f>tbl_raw[[#This Row],[category]]</f>
        <v>health_beauty</v>
      </c>
      <c r="C205" s="2">
        <f>tbl_raw[[#This Row],[gross_revenue]]</f>
        <v>6358.18</v>
      </c>
      <c r="D205" s="2">
        <f>tbl_raw[[#This Row],[return_loss]]</f>
        <v>7.56</v>
      </c>
      <c r="E205" s="2">
        <f t="shared" si="3"/>
        <v>6350.62</v>
      </c>
      <c r="F205" s="2">
        <f>tbl_raw[[#This Row],[cogs]]</f>
        <v>2670.44</v>
      </c>
      <c r="G205" s="2">
        <f>SUM(tbl_raw[[#This Row],[storage_cost]:[freight_cost]])</f>
        <v>500.41</v>
      </c>
      <c r="H205" s="2">
        <f>tbl_profitability[[#This Row],[net_revenue_after_returns]]-tbl_profitability[[#This Row],[cogs]]-tbl_profitability[[#This Row],[operating_costs]]</f>
        <v>3179.77</v>
      </c>
      <c r="I205" s="10">
        <f>(tbl_profitability[[#This Row],[gross_revenue]]-tbl_profitability[[#This Row],[cogs]])/tbl_profitability[[#This Row],[gross_revenue]]</f>
        <v>0.5799993079780692</v>
      </c>
      <c r="J205" s="10">
        <f>tbl_profitability[[#This Row],[net_profit]]/tbl_profitability[[#This Row],[gross_revenue]]</f>
        <v>0.50010694884385154</v>
      </c>
      <c r="K205" s="2">
        <f>(tbl_profitability[[#This Row],[cogs]]+tbl_profitability[[#This Row],[return_loss]]+tbl_profitability[[#This Row],[operating_costs]])/tbl_raw[[#This Row],[units_sold]]</f>
        <v>151.35285714285715</v>
      </c>
      <c r="L205" s="8" t="str">
        <f>tbl_raw[[#This Row],[decision]]</f>
        <v>OPTIMIZE</v>
      </c>
    </row>
    <row r="206" spans="1:12" x14ac:dyDescent="0.35">
      <c r="A206" s="3" t="str">
        <f>tbl_raw[[#This Row],[product_id]]</f>
        <v>6a162a899a815ed15db1689e8efc976c</v>
      </c>
      <c r="B206" s="4" t="str">
        <f>tbl_raw[[#This Row],[category]]</f>
        <v>cool_stuff</v>
      </c>
      <c r="C206" s="2">
        <f>tbl_raw[[#This Row],[gross_revenue]]</f>
        <v>6349</v>
      </c>
      <c r="D206" s="2">
        <f>tbl_raw[[#This Row],[return_loss]]</f>
        <v>3.6</v>
      </c>
      <c r="E206" s="2">
        <f t="shared" si="3"/>
        <v>6345.4</v>
      </c>
      <c r="F206" s="2">
        <f>tbl_raw[[#This Row],[cogs]]</f>
        <v>2857.05</v>
      </c>
      <c r="G206" s="2">
        <f>SUM(tbl_raw[[#This Row],[storage_cost]:[freight_cost]])</f>
        <v>273.09000000000003</v>
      </c>
      <c r="H206" s="2">
        <f>tbl_profitability[[#This Row],[net_revenue_after_returns]]-tbl_profitability[[#This Row],[cogs]]-tbl_profitability[[#This Row],[operating_costs]]</f>
        <v>3215.2599999999993</v>
      </c>
      <c r="I206" s="10">
        <f>(tbl_profitability[[#This Row],[gross_revenue]]-tbl_profitability[[#This Row],[cogs]])/tbl_profitability[[#This Row],[gross_revenue]]</f>
        <v>0.54999999999999993</v>
      </c>
      <c r="J206" s="10">
        <f>tbl_profitability[[#This Row],[net_profit]]/tbl_profitability[[#This Row],[gross_revenue]]</f>
        <v>0.5064199086470309</v>
      </c>
      <c r="K206" s="2">
        <f>(tbl_profitability[[#This Row],[cogs]]+tbl_profitability[[#This Row],[return_loss]]+tbl_profitability[[#This Row],[operating_costs]])/tbl_raw[[#This Row],[units_sold]]</f>
        <v>313.37400000000002</v>
      </c>
      <c r="L206" s="8" t="str">
        <f>tbl_raw[[#This Row],[decision]]</f>
        <v>OPTIMIZE</v>
      </c>
    </row>
    <row r="207" spans="1:12" x14ac:dyDescent="0.35">
      <c r="A207" s="3" t="str">
        <f>tbl_raw[[#This Row],[product_id]]</f>
        <v>23ed7a10a36c6f88a757a9c83df9ea20</v>
      </c>
      <c r="B207" s="4" t="str">
        <f>tbl_raw[[#This Row],[category]]</f>
        <v>perfumery</v>
      </c>
      <c r="C207" s="2">
        <f>tbl_raw[[#This Row],[gross_revenue]]</f>
        <v>6348.6</v>
      </c>
      <c r="D207" s="2">
        <f>tbl_raw[[#This Row],[return_loss]]</f>
        <v>5.04</v>
      </c>
      <c r="E207" s="2">
        <f t="shared" si="3"/>
        <v>6343.56</v>
      </c>
      <c r="F207" s="2">
        <f>tbl_raw[[#This Row],[cogs]]</f>
        <v>2666.41</v>
      </c>
      <c r="G207" s="2">
        <f>SUM(tbl_raw[[#This Row],[storage_cost]:[freight_cost]])</f>
        <v>366.03</v>
      </c>
      <c r="H207" s="2">
        <f>tbl_profitability[[#This Row],[net_revenue_after_returns]]-tbl_profitability[[#This Row],[cogs]]-tbl_profitability[[#This Row],[operating_costs]]</f>
        <v>3311.1200000000008</v>
      </c>
      <c r="I207" s="10">
        <f>(tbl_profitability[[#This Row],[gross_revenue]]-tbl_profitability[[#This Row],[cogs]])/tbl_profitability[[#This Row],[gross_revenue]]</f>
        <v>0.58000031503008542</v>
      </c>
      <c r="J207" s="10">
        <f>tbl_profitability[[#This Row],[net_profit]]/tbl_profitability[[#This Row],[gross_revenue]]</f>
        <v>0.52155120814037748</v>
      </c>
      <c r="K207" s="2">
        <f>(tbl_profitability[[#This Row],[cogs]]+tbl_profitability[[#This Row],[return_loss]]+tbl_profitability[[#This Row],[operating_costs]])/tbl_raw[[#This Row],[units_sold]]</f>
        <v>216.9628571428571</v>
      </c>
      <c r="L207" s="8" t="str">
        <f>tbl_raw[[#This Row],[decision]]</f>
        <v>SCALE</v>
      </c>
    </row>
    <row r="208" spans="1:12" x14ac:dyDescent="0.35">
      <c r="A208" s="3" t="str">
        <f>tbl_raw[[#This Row],[product_id]]</f>
        <v>154e7e31ebfa092203795c972e5804a6</v>
      </c>
      <c r="B208" s="4" t="str">
        <f>tbl_raw[[#This Row],[category]]</f>
        <v>health_beauty</v>
      </c>
      <c r="C208" s="2">
        <f>tbl_raw[[#This Row],[gross_revenue]]</f>
        <v>6325.19</v>
      </c>
      <c r="D208" s="2">
        <f>tbl_raw[[#This Row],[return_loss]]</f>
        <v>101.16</v>
      </c>
      <c r="E208" s="2">
        <f t="shared" si="3"/>
        <v>6224.03</v>
      </c>
      <c r="F208" s="2">
        <f>tbl_raw[[#This Row],[cogs]]</f>
        <v>2656.58</v>
      </c>
      <c r="G208" s="2">
        <f>SUM(tbl_raw[[#This Row],[storage_cost]:[freight_cost]])</f>
        <v>5094.92</v>
      </c>
      <c r="H208" s="2">
        <f>tbl_profitability[[#This Row],[net_revenue_after_returns]]-tbl_profitability[[#This Row],[cogs]]-tbl_profitability[[#This Row],[operating_costs]]</f>
        <v>-1527.4700000000003</v>
      </c>
      <c r="I208" s="10">
        <f>(tbl_profitability[[#This Row],[gross_revenue]]-tbl_profitability[[#This Row],[cogs]])/tbl_profitability[[#This Row],[gross_revenue]]</f>
        <v>0.57999996838039647</v>
      </c>
      <c r="J208" s="10">
        <f>tbl_profitability[[#This Row],[net_profit]]/tbl_profitability[[#This Row],[gross_revenue]]</f>
        <v>-0.24148997895715391</v>
      </c>
      <c r="K208" s="2">
        <f>(tbl_profitability[[#This Row],[cogs]]+tbl_profitability[[#This Row],[return_loss]]+tbl_profitability[[#This Row],[operating_costs]])/tbl_raw[[#This Row],[units_sold]]</f>
        <v>27.945409252669037</v>
      </c>
      <c r="L208" s="8" t="str">
        <f>tbl_raw[[#This Row],[decision]]</f>
        <v>EXIT</v>
      </c>
    </row>
    <row r="209" spans="1:12" x14ac:dyDescent="0.35">
      <c r="A209" s="3" t="str">
        <f>tbl_raw[[#This Row],[product_id]]</f>
        <v>349ce46a0e2e20054aa9d80c48af8816</v>
      </c>
      <c r="B209" s="4" t="str">
        <f>tbl_raw[[#This Row],[category]]</f>
        <v>construction_tools_lights</v>
      </c>
      <c r="C209" s="2">
        <f>tbl_raw[[#This Row],[gross_revenue]]</f>
        <v>6319.75</v>
      </c>
      <c r="D209" s="2">
        <f>tbl_raw[[#This Row],[return_loss]]</f>
        <v>15.12</v>
      </c>
      <c r="E209" s="2">
        <f t="shared" si="3"/>
        <v>6304.63</v>
      </c>
      <c r="F209" s="2">
        <f>tbl_raw[[#This Row],[cogs]]</f>
        <v>2843.89</v>
      </c>
      <c r="G209" s="2">
        <f>SUM(tbl_raw[[#This Row],[storage_cost]:[freight_cost]])</f>
        <v>1174.6799999999998</v>
      </c>
      <c r="H209" s="2">
        <f>tbl_profitability[[#This Row],[net_revenue_after_returns]]-tbl_profitability[[#This Row],[cogs]]-tbl_profitability[[#This Row],[operating_costs]]</f>
        <v>2286.0600000000004</v>
      </c>
      <c r="I209" s="10">
        <f>(tbl_profitability[[#This Row],[gross_revenue]]-tbl_profitability[[#This Row],[cogs]])/tbl_profitability[[#This Row],[gross_revenue]]</f>
        <v>0.54999960441473161</v>
      </c>
      <c r="J209" s="10">
        <f>tbl_profitability[[#This Row],[net_profit]]/tbl_profitability[[#This Row],[gross_revenue]]</f>
        <v>0.36173266347561223</v>
      </c>
      <c r="K209" s="2">
        <f>(tbl_profitability[[#This Row],[cogs]]+tbl_profitability[[#This Row],[return_loss]]+tbl_profitability[[#This Row],[operating_costs]])/tbl_raw[[#This Row],[units_sold]]</f>
        <v>96.040238095238081</v>
      </c>
      <c r="L209" s="8" t="str">
        <f>tbl_raw[[#This Row],[decision]]</f>
        <v>SCALE</v>
      </c>
    </row>
    <row r="210" spans="1:12" x14ac:dyDescent="0.35">
      <c r="A210" s="3" t="str">
        <f>tbl_raw[[#This Row],[product_id]]</f>
        <v>bd9fca6bf4bdcbf4094d7bc11415dfe5</v>
      </c>
      <c r="B210" s="4" t="str">
        <f>tbl_raw[[#This Row],[category]]</f>
        <v>small_appliances</v>
      </c>
      <c r="C210" s="2">
        <f>tbl_raw[[#This Row],[gross_revenue]]</f>
        <v>6295</v>
      </c>
      <c r="D210" s="2">
        <f>tbl_raw[[#This Row],[return_loss]]</f>
        <v>1.8</v>
      </c>
      <c r="E210" s="2">
        <f t="shared" si="3"/>
        <v>6293.2</v>
      </c>
      <c r="F210" s="2">
        <f>tbl_raw[[#This Row],[cogs]]</f>
        <v>3588.15</v>
      </c>
      <c r="G210" s="2">
        <f>SUM(tbl_raw[[#This Row],[storage_cost]:[freight_cost]])</f>
        <v>193.83</v>
      </c>
      <c r="H210" s="2">
        <f>tbl_profitability[[#This Row],[net_revenue_after_returns]]-tbl_profitability[[#This Row],[cogs]]-tbl_profitability[[#This Row],[operating_costs]]</f>
        <v>2511.2199999999998</v>
      </c>
      <c r="I210" s="10">
        <f>(tbl_profitability[[#This Row],[gross_revenue]]-tbl_profitability[[#This Row],[cogs]])/tbl_profitability[[#This Row],[gross_revenue]]</f>
        <v>0.43</v>
      </c>
      <c r="J210" s="10">
        <f>tbl_profitability[[#This Row],[net_profit]]/tbl_profitability[[#This Row],[gross_revenue]]</f>
        <v>0.39892295472597294</v>
      </c>
      <c r="K210" s="2">
        <f>(tbl_profitability[[#This Row],[cogs]]+tbl_profitability[[#This Row],[return_loss]]+tbl_profitability[[#This Row],[operating_costs]])/tbl_raw[[#This Row],[units_sold]]</f>
        <v>756.75600000000009</v>
      </c>
      <c r="L210" s="8" t="str">
        <f>tbl_raw[[#This Row],[decision]]</f>
        <v>OPTIMIZE</v>
      </c>
    </row>
    <row r="211" spans="1:12" x14ac:dyDescent="0.35">
      <c r="A211" s="3" t="str">
        <f>tbl_raw[[#This Row],[product_id]]</f>
        <v>bc2d6310e5cbd60facb2f9c8d9471597</v>
      </c>
      <c r="B211" s="4" t="str">
        <f>tbl_raw[[#This Row],[category]]</f>
        <v>cool_stuff</v>
      </c>
      <c r="C211" s="2">
        <f>tbl_raw[[#This Row],[gross_revenue]]</f>
        <v>6290</v>
      </c>
      <c r="D211" s="2">
        <f>tbl_raw[[#This Row],[return_loss]]</f>
        <v>3.6</v>
      </c>
      <c r="E211" s="2">
        <f t="shared" si="3"/>
        <v>6286.4</v>
      </c>
      <c r="F211" s="2">
        <f>tbl_raw[[#This Row],[cogs]]</f>
        <v>2830.5</v>
      </c>
      <c r="G211" s="2">
        <f>SUM(tbl_raw[[#This Row],[storage_cost]:[freight_cost]])</f>
        <v>503.13</v>
      </c>
      <c r="H211" s="2">
        <f>tbl_profitability[[#This Row],[net_revenue_after_returns]]-tbl_profitability[[#This Row],[cogs]]-tbl_profitability[[#This Row],[operating_costs]]</f>
        <v>2952.7699999999995</v>
      </c>
      <c r="I211" s="10">
        <f>(tbl_profitability[[#This Row],[gross_revenue]]-tbl_profitability[[#This Row],[cogs]])/tbl_profitability[[#This Row],[gross_revenue]]</f>
        <v>0.55000000000000004</v>
      </c>
      <c r="J211" s="10">
        <f>tbl_profitability[[#This Row],[net_profit]]/tbl_profitability[[#This Row],[gross_revenue]]</f>
        <v>0.46943879173290931</v>
      </c>
      <c r="K211" s="2">
        <f>(tbl_profitability[[#This Row],[cogs]]+tbl_profitability[[#This Row],[return_loss]]+tbl_profitability[[#This Row],[operating_costs]])/tbl_raw[[#This Row],[units_sold]]</f>
        <v>333.72300000000001</v>
      </c>
      <c r="L211" s="8" t="str">
        <f>tbl_raw[[#This Row],[decision]]</f>
        <v>SCALE</v>
      </c>
    </row>
    <row r="212" spans="1:12" x14ac:dyDescent="0.35">
      <c r="A212" s="3" t="str">
        <f>tbl_raw[[#This Row],[product_id]]</f>
        <v>11bbef4e2a44601d9dd471aa1fb433e6</v>
      </c>
      <c r="B212" s="4" t="str">
        <f>tbl_raw[[#This Row],[category]]</f>
        <v>health_beauty</v>
      </c>
      <c r="C212" s="2">
        <f>tbl_raw[[#This Row],[gross_revenue]]</f>
        <v>6279.81</v>
      </c>
      <c r="D212" s="2">
        <f>tbl_raw[[#This Row],[return_loss]]</f>
        <v>6.84</v>
      </c>
      <c r="E212" s="2">
        <f t="shared" si="3"/>
        <v>6272.97</v>
      </c>
      <c r="F212" s="2">
        <f>tbl_raw[[#This Row],[cogs]]</f>
        <v>2637.52</v>
      </c>
      <c r="G212" s="2">
        <f>SUM(tbl_raw[[#This Row],[storage_cost]:[freight_cost]])</f>
        <v>359.15</v>
      </c>
      <c r="H212" s="2">
        <f>tbl_profitability[[#This Row],[net_revenue_after_returns]]-tbl_profitability[[#This Row],[cogs]]-tbl_profitability[[#This Row],[operating_costs]]</f>
        <v>3276.3</v>
      </c>
      <c r="I212" s="10">
        <f>(tbl_profitability[[#This Row],[gross_revenue]]-tbl_profitability[[#This Row],[cogs]])/tbl_profitability[[#This Row],[gross_revenue]]</f>
        <v>0.58000003184809734</v>
      </c>
      <c r="J212" s="10">
        <f>tbl_profitability[[#This Row],[net_profit]]/tbl_profitability[[#This Row],[gross_revenue]]</f>
        <v>0.52171960616642865</v>
      </c>
      <c r="K212" s="2">
        <f>(tbl_profitability[[#This Row],[cogs]]+tbl_profitability[[#This Row],[return_loss]]+tbl_profitability[[#This Row],[operating_costs]])/tbl_raw[[#This Row],[units_sold]]</f>
        <v>158.07947368421054</v>
      </c>
      <c r="L212" s="8" t="str">
        <f>tbl_raw[[#This Row],[decision]]</f>
        <v>SCALE</v>
      </c>
    </row>
    <row r="213" spans="1:12" x14ac:dyDescent="0.35">
      <c r="A213" s="3" t="str">
        <f>tbl_raw[[#This Row],[product_id]]</f>
        <v>30ac6df06dc59ad72cf2f158fc2d904c</v>
      </c>
      <c r="B213" s="4" t="str">
        <f>tbl_raw[[#This Row],[category]]</f>
        <v>housewares</v>
      </c>
      <c r="C213" s="2">
        <f>tbl_raw[[#This Row],[gross_revenue]]</f>
        <v>6262</v>
      </c>
      <c r="D213" s="2">
        <f>tbl_raw[[#This Row],[return_loss]]</f>
        <v>19.8</v>
      </c>
      <c r="E213" s="2">
        <f t="shared" si="3"/>
        <v>6242.2</v>
      </c>
      <c r="F213" s="2">
        <f>tbl_raw[[#This Row],[cogs]]</f>
        <v>2817.9</v>
      </c>
      <c r="G213" s="2">
        <f>SUM(tbl_raw[[#This Row],[storage_cost]:[freight_cost]])</f>
        <v>1725.26</v>
      </c>
      <c r="H213" s="2">
        <f>tbl_profitability[[#This Row],[net_revenue_after_returns]]-tbl_profitability[[#This Row],[cogs]]-tbl_profitability[[#This Row],[operating_costs]]</f>
        <v>1699.0399999999997</v>
      </c>
      <c r="I213" s="10">
        <f>(tbl_profitability[[#This Row],[gross_revenue]]-tbl_profitability[[#This Row],[cogs]])/tbl_profitability[[#This Row],[gross_revenue]]</f>
        <v>0.54999999999999993</v>
      </c>
      <c r="J213" s="10">
        <f>tbl_profitability[[#This Row],[net_profit]]/tbl_profitability[[#This Row],[gross_revenue]]</f>
        <v>0.27132545512615774</v>
      </c>
      <c r="K213" s="2">
        <f>(tbl_profitability[[#This Row],[cogs]]+tbl_profitability[[#This Row],[return_loss]]+tbl_profitability[[#This Row],[operating_costs]])/tbl_raw[[#This Row],[units_sold]]</f>
        <v>82.962909090909093</v>
      </c>
      <c r="L213" s="8" t="str">
        <f>tbl_raw[[#This Row],[decision]]</f>
        <v>OPTIMIZE</v>
      </c>
    </row>
    <row r="214" spans="1:12" x14ac:dyDescent="0.35">
      <c r="A214" s="3" t="str">
        <f>tbl_raw[[#This Row],[product_id]]</f>
        <v>dc9471db933efad7bf0ce685380578bd</v>
      </c>
      <c r="B214" s="4" t="str">
        <f>tbl_raw[[#This Row],[category]]</f>
        <v>computers_accessories</v>
      </c>
      <c r="C214" s="2">
        <f>tbl_raw[[#This Row],[gross_revenue]]</f>
        <v>6242.81</v>
      </c>
      <c r="D214" s="2">
        <f>tbl_raw[[#This Row],[return_loss]]</f>
        <v>19.8</v>
      </c>
      <c r="E214" s="2">
        <f t="shared" si="3"/>
        <v>6223.01</v>
      </c>
      <c r="F214" s="2">
        <f>tbl_raw[[#This Row],[cogs]]</f>
        <v>3558.4</v>
      </c>
      <c r="G214" s="2">
        <f>SUM(tbl_raw[[#This Row],[storage_cost]:[freight_cost]])</f>
        <v>752.28</v>
      </c>
      <c r="H214" s="2">
        <f>tbl_profitability[[#This Row],[net_revenue_after_returns]]-tbl_profitability[[#This Row],[cogs]]-tbl_profitability[[#This Row],[operating_costs]]</f>
        <v>1912.3300000000002</v>
      </c>
      <c r="I214" s="10">
        <f>(tbl_profitability[[#This Row],[gross_revenue]]-tbl_profitability[[#This Row],[cogs]])/tbl_profitability[[#This Row],[gross_revenue]]</f>
        <v>0.43000027231326921</v>
      </c>
      <c r="J214" s="10">
        <f>tbl_profitability[[#This Row],[net_profit]]/tbl_profitability[[#This Row],[gross_revenue]]</f>
        <v>0.3063251965060606</v>
      </c>
      <c r="K214" s="2">
        <f>(tbl_profitability[[#This Row],[cogs]]+tbl_profitability[[#This Row],[return_loss]]+tbl_profitability[[#This Row],[operating_costs]])/tbl_raw[[#This Row],[units_sold]]</f>
        <v>196.84000000000003</v>
      </c>
      <c r="L214" s="8" t="str">
        <f>tbl_raw[[#This Row],[decision]]</f>
        <v>OPTIMIZE</v>
      </c>
    </row>
    <row r="215" spans="1:12" x14ac:dyDescent="0.35">
      <c r="A215" s="3" t="str">
        <f>tbl_raw[[#This Row],[product_id]]</f>
        <v>0bcc3eeca39e1064258aa1e932269894</v>
      </c>
      <c r="B215" s="4" t="str">
        <f>tbl_raw[[#This Row],[category]]</f>
        <v>garden_tools</v>
      </c>
      <c r="C215" s="2">
        <f>tbl_raw[[#This Row],[gross_revenue]]</f>
        <v>6220.9</v>
      </c>
      <c r="D215" s="2">
        <f>tbl_raw[[#This Row],[return_loss]]</f>
        <v>41.4</v>
      </c>
      <c r="E215" s="2">
        <f t="shared" si="3"/>
        <v>6179.5</v>
      </c>
      <c r="F215" s="2">
        <f>tbl_raw[[#This Row],[cogs]]</f>
        <v>2799.4</v>
      </c>
      <c r="G215" s="2">
        <f>SUM(tbl_raw[[#This Row],[storage_cost]:[freight_cost]])</f>
        <v>3658.08</v>
      </c>
      <c r="H215" s="2">
        <f>tbl_profitability[[#This Row],[net_revenue_after_returns]]-tbl_profitability[[#This Row],[cogs]]-tbl_profitability[[#This Row],[operating_costs]]</f>
        <v>-277.98</v>
      </c>
      <c r="I215" s="10">
        <f>(tbl_profitability[[#This Row],[gross_revenue]]-tbl_profitability[[#This Row],[cogs]])/tbl_profitability[[#This Row],[gross_revenue]]</f>
        <v>0.55000080374222371</v>
      </c>
      <c r="J215" s="10">
        <f>tbl_profitability[[#This Row],[net_profit]]/tbl_profitability[[#This Row],[gross_revenue]]</f>
        <v>-4.4684852674050382E-2</v>
      </c>
      <c r="K215" s="2">
        <f>(tbl_profitability[[#This Row],[cogs]]+tbl_profitability[[#This Row],[return_loss]]+tbl_profitability[[#This Row],[operating_costs]])/tbl_raw[[#This Row],[units_sold]]</f>
        <v>56.512</v>
      </c>
      <c r="L215" s="8" t="str">
        <f>tbl_raw[[#This Row],[decision]]</f>
        <v>EXIT</v>
      </c>
    </row>
    <row r="216" spans="1:12" x14ac:dyDescent="0.35">
      <c r="A216" s="3" t="str">
        <f>tbl_raw[[#This Row],[product_id]]</f>
        <v>98d61056e0568ba048e5d78038790e77</v>
      </c>
      <c r="B216" s="4" t="str">
        <f>tbl_raw[[#This Row],[category]]</f>
        <v>auto</v>
      </c>
      <c r="C216" s="2">
        <f>tbl_raw[[#This Row],[gross_revenue]]</f>
        <v>6185.4</v>
      </c>
      <c r="D216" s="2">
        <f>tbl_raw[[#This Row],[return_loss]]</f>
        <v>13.32</v>
      </c>
      <c r="E216" s="2">
        <f t="shared" si="3"/>
        <v>6172.08</v>
      </c>
      <c r="F216" s="2">
        <f>tbl_raw[[#This Row],[cogs]]</f>
        <v>2783.43</v>
      </c>
      <c r="G216" s="2">
        <f>SUM(tbl_raw[[#This Row],[storage_cost]:[freight_cost]])</f>
        <v>1152.98</v>
      </c>
      <c r="H216" s="2">
        <f>tbl_profitability[[#This Row],[net_revenue_after_returns]]-tbl_profitability[[#This Row],[cogs]]-tbl_profitability[[#This Row],[operating_costs]]</f>
        <v>2235.67</v>
      </c>
      <c r="I216" s="10">
        <f>(tbl_profitability[[#This Row],[gross_revenue]]-tbl_profitability[[#This Row],[cogs]])/tbl_profitability[[#This Row],[gross_revenue]]</f>
        <v>0.55000000000000004</v>
      </c>
      <c r="J216" s="10">
        <f>tbl_profitability[[#This Row],[net_profit]]/tbl_profitability[[#This Row],[gross_revenue]]</f>
        <v>0.36144307562970868</v>
      </c>
      <c r="K216" s="2">
        <f>(tbl_profitability[[#This Row],[cogs]]+tbl_profitability[[#This Row],[return_loss]]+tbl_profitability[[#This Row],[operating_costs]])/tbl_raw[[#This Row],[units_sold]]</f>
        <v>106.74945945945946</v>
      </c>
      <c r="L216" s="8" t="str">
        <f>tbl_raw[[#This Row],[decision]]</f>
        <v>SCALE</v>
      </c>
    </row>
    <row r="217" spans="1:12" x14ac:dyDescent="0.35">
      <c r="A217" s="3" t="str">
        <f>tbl_raw[[#This Row],[product_id]]</f>
        <v>b9ac7314894a193a11fd3150f8c69307</v>
      </c>
      <c r="B217" s="4" t="str">
        <f>tbl_raw[[#This Row],[category]]</f>
        <v>health_beauty</v>
      </c>
      <c r="C217" s="2">
        <f>tbl_raw[[#This Row],[gross_revenue]]</f>
        <v>6166.15</v>
      </c>
      <c r="D217" s="2">
        <f>tbl_raw[[#This Row],[return_loss]]</f>
        <v>3.96</v>
      </c>
      <c r="E217" s="2">
        <f t="shared" si="3"/>
        <v>6162.19</v>
      </c>
      <c r="F217" s="2">
        <f>tbl_raw[[#This Row],[cogs]]</f>
        <v>2589.7800000000002</v>
      </c>
      <c r="G217" s="2">
        <f>SUM(tbl_raw[[#This Row],[storage_cost]:[freight_cost]])</f>
        <v>473.53</v>
      </c>
      <c r="H217" s="2">
        <f>tbl_profitability[[#This Row],[net_revenue_after_returns]]-tbl_profitability[[#This Row],[cogs]]-tbl_profitability[[#This Row],[operating_costs]]</f>
        <v>3098.8799999999992</v>
      </c>
      <c r="I217" s="10">
        <f>(tbl_profitability[[#This Row],[gross_revenue]]-tbl_profitability[[#This Row],[cogs]])/tbl_profitability[[#This Row],[gross_revenue]]</f>
        <v>0.58000048652724956</v>
      </c>
      <c r="J217" s="10">
        <f>tbl_profitability[[#This Row],[net_profit]]/tbl_profitability[[#This Row],[gross_revenue]]</f>
        <v>0.50256318772653918</v>
      </c>
      <c r="K217" s="2">
        <f>(tbl_profitability[[#This Row],[cogs]]+tbl_profitability[[#This Row],[return_loss]]+tbl_profitability[[#This Row],[operating_costs]])/tbl_raw[[#This Row],[units_sold]]</f>
        <v>278.8427272727273</v>
      </c>
      <c r="L217" s="8" t="str">
        <f>tbl_raw[[#This Row],[decision]]</f>
        <v>OPTIMIZE</v>
      </c>
    </row>
    <row r="218" spans="1:12" x14ac:dyDescent="0.35">
      <c r="A218" s="3" t="str">
        <f>tbl_raw[[#This Row],[product_id]]</f>
        <v>b532349fe46b38fbc7bb3914c1bdae07</v>
      </c>
      <c r="B218" s="4" t="str">
        <f>tbl_raw[[#This Row],[category]]</f>
        <v>furniture_decor</v>
      </c>
      <c r="C218" s="2">
        <f>tbl_raw[[#This Row],[gross_revenue]]</f>
        <v>6162.11</v>
      </c>
      <c r="D218" s="2">
        <f>tbl_raw[[#This Row],[return_loss]]</f>
        <v>60.84</v>
      </c>
      <c r="E218" s="2">
        <f t="shared" si="3"/>
        <v>6101.2699999999995</v>
      </c>
      <c r="F218" s="2">
        <f>tbl_raw[[#This Row],[cogs]]</f>
        <v>2772.95</v>
      </c>
      <c r="G218" s="2">
        <f>SUM(tbl_raw[[#This Row],[storage_cost]:[freight_cost]])</f>
        <v>4153.96</v>
      </c>
      <c r="H218" s="2">
        <f>tbl_profitability[[#This Row],[net_revenue_after_returns]]-tbl_profitability[[#This Row],[cogs]]-tbl_profitability[[#This Row],[operating_costs]]</f>
        <v>-825.64000000000033</v>
      </c>
      <c r="I218" s="10">
        <f>(tbl_profitability[[#This Row],[gross_revenue]]-tbl_profitability[[#This Row],[cogs]])/tbl_profitability[[#This Row],[gross_revenue]]</f>
        <v>0.54999991885896227</v>
      </c>
      <c r="J218" s="10">
        <f>tbl_profitability[[#This Row],[net_profit]]/tbl_profitability[[#This Row],[gross_revenue]]</f>
        <v>-0.13398657278107667</v>
      </c>
      <c r="K218" s="2">
        <f>(tbl_profitability[[#This Row],[cogs]]+tbl_profitability[[#This Row],[return_loss]]+tbl_profitability[[#This Row],[operating_costs]])/tbl_raw[[#This Row],[units_sold]]</f>
        <v>41.347633136094672</v>
      </c>
      <c r="L218" s="8" t="str">
        <f>tbl_raw[[#This Row],[decision]]</f>
        <v>EXIT</v>
      </c>
    </row>
    <row r="219" spans="1:12" x14ac:dyDescent="0.35">
      <c r="A219" s="3" t="str">
        <f>tbl_raw[[#This Row],[product_id]]</f>
        <v>f96ff9b997681965689f78bef092fdd9</v>
      </c>
      <c r="B219" s="4" t="str">
        <f>tbl_raw[[#This Row],[category]]</f>
        <v>health_beauty</v>
      </c>
      <c r="C219" s="2">
        <f>tbl_raw[[#This Row],[gross_revenue]]</f>
        <v>6162</v>
      </c>
      <c r="D219" s="2">
        <f>tbl_raw[[#This Row],[return_loss]]</f>
        <v>2.88</v>
      </c>
      <c r="E219" s="2">
        <f t="shared" si="3"/>
        <v>6159.12</v>
      </c>
      <c r="F219" s="2">
        <f>tbl_raw[[#This Row],[cogs]]</f>
        <v>2588.04</v>
      </c>
      <c r="G219" s="2">
        <f>SUM(tbl_raw[[#This Row],[storage_cost]:[freight_cost]])</f>
        <v>234.03</v>
      </c>
      <c r="H219" s="2">
        <f>tbl_profitability[[#This Row],[net_revenue_after_returns]]-tbl_profitability[[#This Row],[cogs]]-tbl_profitability[[#This Row],[operating_costs]]</f>
        <v>3337.0499999999997</v>
      </c>
      <c r="I219" s="10">
        <f>(tbl_profitability[[#This Row],[gross_revenue]]-tbl_profitability[[#This Row],[cogs]])/tbl_profitability[[#This Row],[gross_revenue]]</f>
        <v>0.57999999999999996</v>
      </c>
      <c r="J219" s="10">
        <f>tbl_profitability[[#This Row],[net_profit]]/tbl_profitability[[#This Row],[gross_revenue]]</f>
        <v>0.54155306718597851</v>
      </c>
      <c r="K219" s="2">
        <f>(tbl_profitability[[#This Row],[cogs]]+tbl_profitability[[#This Row],[return_loss]]+tbl_profitability[[#This Row],[operating_costs]])/tbl_raw[[#This Row],[units_sold]]</f>
        <v>353.11875000000003</v>
      </c>
      <c r="L219" s="8" t="str">
        <f>tbl_raw[[#This Row],[decision]]</f>
        <v>SCALE</v>
      </c>
    </row>
    <row r="220" spans="1:12" x14ac:dyDescent="0.35">
      <c r="A220" s="3" t="str">
        <f>tbl_raw[[#This Row],[product_id]]</f>
        <v>d6fe3b4ddecd4a8393c6a1385de3bfb6</v>
      </c>
      <c r="B220" s="4" t="str">
        <f>tbl_raw[[#This Row],[category]]</f>
        <v>office_furniture</v>
      </c>
      <c r="C220" s="2">
        <f>tbl_raw[[#This Row],[gross_revenue]]</f>
        <v>6160.17</v>
      </c>
      <c r="D220" s="2">
        <f>tbl_raw[[#This Row],[return_loss]]</f>
        <v>11.16</v>
      </c>
      <c r="E220" s="2">
        <f t="shared" si="3"/>
        <v>6149.01</v>
      </c>
      <c r="F220" s="2">
        <f>tbl_raw[[#This Row],[cogs]]</f>
        <v>2772.08</v>
      </c>
      <c r="G220" s="2">
        <f>SUM(tbl_raw[[#This Row],[storage_cost]:[freight_cost]])</f>
        <v>1667.21</v>
      </c>
      <c r="H220" s="2">
        <f>tbl_profitability[[#This Row],[net_revenue_after_returns]]-tbl_profitability[[#This Row],[cogs]]-tbl_profitability[[#This Row],[operating_costs]]</f>
        <v>1709.7200000000003</v>
      </c>
      <c r="I220" s="10">
        <f>(tbl_profitability[[#This Row],[gross_revenue]]-tbl_profitability[[#This Row],[cogs]])/tbl_profitability[[#This Row],[gross_revenue]]</f>
        <v>0.5499994318338618</v>
      </c>
      <c r="J220" s="10">
        <f>tbl_profitability[[#This Row],[net_profit]]/tbl_profitability[[#This Row],[gross_revenue]]</f>
        <v>0.27754428855047836</v>
      </c>
      <c r="K220" s="2">
        <f>(tbl_profitability[[#This Row],[cogs]]+tbl_profitability[[#This Row],[return_loss]]+tbl_profitability[[#This Row],[operating_costs]])/tbl_raw[[#This Row],[units_sold]]</f>
        <v>143.56290322580645</v>
      </c>
      <c r="L220" s="8" t="str">
        <f>tbl_raw[[#This Row],[decision]]</f>
        <v>OPTIMIZE</v>
      </c>
    </row>
    <row r="221" spans="1:12" x14ac:dyDescent="0.35">
      <c r="A221" s="3" t="str">
        <f>tbl_raw[[#This Row],[product_id]]</f>
        <v>e3dd336775af78a83fc27ed85f0f15da</v>
      </c>
      <c r="B221" s="4" t="str">
        <f>tbl_raw[[#This Row],[category]]</f>
        <v>health_beauty</v>
      </c>
      <c r="C221" s="2">
        <f>tbl_raw[[#This Row],[gross_revenue]]</f>
        <v>6153.45</v>
      </c>
      <c r="D221" s="2">
        <f>tbl_raw[[#This Row],[return_loss]]</f>
        <v>5.4</v>
      </c>
      <c r="E221" s="2">
        <f t="shared" si="3"/>
        <v>6148.05</v>
      </c>
      <c r="F221" s="2">
        <f>tbl_raw[[#This Row],[cogs]]</f>
        <v>2584.4499999999998</v>
      </c>
      <c r="G221" s="2">
        <f>SUM(tbl_raw[[#This Row],[storage_cost]:[freight_cost]])</f>
        <v>347.49</v>
      </c>
      <c r="H221" s="2">
        <f>tbl_profitability[[#This Row],[net_revenue_after_returns]]-tbl_profitability[[#This Row],[cogs]]-tbl_profitability[[#This Row],[operating_costs]]</f>
        <v>3216.1100000000006</v>
      </c>
      <c r="I221" s="10">
        <f>(tbl_profitability[[#This Row],[gross_revenue]]-tbl_profitability[[#This Row],[cogs]])/tbl_profitability[[#This Row],[gross_revenue]]</f>
        <v>0.57999983748953843</v>
      </c>
      <c r="J221" s="10">
        <f>tbl_profitability[[#This Row],[net_profit]]/tbl_profitability[[#This Row],[gross_revenue]]</f>
        <v>0.52265152069164467</v>
      </c>
      <c r="K221" s="2">
        <f>(tbl_profitability[[#This Row],[cogs]]+tbl_profitability[[#This Row],[return_loss]]+tbl_profitability[[#This Row],[operating_costs]])/tbl_raw[[#This Row],[units_sold]]</f>
        <v>195.82266666666666</v>
      </c>
      <c r="L221" s="8" t="str">
        <f>tbl_raw[[#This Row],[decision]]</f>
        <v>SCALE</v>
      </c>
    </row>
    <row r="222" spans="1:12" x14ac:dyDescent="0.35">
      <c r="A222" s="3" t="str">
        <f>tbl_raw[[#This Row],[product_id]]</f>
        <v>31a2f42a87890f87d77daebdfabc182e</v>
      </c>
      <c r="B222" s="4" t="str">
        <f>tbl_raw[[#This Row],[category]]</f>
        <v>toys</v>
      </c>
      <c r="C222" s="2">
        <f>tbl_raw[[#This Row],[gross_revenue]]</f>
        <v>6151.2</v>
      </c>
      <c r="D222" s="2">
        <f>tbl_raw[[#This Row],[return_loss]]</f>
        <v>15.12</v>
      </c>
      <c r="E222" s="2">
        <f t="shared" si="3"/>
        <v>6136.08</v>
      </c>
      <c r="F222" s="2">
        <f>tbl_raw[[#This Row],[cogs]]</f>
        <v>2583.5</v>
      </c>
      <c r="G222" s="2">
        <f>SUM(tbl_raw[[#This Row],[storage_cost]:[freight_cost]])</f>
        <v>977.87</v>
      </c>
      <c r="H222" s="2">
        <f>tbl_profitability[[#This Row],[net_revenue_after_returns]]-tbl_profitability[[#This Row],[cogs]]-tbl_profitability[[#This Row],[operating_costs]]</f>
        <v>2574.71</v>
      </c>
      <c r="I222" s="10">
        <f>(tbl_profitability[[#This Row],[gross_revenue]]-tbl_profitability[[#This Row],[cogs]])/tbl_profitability[[#This Row],[gross_revenue]]</f>
        <v>0.58000065027962022</v>
      </c>
      <c r="J222" s="10">
        <f>tbl_profitability[[#This Row],[net_profit]]/tbl_profitability[[#This Row],[gross_revenue]]</f>
        <v>0.41857036025490962</v>
      </c>
      <c r="K222" s="2">
        <f>(tbl_profitability[[#This Row],[cogs]]+tbl_profitability[[#This Row],[return_loss]]+tbl_profitability[[#This Row],[operating_costs]])/tbl_raw[[#This Row],[units_sold]]</f>
        <v>85.154523809523809</v>
      </c>
      <c r="L222" s="8" t="str">
        <f>tbl_raw[[#This Row],[decision]]</f>
        <v>SCALE</v>
      </c>
    </row>
    <row r="223" spans="1:12" x14ac:dyDescent="0.35">
      <c r="A223" s="3" t="str">
        <f>tbl_raw[[#This Row],[product_id]]</f>
        <v>ff92ca9bb0b3f4ec00a9b76c9f68cb3a</v>
      </c>
      <c r="B223" s="4" t="str">
        <f>tbl_raw[[#This Row],[category]]</f>
        <v>small_appliances_home_oven_and_coffee</v>
      </c>
      <c r="C223" s="2">
        <f>tbl_raw[[#This Row],[gross_revenue]]</f>
        <v>6132.6</v>
      </c>
      <c r="D223" s="2">
        <f>tbl_raw[[#This Row],[return_loss]]</f>
        <v>2.52</v>
      </c>
      <c r="E223" s="2">
        <f t="shared" si="3"/>
        <v>6130.08</v>
      </c>
      <c r="F223" s="2">
        <f>tbl_raw[[#This Row],[cogs]]</f>
        <v>3495.58</v>
      </c>
      <c r="G223" s="2">
        <f>SUM(tbl_raw[[#This Row],[storage_cost]:[freight_cost]])</f>
        <v>221.5</v>
      </c>
      <c r="H223" s="2">
        <f>tbl_profitability[[#This Row],[net_revenue_after_returns]]-tbl_profitability[[#This Row],[cogs]]-tbl_profitability[[#This Row],[operating_costs]]</f>
        <v>2413</v>
      </c>
      <c r="I223" s="10">
        <f>(tbl_profitability[[#This Row],[gross_revenue]]-tbl_profitability[[#This Row],[cogs]])/tbl_profitability[[#This Row],[gross_revenue]]</f>
        <v>0.43000032612594991</v>
      </c>
      <c r="J223" s="10">
        <f>tbl_profitability[[#This Row],[net_profit]]/tbl_profitability[[#This Row],[gross_revenue]]</f>
        <v>0.39347095848416658</v>
      </c>
      <c r="K223" s="2">
        <f>(tbl_profitability[[#This Row],[cogs]]+tbl_profitability[[#This Row],[return_loss]]+tbl_profitability[[#This Row],[operating_costs]])/tbl_raw[[#This Row],[units_sold]]</f>
        <v>531.37142857142851</v>
      </c>
      <c r="L223" s="8" t="str">
        <f>tbl_raw[[#This Row],[decision]]</f>
        <v>SCALE</v>
      </c>
    </row>
    <row r="224" spans="1:12" x14ac:dyDescent="0.35">
      <c r="A224" s="3" t="str">
        <f>tbl_raw[[#This Row],[product_id]]</f>
        <v>386486367c1f9d4f587a8864ccb6902b</v>
      </c>
      <c r="B224" s="4" t="str">
        <f>tbl_raw[[#This Row],[category]]</f>
        <v>bed_bath_table</v>
      </c>
      <c r="C224" s="2">
        <f>tbl_raw[[#This Row],[gross_revenue]]</f>
        <v>6128.25</v>
      </c>
      <c r="D224" s="2">
        <f>tbl_raw[[#This Row],[return_loss]]</f>
        <v>19.8</v>
      </c>
      <c r="E224" s="2">
        <f t="shared" si="3"/>
        <v>6108.45</v>
      </c>
      <c r="F224" s="2">
        <f>tbl_raw[[#This Row],[cogs]]</f>
        <v>2757.71</v>
      </c>
      <c r="G224" s="2">
        <f>SUM(tbl_raw[[#This Row],[storage_cost]:[freight_cost]])</f>
        <v>1448.81</v>
      </c>
      <c r="H224" s="2">
        <f>tbl_profitability[[#This Row],[net_revenue_after_returns]]-tbl_profitability[[#This Row],[cogs]]-tbl_profitability[[#This Row],[operating_costs]]</f>
        <v>1901.9299999999998</v>
      </c>
      <c r="I224" s="10">
        <f>(tbl_profitability[[#This Row],[gross_revenue]]-tbl_profitability[[#This Row],[cogs]])/tbl_profitability[[#This Row],[gross_revenue]]</f>
        <v>0.55000040794680372</v>
      </c>
      <c r="J224" s="10">
        <f>tbl_profitability[[#This Row],[net_profit]]/tbl_profitability[[#This Row],[gross_revenue]]</f>
        <v>0.31035450577244722</v>
      </c>
      <c r="K224" s="2">
        <f>(tbl_profitability[[#This Row],[cogs]]+tbl_profitability[[#This Row],[return_loss]]+tbl_profitability[[#This Row],[operating_costs]])/tbl_raw[[#This Row],[units_sold]]</f>
        <v>76.842181818181814</v>
      </c>
      <c r="L224" s="8" t="str">
        <f>tbl_raw[[#This Row],[decision]]</f>
        <v>OPTIMIZE</v>
      </c>
    </row>
    <row r="225" spans="1:12" x14ac:dyDescent="0.35">
      <c r="A225" s="3" t="str">
        <f>tbl_raw[[#This Row],[product_id]]</f>
        <v>4b96786612ebe7463132fce2c4dca136</v>
      </c>
      <c r="B225" s="4" t="str">
        <f>tbl_raw[[#This Row],[category]]</f>
        <v>housewares</v>
      </c>
      <c r="C225" s="2">
        <f>tbl_raw[[#This Row],[gross_revenue]]</f>
        <v>6092.5</v>
      </c>
      <c r="D225" s="2">
        <f>tbl_raw[[#This Row],[return_loss]]</f>
        <v>17.64</v>
      </c>
      <c r="E225" s="2">
        <f t="shared" si="3"/>
        <v>6074.86</v>
      </c>
      <c r="F225" s="2">
        <f>tbl_raw[[#This Row],[cogs]]</f>
        <v>2741.63</v>
      </c>
      <c r="G225" s="2">
        <f>SUM(tbl_raw[[#This Row],[storage_cost]:[freight_cost]])</f>
        <v>1769.69</v>
      </c>
      <c r="H225" s="2">
        <f>tbl_profitability[[#This Row],[net_revenue_after_returns]]-tbl_profitability[[#This Row],[cogs]]-tbl_profitability[[#This Row],[operating_costs]]</f>
        <v>1563.5399999999995</v>
      </c>
      <c r="I225" s="10">
        <f>(tbl_profitability[[#This Row],[gross_revenue]]-tbl_profitability[[#This Row],[cogs]])/tbl_profitability[[#This Row],[gross_revenue]]</f>
        <v>0.54999917931883457</v>
      </c>
      <c r="J225" s="10">
        <f>tbl_profitability[[#This Row],[net_profit]]/tbl_profitability[[#This Row],[gross_revenue]]</f>
        <v>0.25663356585966346</v>
      </c>
      <c r="K225" s="2">
        <f>(tbl_profitability[[#This Row],[cogs]]+tbl_profitability[[#This Row],[return_loss]]+tbl_profitability[[#This Row],[operating_costs]])/tbl_raw[[#This Row],[units_sold]]</f>
        <v>92.42775510204082</v>
      </c>
      <c r="L225" s="8" t="str">
        <f>tbl_raw[[#This Row],[decision]]</f>
        <v>SCALE</v>
      </c>
    </row>
    <row r="226" spans="1:12" x14ac:dyDescent="0.35">
      <c r="A226" s="3" t="str">
        <f>tbl_raw[[#This Row],[product_id]]</f>
        <v>23e44bcf966914b366c7e28f13327dfe</v>
      </c>
      <c r="B226" s="4" t="str">
        <f>tbl_raw[[#This Row],[category]]</f>
        <v>garden_tools</v>
      </c>
      <c r="C226" s="2">
        <f>tbl_raw[[#This Row],[gross_revenue]]</f>
        <v>6087</v>
      </c>
      <c r="D226" s="2">
        <f>tbl_raw[[#This Row],[return_loss]]</f>
        <v>1.08</v>
      </c>
      <c r="E226" s="2">
        <f t="shared" si="3"/>
        <v>6085.92</v>
      </c>
      <c r="F226" s="2">
        <f>tbl_raw[[#This Row],[cogs]]</f>
        <v>2739.15</v>
      </c>
      <c r="G226" s="2">
        <f>SUM(tbl_raw[[#This Row],[storage_cost]:[freight_cost]])</f>
        <v>316.87</v>
      </c>
      <c r="H226" s="2">
        <f>tbl_profitability[[#This Row],[net_revenue_after_returns]]-tbl_profitability[[#This Row],[cogs]]-tbl_profitability[[#This Row],[operating_costs]]</f>
        <v>3029.9</v>
      </c>
      <c r="I226" s="10">
        <f>(tbl_profitability[[#This Row],[gross_revenue]]-tbl_profitability[[#This Row],[cogs]])/tbl_profitability[[#This Row],[gross_revenue]]</f>
        <v>0.54999999999999993</v>
      </c>
      <c r="J226" s="10">
        <f>tbl_profitability[[#This Row],[net_profit]]/tbl_profitability[[#This Row],[gross_revenue]]</f>
        <v>0.49776573024478399</v>
      </c>
      <c r="K226" s="2">
        <f>(tbl_profitability[[#This Row],[cogs]]+tbl_profitability[[#This Row],[return_loss]]+tbl_profitability[[#This Row],[operating_costs]])/tbl_raw[[#This Row],[units_sold]]</f>
        <v>1019.0333333333333</v>
      </c>
      <c r="L226" s="8" t="str">
        <f>tbl_raw[[#This Row],[decision]]</f>
        <v>OPTIMIZE</v>
      </c>
    </row>
    <row r="227" spans="1:12" x14ac:dyDescent="0.35">
      <c r="A227" s="3" t="str">
        <f>tbl_raw[[#This Row],[product_id]]</f>
        <v>e7f85e7f0203b7b95cc1b4c21b4b070c</v>
      </c>
      <c r="B227" s="4" t="str">
        <f>tbl_raw[[#This Row],[category]]</f>
        <v>cool_stuff</v>
      </c>
      <c r="C227" s="2">
        <f>tbl_raw[[#This Row],[gross_revenue]]</f>
        <v>6069.87</v>
      </c>
      <c r="D227" s="2">
        <f>tbl_raw[[#This Row],[return_loss]]</f>
        <v>8.2799999999999994</v>
      </c>
      <c r="E227" s="2">
        <f t="shared" si="3"/>
        <v>6061.59</v>
      </c>
      <c r="F227" s="2">
        <f>tbl_raw[[#This Row],[cogs]]</f>
        <v>2731.44</v>
      </c>
      <c r="G227" s="2">
        <f>SUM(tbl_raw[[#This Row],[storage_cost]:[freight_cost]])</f>
        <v>1139.3399999999999</v>
      </c>
      <c r="H227" s="2">
        <f>tbl_profitability[[#This Row],[net_revenue_after_returns]]-tbl_profitability[[#This Row],[cogs]]-tbl_profitability[[#This Row],[operating_costs]]</f>
        <v>2190.8100000000004</v>
      </c>
      <c r="I227" s="10">
        <f>(tbl_profitability[[#This Row],[gross_revenue]]-tbl_profitability[[#This Row],[cogs]])/tbl_profitability[[#This Row],[gross_revenue]]</f>
        <v>0.55000024712226125</v>
      </c>
      <c r="J227" s="10">
        <f>tbl_profitability[[#This Row],[net_profit]]/tbl_profitability[[#This Row],[gross_revenue]]</f>
        <v>0.36093194747169222</v>
      </c>
      <c r="K227" s="2">
        <f>(tbl_profitability[[#This Row],[cogs]]+tbl_profitability[[#This Row],[return_loss]]+tbl_profitability[[#This Row],[operating_costs]])/tbl_raw[[#This Row],[units_sold]]</f>
        <v>168.65478260869568</v>
      </c>
      <c r="L227" s="8" t="str">
        <f>tbl_raw[[#This Row],[decision]]</f>
        <v>SCALE</v>
      </c>
    </row>
    <row r="228" spans="1:12" x14ac:dyDescent="0.35">
      <c r="A228" s="3" t="str">
        <f>tbl_raw[[#This Row],[product_id]]</f>
        <v>83b00325c13c44245b2c3a2befa62a0e</v>
      </c>
      <c r="B228" s="4" t="str">
        <f>tbl_raw[[#This Row],[category]]</f>
        <v>baby</v>
      </c>
      <c r="C228" s="2">
        <f>tbl_raw[[#This Row],[gross_revenue]]</f>
        <v>6019.63</v>
      </c>
      <c r="D228" s="2">
        <f>tbl_raw[[#This Row],[return_loss]]</f>
        <v>13.68</v>
      </c>
      <c r="E228" s="2">
        <f t="shared" si="3"/>
        <v>6005.95</v>
      </c>
      <c r="F228" s="2">
        <f>tbl_raw[[#This Row],[cogs]]</f>
        <v>2528.2399999999998</v>
      </c>
      <c r="G228" s="2">
        <f>SUM(tbl_raw[[#This Row],[storage_cost]:[freight_cost]])</f>
        <v>2269.96</v>
      </c>
      <c r="H228" s="2">
        <f>tbl_profitability[[#This Row],[net_revenue_after_returns]]-tbl_profitability[[#This Row],[cogs]]-tbl_profitability[[#This Row],[operating_costs]]</f>
        <v>1207.75</v>
      </c>
      <c r="I228" s="10">
        <f>(tbl_profitability[[#This Row],[gross_revenue]]-tbl_profitability[[#This Row],[cogs]])/tbl_profitability[[#This Row],[gross_revenue]]</f>
        <v>0.58000076416656843</v>
      </c>
      <c r="J228" s="10">
        <f>tbl_profitability[[#This Row],[net_profit]]/tbl_profitability[[#This Row],[gross_revenue]]</f>
        <v>0.20063525499075524</v>
      </c>
      <c r="K228" s="2">
        <f>(tbl_profitability[[#This Row],[cogs]]+tbl_profitability[[#This Row],[return_loss]]+tbl_profitability[[#This Row],[operating_costs]])/tbl_raw[[#This Row],[units_sold]]</f>
        <v>126.62842105263155</v>
      </c>
      <c r="L228" s="8" t="str">
        <f>tbl_raw[[#This Row],[decision]]</f>
        <v>OPTIMIZE</v>
      </c>
    </row>
    <row r="229" spans="1:12" x14ac:dyDescent="0.35">
      <c r="A229" s="3" t="str">
        <f>tbl_raw[[#This Row],[product_id]]</f>
        <v>4e5e41fb7d296a6f776c63fee5cb9fac</v>
      </c>
      <c r="B229" s="4" t="str">
        <f>tbl_raw[[#This Row],[category]]</f>
        <v>watches_gifts</v>
      </c>
      <c r="C229" s="2">
        <f>tbl_raw[[#This Row],[gross_revenue]]</f>
        <v>6013.14</v>
      </c>
      <c r="D229" s="2">
        <f>tbl_raw[[#This Row],[return_loss]]</f>
        <v>3.6</v>
      </c>
      <c r="E229" s="2">
        <f t="shared" si="3"/>
        <v>6009.54</v>
      </c>
      <c r="F229" s="2">
        <f>tbl_raw[[#This Row],[cogs]]</f>
        <v>2525.52</v>
      </c>
      <c r="G229" s="2">
        <f>SUM(tbl_raw[[#This Row],[storage_cost]:[freight_cost]])</f>
        <v>238.18</v>
      </c>
      <c r="H229" s="2">
        <f>tbl_profitability[[#This Row],[net_revenue_after_returns]]-tbl_profitability[[#This Row],[cogs]]-tbl_profitability[[#This Row],[operating_costs]]</f>
        <v>3245.84</v>
      </c>
      <c r="I229" s="10">
        <f>(tbl_profitability[[#This Row],[gross_revenue]]-tbl_profitability[[#This Row],[cogs]])/tbl_profitability[[#This Row],[gross_revenue]]</f>
        <v>0.57999980043704291</v>
      </c>
      <c r="J229" s="10">
        <f>tbl_profitability[[#This Row],[net_profit]]/tbl_profitability[[#This Row],[gross_revenue]]</f>
        <v>0.53979119062586267</v>
      </c>
      <c r="K229" s="2">
        <f>(tbl_profitability[[#This Row],[cogs]]+tbl_profitability[[#This Row],[return_loss]]+tbl_profitability[[#This Row],[operating_costs]])/tbl_raw[[#This Row],[units_sold]]</f>
        <v>276.72999999999996</v>
      </c>
      <c r="L229" s="8" t="str">
        <f>tbl_raw[[#This Row],[decision]]</f>
        <v>SCALE</v>
      </c>
    </row>
    <row r="230" spans="1:12" x14ac:dyDescent="0.35">
      <c r="A230" s="3" t="str">
        <f>tbl_raw[[#This Row],[product_id]]</f>
        <v>ec2d43cc59763ec91694573b31f1c29a</v>
      </c>
      <c r="B230" s="4" t="str">
        <f>tbl_raw[[#This Row],[category]]</f>
        <v>bed_bath_table</v>
      </c>
      <c r="C230" s="2">
        <f>tbl_raw[[#This Row],[gross_revenue]]</f>
        <v>6011.77</v>
      </c>
      <c r="D230" s="2">
        <f>tbl_raw[[#This Row],[return_loss]]</f>
        <v>47.16</v>
      </c>
      <c r="E230" s="2">
        <f t="shared" si="3"/>
        <v>5964.6100000000006</v>
      </c>
      <c r="F230" s="2">
        <f>tbl_raw[[#This Row],[cogs]]</f>
        <v>2705.3</v>
      </c>
      <c r="G230" s="2">
        <f>SUM(tbl_raw[[#This Row],[storage_cost]:[freight_cost]])</f>
        <v>2905.9300000000003</v>
      </c>
      <c r="H230" s="2">
        <f>tbl_profitability[[#This Row],[net_revenue_after_returns]]-tbl_profitability[[#This Row],[cogs]]-tbl_profitability[[#This Row],[operating_costs]]</f>
        <v>353.38000000000011</v>
      </c>
      <c r="I230" s="10">
        <f>(tbl_profitability[[#This Row],[gross_revenue]]-tbl_profitability[[#This Row],[cogs]])/tbl_profitability[[#This Row],[gross_revenue]]</f>
        <v>0.54999941780873185</v>
      </c>
      <c r="J230" s="10">
        <f>tbl_profitability[[#This Row],[net_profit]]/tbl_profitability[[#This Row],[gross_revenue]]</f>
        <v>5.8781357237552352E-2</v>
      </c>
      <c r="K230" s="2">
        <f>(tbl_profitability[[#This Row],[cogs]]+tbl_profitability[[#This Row],[return_loss]]+tbl_profitability[[#This Row],[operating_costs]])/tbl_raw[[#This Row],[units_sold]]</f>
        <v>43.193816793893134</v>
      </c>
      <c r="L230" s="8" t="str">
        <f>tbl_raw[[#This Row],[decision]]</f>
        <v>EXIT</v>
      </c>
    </row>
    <row r="231" spans="1:12" x14ac:dyDescent="0.35">
      <c r="A231" s="3" t="str">
        <f>tbl_raw[[#This Row],[product_id]]</f>
        <v>cf78006a2a6b0429b9663edd99bb38f9</v>
      </c>
      <c r="B231" s="4" t="str">
        <f>tbl_raw[[#This Row],[category]]</f>
        <v>furniture_decor</v>
      </c>
      <c r="C231" s="2">
        <f>tbl_raw[[#This Row],[gross_revenue]]</f>
        <v>5999.8</v>
      </c>
      <c r="D231" s="2">
        <f>tbl_raw[[#This Row],[return_loss]]</f>
        <v>7.2</v>
      </c>
      <c r="E231" s="2">
        <f t="shared" si="3"/>
        <v>5992.6</v>
      </c>
      <c r="F231" s="2">
        <f>tbl_raw[[#This Row],[cogs]]</f>
        <v>2699.91</v>
      </c>
      <c r="G231" s="2">
        <f>SUM(tbl_raw[[#This Row],[storage_cost]:[freight_cost]])</f>
        <v>818.75</v>
      </c>
      <c r="H231" s="2">
        <f>tbl_profitability[[#This Row],[net_revenue_after_returns]]-tbl_profitability[[#This Row],[cogs]]-tbl_profitability[[#This Row],[operating_costs]]</f>
        <v>2473.9400000000005</v>
      </c>
      <c r="I231" s="10">
        <f>(tbl_profitability[[#This Row],[gross_revenue]]-tbl_profitability[[#This Row],[cogs]])/tbl_profitability[[#This Row],[gross_revenue]]</f>
        <v>0.55000000000000004</v>
      </c>
      <c r="J231" s="10">
        <f>tbl_profitability[[#This Row],[net_profit]]/tbl_profitability[[#This Row],[gross_revenue]]</f>
        <v>0.41233707790259683</v>
      </c>
      <c r="K231" s="2">
        <f>(tbl_profitability[[#This Row],[cogs]]+tbl_profitability[[#This Row],[return_loss]]+tbl_profitability[[#This Row],[operating_costs]])/tbl_raw[[#This Row],[units_sold]]</f>
        <v>176.29299999999998</v>
      </c>
      <c r="L231" s="8" t="str">
        <f>tbl_raw[[#This Row],[decision]]</f>
        <v>OPTIMIZE</v>
      </c>
    </row>
    <row r="232" spans="1:12" x14ac:dyDescent="0.35">
      <c r="A232" s="3" t="str">
        <f>tbl_raw[[#This Row],[product_id]]</f>
        <v>59f09deeea7c839a9212a19f3416b892</v>
      </c>
      <c r="B232" s="4" t="str">
        <f>tbl_raw[[#This Row],[category]]</f>
        <v>housewares</v>
      </c>
      <c r="C232" s="2">
        <f>tbl_raw[[#This Row],[gross_revenue]]</f>
        <v>5998.4</v>
      </c>
      <c r="D232" s="2">
        <f>tbl_raw[[#This Row],[return_loss]]</f>
        <v>5.76</v>
      </c>
      <c r="E232" s="2">
        <f t="shared" si="3"/>
        <v>5992.6399999999994</v>
      </c>
      <c r="F232" s="2">
        <f>tbl_raw[[#This Row],[cogs]]</f>
        <v>2699.28</v>
      </c>
      <c r="G232" s="2">
        <f>SUM(tbl_raw[[#This Row],[storage_cost]:[freight_cost]])</f>
        <v>1498.57</v>
      </c>
      <c r="H232" s="2">
        <f>tbl_profitability[[#This Row],[net_revenue_after_returns]]-tbl_profitability[[#This Row],[cogs]]-tbl_profitability[[#This Row],[operating_costs]]</f>
        <v>1794.7899999999993</v>
      </c>
      <c r="I232" s="10">
        <f>(tbl_profitability[[#This Row],[gross_revenue]]-tbl_profitability[[#This Row],[cogs]])/tbl_profitability[[#This Row],[gross_revenue]]</f>
        <v>0.54999999999999993</v>
      </c>
      <c r="J232" s="10">
        <f>tbl_profitability[[#This Row],[net_profit]]/tbl_profitability[[#This Row],[gross_revenue]]</f>
        <v>0.29921145638837016</v>
      </c>
      <c r="K232" s="2">
        <f>(tbl_profitability[[#This Row],[cogs]]+tbl_profitability[[#This Row],[return_loss]]+tbl_profitability[[#This Row],[operating_costs]])/tbl_raw[[#This Row],[units_sold]]</f>
        <v>262.72562500000004</v>
      </c>
      <c r="L232" s="8" t="str">
        <f>tbl_raw[[#This Row],[decision]]</f>
        <v>OPTIMIZE</v>
      </c>
    </row>
    <row r="233" spans="1:12" x14ac:dyDescent="0.35">
      <c r="A233" s="3" t="str">
        <f>tbl_raw[[#This Row],[product_id]]</f>
        <v>06abf4be826ed1d548e8a22a3d75d912</v>
      </c>
      <c r="B233" s="4" t="str">
        <f>tbl_raw[[#This Row],[category]]</f>
        <v>health_beauty</v>
      </c>
      <c r="C233" s="2">
        <f>tbl_raw[[#This Row],[gross_revenue]]</f>
        <v>5990</v>
      </c>
      <c r="D233" s="2">
        <f>tbl_raw[[#This Row],[return_loss]]</f>
        <v>3.6</v>
      </c>
      <c r="E233" s="2">
        <f t="shared" si="3"/>
        <v>5986.4</v>
      </c>
      <c r="F233" s="2">
        <f>tbl_raw[[#This Row],[cogs]]</f>
        <v>2515.8000000000002</v>
      </c>
      <c r="G233" s="2">
        <f>SUM(tbl_raw[[#This Row],[storage_cost]:[freight_cost]])</f>
        <v>408.59</v>
      </c>
      <c r="H233" s="2">
        <f>tbl_profitability[[#This Row],[net_revenue_after_returns]]-tbl_profitability[[#This Row],[cogs]]-tbl_profitability[[#This Row],[operating_costs]]</f>
        <v>3062.0099999999993</v>
      </c>
      <c r="I233" s="10">
        <f>(tbl_profitability[[#This Row],[gross_revenue]]-tbl_profitability[[#This Row],[cogs]])/tbl_profitability[[#This Row],[gross_revenue]]</f>
        <v>0.57999999999999996</v>
      </c>
      <c r="J233" s="10">
        <f>tbl_profitability[[#This Row],[net_profit]]/tbl_profitability[[#This Row],[gross_revenue]]</f>
        <v>0.51118697829716186</v>
      </c>
      <c r="K233" s="2">
        <f>(tbl_profitability[[#This Row],[cogs]]+tbl_profitability[[#This Row],[return_loss]]+tbl_profitability[[#This Row],[operating_costs]])/tbl_raw[[#This Row],[units_sold]]</f>
        <v>292.79900000000004</v>
      </c>
      <c r="L233" s="8" t="str">
        <f>tbl_raw[[#This Row],[decision]]</f>
        <v>SCALE</v>
      </c>
    </row>
    <row r="234" spans="1:12" x14ac:dyDescent="0.35">
      <c r="A234" s="3" t="str">
        <f>tbl_raw[[#This Row],[product_id]]</f>
        <v>b914a18d4547eff292fedeccc82faec6</v>
      </c>
      <c r="B234" s="4" t="str">
        <f>tbl_raw[[#This Row],[category]]</f>
        <v>watches_gifts</v>
      </c>
      <c r="C234" s="2">
        <f>tbl_raw[[#This Row],[gross_revenue]]</f>
        <v>5972.96</v>
      </c>
      <c r="D234" s="2">
        <f>tbl_raw[[#This Row],[return_loss]]</f>
        <v>2.88</v>
      </c>
      <c r="E234" s="2">
        <f t="shared" si="3"/>
        <v>5970.08</v>
      </c>
      <c r="F234" s="2">
        <f>tbl_raw[[#This Row],[cogs]]</f>
        <v>2508.64</v>
      </c>
      <c r="G234" s="2">
        <f>SUM(tbl_raw[[#This Row],[storage_cost]:[freight_cost]])</f>
        <v>214.39</v>
      </c>
      <c r="H234" s="2">
        <f>tbl_profitability[[#This Row],[net_revenue_after_returns]]-tbl_profitability[[#This Row],[cogs]]-tbl_profitability[[#This Row],[operating_costs]]</f>
        <v>3247.05</v>
      </c>
      <c r="I234" s="10">
        <f>(tbl_profitability[[#This Row],[gross_revenue]]-tbl_profitability[[#This Row],[cogs]])/tbl_profitability[[#This Row],[gross_revenue]]</f>
        <v>0.58000053574777</v>
      </c>
      <c r="J234" s="10">
        <f>tbl_profitability[[#This Row],[net_profit]]/tbl_profitability[[#This Row],[gross_revenue]]</f>
        <v>0.54362493637995235</v>
      </c>
      <c r="K234" s="2">
        <f>(tbl_profitability[[#This Row],[cogs]]+tbl_profitability[[#This Row],[return_loss]]+tbl_profitability[[#This Row],[operating_costs]])/tbl_raw[[#This Row],[units_sold]]</f>
        <v>340.73874999999998</v>
      </c>
      <c r="L234" s="8" t="str">
        <f>tbl_raw[[#This Row],[decision]]</f>
        <v>OPTIMIZE</v>
      </c>
    </row>
    <row r="235" spans="1:12" x14ac:dyDescent="0.35">
      <c r="A235" s="3" t="str">
        <f>tbl_raw[[#This Row],[product_id]]</f>
        <v>f40876e0ef3cd5f9132b1f16b04b1346</v>
      </c>
      <c r="B235" s="4" t="str">
        <f>tbl_raw[[#This Row],[category]]</f>
        <v>health_beauty</v>
      </c>
      <c r="C235" s="2">
        <f>tbl_raw[[#This Row],[gross_revenue]]</f>
        <v>5964.5</v>
      </c>
      <c r="D235" s="2">
        <f>tbl_raw[[#This Row],[return_loss]]</f>
        <v>19.8</v>
      </c>
      <c r="E235" s="2">
        <f t="shared" si="3"/>
        <v>5944.7</v>
      </c>
      <c r="F235" s="2">
        <f>tbl_raw[[#This Row],[cogs]]</f>
        <v>2505.09</v>
      </c>
      <c r="G235" s="2">
        <f>SUM(tbl_raw[[#This Row],[storage_cost]:[freight_cost]])</f>
        <v>1300.1600000000001</v>
      </c>
      <c r="H235" s="2">
        <f>tbl_profitability[[#This Row],[net_revenue_after_returns]]-tbl_profitability[[#This Row],[cogs]]-tbl_profitability[[#This Row],[operating_costs]]</f>
        <v>2139.4499999999998</v>
      </c>
      <c r="I235" s="10">
        <f>(tbl_profitability[[#This Row],[gross_revenue]]-tbl_profitability[[#This Row],[cogs]])/tbl_profitability[[#This Row],[gross_revenue]]</f>
        <v>0.57999999999999996</v>
      </c>
      <c r="J235" s="10">
        <f>tbl_profitability[[#This Row],[net_profit]]/tbl_profitability[[#This Row],[gross_revenue]]</f>
        <v>0.35869729231285102</v>
      </c>
      <c r="K235" s="2">
        <f>(tbl_profitability[[#This Row],[cogs]]+tbl_profitability[[#This Row],[return_loss]]+tbl_profitability[[#This Row],[operating_costs]])/tbl_raw[[#This Row],[units_sold]]</f>
        <v>69.546363636363637</v>
      </c>
      <c r="L235" s="8" t="str">
        <f>tbl_raw[[#This Row],[decision]]</f>
        <v>SCALE</v>
      </c>
    </row>
    <row r="236" spans="1:12" x14ac:dyDescent="0.35">
      <c r="A236" s="3" t="str">
        <f>tbl_raw[[#This Row],[product_id]]</f>
        <v>caaa713799b547352795c831a14f1c3c</v>
      </c>
      <c r="B236" s="4" t="str">
        <f>tbl_raw[[#This Row],[category]]</f>
        <v>computers</v>
      </c>
      <c r="C236" s="2">
        <f>tbl_raw[[#This Row],[gross_revenue]]</f>
        <v>5949.93</v>
      </c>
      <c r="D236" s="2">
        <f>tbl_raw[[#This Row],[return_loss]]</f>
        <v>6.3</v>
      </c>
      <c r="E236" s="2">
        <f t="shared" si="3"/>
        <v>5943.63</v>
      </c>
      <c r="F236" s="2">
        <f>tbl_raw[[#This Row],[cogs]]</f>
        <v>3391.46</v>
      </c>
      <c r="G236" s="2">
        <f>SUM(tbl_raw[[#This Row],[storage_cost]:[freight_cost]])</f>
        <v>370.01</v>
      </c>
      <c r="H236" s="2">
        <f>tbl_profitability[[#This Row],[net_revenue_after_returns]]-tbl_profitability[[#This Row],[cogs]]-tbl_profitability[[#This Row],[operating_costs]]</f>
        <v>2182.16</v>
      </c>
      <c r="I236" s="10">
        <f>(tbl_profitability[[#This Row],[gross_revenue]]-tbl_profitability[[#This Row],[cogs]])/tbl_profitability[[#This Row],[gross_revenue]]</f>
        <v>0.43000001680692046</v>
      </c>
      <c r="J236" s="10">
        <f>tbl_profitability[[#This Row],[net_profit]]/tbl_profitability[[#This Row],[gross_revenue]]</f>
        <v>0.36675389458363372</v>
      </c>
      <c r="K236" s="2">
        <f>(tbl_profitability[[#This Row],[cogs]]+tbl_profitability[[#This Row],[return_loss]]+tbl_profitability[[#This Row],[operating_costs]])/tbl_raw[[#This Row],[units_sold]]</f>
        <v>538.25285714285724</v>
      </c>
      <c r="L236" s="8" t="str">
        <f>tbl_raw[[#This Row],[decision]]</f>
        <v>SCALE</v>
      </c>
    </row>
    <row r="237" spans="1:12" x14ac:dyDescent="0.35">
      <c r="A237" s="3" t="str">
        <f>tbl_raw[[#This Row],[product_id]]</f>
        <v>e272c7b6c21c38e8ee510666a28460d4</v>
      </c>
      <c r="B237" s="4" t="str">
        <f>tbl_raw[[#This Row],[category]]</f>
        <v>computers_accessories</v>
      </c>
      <c r="C237" s="2">
        <f>tbl_raw[[#This Row],[gross_revenue]]</f>
        <v>5935</v>
      </c>
      <c r="D237" s="2">
        <f>tbl_raw[[#This Row],[return_loss]]</f>
        <v>4.5</v>
      </c>
      <c r="E237" s="2">
        <f t="shared" si="3"/>
        <v>5930.5</v>
      </c>
      <c r="F237" s="2">
        <f>tbl_raw[[#This Row],[cogs]]</f>
        <v>3382.95</v>
      </c>
      <c r="G237" s="2">
        <f>SUM(tbl_raw[[#This Row],[storage_cost]:[freight_cost]])</f>
        <v>177.28</v>
      </c>
      <c r="H237" s="2">
        <f>tbl_profitability[[#This Row],[net_revenue_after_returns]]-tbl_profitability[[#This Row],[cogs]]-tbl_profitability[[#This Row],[operating_costs]]</f>
        <v>2370.27</v>
      </c>
      <c r="I237" s="10">
        <f>(tbl_profitability[[#This Row],[gross_revenue]]-tbl_profitability[[#This Row],[cogs]])/tbl_profitability[[#This Row],[gross_revenue]]</f>
        <v>0.43000000000000005</v>
      </c>
      <c r="J237" s="10">
        <f>tbl_profitability[[#This Row],[net_profit]]/tbl_profitability[[#This Row],[gross_revenue]]</f>
        <v>0.39937152485256949</v>
      </c>
      <c r="K237" s="2">
        <f>(tbl_profitability[[#This Row],[cogs]]+tbl_profitability[[#This Row],[return_loss]]+tbl_profitability[[#This Row],[operating_costs]])/tbl_raw[[#This Row],[units_sold]]</f>
        <v>712.94600000000003</v>
      </c>
      <c r="L237" s="8" t="str">
        <f>tbl_raw[[#This Row],[decision]]</f>
        <v>SCALE</v>
      </c>
    </row>
    <row r="238" spans="1:12" x14ac:dyDescent="0.35">
      <c r="A238" s="3" t="str">
        <f>tbl_raw[[#This Row],[product_id]]</f>
        <v>c183fd5d2abf05873fa6e1014ed9e06c</v>
      </c>
      <c r="B238" s="4" t="str">
        <f>tbl_raw[[#This Row],[category]]</f>
        <v>agro_industry_and_commerce</v>
      </c>
      <c r="C238" s="2">
        <f>tbl_raw[[#This Row],[gross_revenue]]</f>
        <v>5934.6</v>
      </c>
      <c r="D238" s="2">
        <f>tbl_raw[[#This Row],[return_loss]]</f>
        <v>2.16</v>
      </c>
      <c r="E238" s="2">
        <f t="shared" si="3"/>
        <v>5932.4400000000005</v>
      </c>
      <c r="F238" s="2">
        <f>tbl_raw[[#This Row],[cogs]]</f>
        <v>2670.57</v>
      </c>
      <c r="G238" s="2">
        <f>SUM(tbl_raw[[#This Row],[storage_cost]:[freight_cost]])</f>
        <v>156.94</v>
      </c>
      <c r="H238" s="2">
        <f>tbl_profitability[[#This Row],[net_revenue_after_returns]]-tbl_profitability[[#This Row],[cogs]]-tbl_profitability[[#This Row],[operating_costs]]</f>
        <v>3104.9300000000003</v>
      </c>
      <c r="I238" s="10">
        <f>(tbl_profitability[[#This Row],[gross_revenue]]-tbl_profitability[[#This Row],[cogs]])/tbl_profitability[[#This Row],[gross_revenue]]</f>
        <v>0.55000000000000004</v>
      </c>
      <c r="J238" s="10">
        <f>tbl_profitability[[#This Row],[net_profit]]/tbl_profitability[[#This Row],[gross_revenue]]</f>
        <v>0.52319111650321848</v>
      </c>
      <c r="K238" s="2">
        <f>(tbl_profitability[[#This Row],[cogs]]+tbl_profitability[[#This Row],[return_loss]]+tbl_profitability[[#This Row],[operating_costs]])/tbl_raw[[#This Row],[units_sold]]</f>
        <v>471.61166666666668</v>
      </c>
      <c r="L238" s="8" t="str">
        <f>tbl_raw[[#This Row],[decision]]</f>
        <v>EXIT</v>
      </c>
    </row>
    <row r="239" spans="1:12" x14ac:dyDescent="0.35">
      <c r="A239" s="3" t="str">
        <f>tbl_raw[[#This Row],[product_id]]</f>
        <v>d04857e7b4b708ee8b8b9921163edba3</v>
      </c>
      <c r="B239" s="4" t="str">
        <f>tbl_raw[[#This Row],[category]]</f>
        <v>computers_accessories</v>
      </c>
      <c r="C239" s="2">
        <f>tbl_raw[[#This Row],[gross_revenue]]</f>
        <v>5929.16</v>
      </c>
      <c r="D239" s="2">
        <f>tbl_raw[[#This Row],[return_loss]]</f>
        <v>75.599999999999994</v>
      </c>
      <c r="E239" s="2">
        <f t="shared" si="3"/>
        <v>5853.5599999999995</v>
      </c>
      <c r="F239" s="2">
        <f>tbl_raw[[#This Row],[cogs]]</f>
        <v>3379.62</v>
      </c>
      <c r="G239" s="2">
        <f>SUM(tbl_raw[[#This Row],[storage_cost]:[freight_cost]])</f>
        <v>2349.85</v>
      </c>
      <c r="H239" s="2">
        <f>tbl_profitability[[#This Row],[net_revenue_after_returns]]-tbl_profitability[[#This Row],[cogs]]-tbl_profitability[[#This Row],[operating_costs]]</f>
        <v>124.08999999999969</v>
      </c>
      <c r="I239" s="10">
        <f>(tbl_profitability[[#This Row],[gross_revenue]]-tbl_profitability[[#This Row],[cogs]])/tbl_profitability[[#This Row],[gross_revenue]]</f>
        <v>0.43000020238954589</v>
      </c>
      <c r="J239" s="10">
        <f>tbl_profitability[[#This Row],[net_profit]]/tbl_profitability[[#This Row],[gross_revenue]]</f>
        <v>2.0928765626159473E-2</v>
      </c>
      <c r="K239" s="2">
        <f>(tbl_profitability[[#This Row],[cogs]]+tbl_profitability[[#This Row],[return_loss]]+tbl_profitability[[#This Row],[operating_costs]])/tbl_raw[[#This Row],[units_sold]]</f>
        <v>69.107976190476194</v>
      </c>
      <c r="L239" s="8" t="str">
        <f>tbl_raw[[#This Row],[decision]]</f>
        <v>EXIT</v>
      </c>
    </row>
    <row r="240" spans="1:12" x14ac:dyDescent="0.35">
      <c r="A240" s="3" t="str">
        <f>tbl_raw[[#This Row],[product_id]]</f>
        <v>404a57563d487aecbc2b1a01d9b89aab</v>
      </c>
      <c r="B240" s="4" t="str">
        <f>tbl_raw[[#This Row],[category]]</f>
        <v>bed_bath_table</v>
      </c>
      <c r="C240" s="2">
        <f>tbl_raw[[#This Row],[gross_revenue]]</f>
        <v>5919.9</v>
      </c>
      <c r="D240" s="2">
        <f>tbl_raw[[#This Row],[return_loss]]</f>
        <v>9.7200000000000006</v>
      </c>
      <c r="E240" s="2">
        <f t="shared" si="3"/>
        <v>5910.1799999999994</v>
      </c>
      <c r="F240" s="2">
        <f>tbl_raw[[#This Row],[cogs]]</f>
        <v>2663.96</v>
      </c>
      <c r="G240" s="2">
        <f>SUM(tbl_raw[[#This Row],[storage_cost]:[freight_cost]])</f>
        <v>857.35</v>
      </c>
      <c r="H240" s="2">
        <f>tbl_profitability[[#This Row],[net_revenue_after_returns]]-tbl_profitability[[#This Row],[cogs]]-tbl_profitability[[#This Row],[operating_costs]]</f>
        <v>2388.8699999999994</v>
      </c>
      <c r="I240" s="10">
        <f>(tbl_profitability[[#This Row],[gross_revenue]]-tbl_profitability[[#This Row],[cogs]])/tbl_profitability[[#This Row],[gross_revenue]]</f>
        <v>0.54999915539113831</v>
      </c>
      <c r="J240" s="10">
        <f>tbl_profitability[[#This Row],[net_profit]]/tbl_profitability[[#This Row],[gross_revenue]]</f>
        <v>0.4035321542593624</v>
      </c>
      <c r="K240" s="2">
        <f>(tbl_profitability[[#This Row],[cogs]]+tbl_profitability[[#This Row],[return_loss]]+tbl_profitability[[#This Row],[operating_costs]])/tbl_raw[[#This Row],[units_sold]]</f>
        <v>130.77888888888887</v>
      </c>
      <c r="L240" s="8" t="str">
        <f>tbl_raw[[#This Row],[decision]]</f>
        <v>OPTIMIZE</v>
      </c>
    </row>
    <row r="241" spans="1:12" x14ac:dyDescent="0.35">
      <c r="A241" s="3" t="str">
        <f>tbl_raw[[#This Row],[product_id]]</f>
        <v>61a4100ccd6d9c4c808a1fd954ddb8ad</v>
      </c>
      <c r="B241" s="4" t="str">
        <f>tbl_raw[[#This Row],[category]]</f>
        <v>small_appliances</v>
      </c>
      <c r="C241" s="2">
        <f>tbl_raw[[#This Row],[gross_revenue]]</f>
        <v>5834.14</v>
      </c>
      <c r="D241" s="2">
        <f>tbl_raw[[#This Row],[return_loss]]</f>
        <v>4.32</v>
      </c>
      <c r="E241" s="2">
        <f t="shared" si="3"/>
        <v>5829.8200000000006</v>
      </c>
      <c r="F241" s="2">
        <f>tbl_raw[[#This Row],[cogs]]</f>
        <v>3325.46</v>
      </c>
      <c r="G241" s="2">
        <f>SUM(tbl_raw[[#This Row],[storage_cost]:[freight_cost]])</f>
        <v>467.5</v>
      </c>
      <c r="H241" s="2">
        <f>tbl_profitability[[#This Row],[net_revenue_after_returns]]-tbl_profitability[[#This Row],[cogs]]-tbl_profitability[[#This Row],[operating_costs]]</f>
        <v>2036.8600000000006</v>
      </c>
      <c r="I241" s="10">
        <f>(tbl_profitability[[#This Row],[gross_revenue]]-tbl_profitability[[#This Row],[cogs]])/tbl_profitability[[#This Row],[gross_revenue]]</f>
        <v>0.42999996571902632</v>
      </c>
      <c r="J241" s="10">
        <f>tbl_profitability[[#This Row],[net_profit]]/tbl_profitability[[#This Row],[gross_revenue]]</f>
        <v>0.34912772062377667</v>
      </c>
      <c r="K241" s="2">
        <f>(tbl_profitability[[#This Row],[cogs]]+tbl_profitability[[#This Row],[return_loss]]+tbl_profitability[[#This Row],[operating_costs]])/tbl_raw[[#This Row],[units_sold]]</f>
        <v>316.44</v>
      </c>
      <c r="L241" s="8" t="str">
        <f>tbl_raw[[#This Row],[decision]]</f>
        <v>SCALE</v>
      </c>
    </row>
    <row r="242" spans="1:12" x14ac:dyDescent="0.35">
      <c r="A242" s="3" t="str">
        <f>tbl_raw[[#This Row],[product_id]]</f>
        <v>06edb72f1e0c64b14c5b79353f7abea3</v>
      </c>
      <c r="B242" s="4" t="str">
        <f>tbl_raw[[#This Row],[category]]</f>
        <v>bed_bath_table</v>
      </c>
      <c r="C242" s="2">
        <f>tbl_raw[[#This Row],[gross_revenue]]</f>
        <v>5831.77</v>
      </c>
      <c r="D242" s="2">
        <f>tbl_raw[[#This Row],[return_loss]]</f>
        <v>51.48</v>
      </c>
      <c r="E242" s="2">
        <f t="shared" si="3"/>
        <v>5780.2900000000009</v>
      </c>
      <c r="F242" s="2">
        <f>tbl_raw[[#This Row],[cogs]]</f>
        <v>2624.3</v>
      </c>
      <c r="G242" s="2">
        <f>SUM(tbl_raw[[#This Row],[storage_cost]:[freight_cost]])</f>
        <v>3293.31</v>
      </c>
      <c r="H242" s="2">
        <f>tbl_profitability[[#This Row],[net_revenue_after_returns]]-tbl_profitability[[#This Row],[cogs]]-tbl_profitability[[#This Row],[operating_costs]]</f>
        <v>-137.31999999999925</v>
      </c>
      <c r="I242" s="10">
        <f>(tbl_profitability[[#This Row],[gross_revenue]]-tbl_profitability[[#This Row],[cogs]])/tbl_profitability[[#This Row],[gross_revenue]]</f>
        <v>0.54999939983915691</v>
      </c>
      <c r="J242" s="10">
        <f>tbl_profitability[[#This Row],[net_profit]]/tbl_profitability[[#This Row],[gross_revenue]]</f>
        <v>-2.3546881992945409E-2</v>
      </c>
      <c r="K242" s="2">
        <f>(tbl_profitability[[#This Row],[cogs]]+tbl_profitability[[#This Row],[return_loss]]+tbl_profitability[[#This Row],[operating_costs]])/tbl_raw[[#This Row],[units_sold]]</f>
        <v>41.741888111888116</v>
      </c>
      <c r="L242" s="8" t="str">
        <f>tbl_raw[[#This Row],[decision]]</f>
        <v>EXIT</v>
      </c>
    </row>
    <row r="243" spans="1:12" x14ac:dyDescent="0.35">
      <c r="A243" s="3" t="str">
        <f>tbl_raw[[#This Row],[product_id]]</f>
        <v>57c9362442482cd2451f2eabf468e532</v>
      </c>
      <c r="B243" s="4" t="str">
        <f>tbl_raw[[#This Row],[category]]</f>
        <v>watches_gifts</v>
      </c>
      <c r="C243" s="2">
        <f>tbl_raw[[#This Row],[gross_revenue]]</f>
        <v>5824.97</v>
      </c>
      <c r="D243" s="2">
        <f>tbl_raw[[#This Row],[return_loss]]</f>
        <v>2.16</v>
      </c>
      <c r="E243" s="2">
        <f t="shared" si="3"/>
        <v>5822.81</v>
      </c>
      <c r="F243" s="2">
        <f>tbl_raw[[#This Row],[cogs]]</f>
        <v>2446.4899999999998</v>
      </c>
      <c r="G243" s="2">
        <f>SUM(tbl_raw[[#This Row],[storage_cost]:[freight_cost]])</f>
        <v>167.87</v>
      </c>
      <c r="H243" s="2">
        <f>tbl_profitability[[#This Row],[net_revenue_after_returns]]-tbl_profitability[[#This Row],[cogs]]-tbl_profitability[[#This Row],[operating_costs]]</f>
        <v>3208.4500000000007</v>
      </c>
      <c r="I243" s="10">
        <f>(tbl_profitability[[#This Row],[gross_revenue]]-tbl_profitability[[#This Row],[cogs]])/tbl_profitability[[#This Row],[gross_revenue]]</f>
        <v>0.57999955364576994</v>
      </c>
      <c r="J243" s="10">
        <f>tbl_profitability[[#This Row],[net_profit]]/tbl_profitability[[#This Row],[gross_revenue]]</f>
        <v>0.55080970374096361</v>
      </c>
      <c r="K243" s="2">
        <f>(tbl_profitability[[#This Row],[cogs]]+tbl_profitability[[#This Row],[return_loss]]+tbl_profitability[[#This Row],[operating_costs]])/tbl_raw[[#This Row],[units_sold]]</f>
        <v>436.08666666666659</v>
      </c>
      <c r="L243" s="8" t="str">
        <f>tbl_raw[[#This Row],[decision]]</f>
        <v>SCALE</v>
      </c>
    </row>
    <row r="244" spans="1:12" x14ac:dyDescent="0.35">
      <c r="A244" s="3" t="str">
        <f>tbl_raw[[#This Row],[product_id]]</f>
        <v>aef8207c2e91f4fcdbc0824737abf358</v>
      </c>
      <c r="B244" s="4" t="str">
        <f>tbl_raw[[#This Row],[category]]</f>
        <v>health_beauty</v>
      </c>
      <c r="C244" s="2">
        <f>tbl_raw[[#This Row],[gross_revenue]]</f>
        <v>5799.82</v>
      </c>
      <c r="D244" s="2">
        <f>tbl_raw[[#This Row],[return_loss]]</f>
        <v>6.48</v>
      </c>
      <c r="E244" s="2">
        <f t="shared" si="3"/>
        <v>5793.34</v>
      </c>
      <c r="F244" s="2">
        <f>tbl_raw[[#This Row],[cogs]]</f>
        <v>2435.92</v>
      </c>
      <c r="G244" s="2">
        <f>SUM(tbl_raw[[#This Row],[storage_cost]:[freight_cost]])</f>
        <v>367.58</v>
      </c>
      <c r="H244" s="2">
        <f>tbl_profitability[[#This Row],[net_revenue_after_returns]]-tbl_profitability[[#This Row],[cogs]]-tbl_profitability[[#This Row],[operating_costs]]</f>
        <v>2989.84</v>
      </c>
      <c r="I244" s="10">
        <f>(tbl_profitability[[#This Row],[gross_revenue]]-tbl_profitability[[#This Row],[cogs]])/tbl_profitability[[#This Row],[gross_revenue]]</f>
        <v>0.58000075864423373</v>
      </c>
      <c r="J244" s="10">
        <f>tbl_profitability[[#This Row],[net_profit]]/tbl_profitability[[#This Row],[gross_revenue]]</f>
        <v>0.51550565362373324</v>
      </c>
      <c r="K244" s="2">
        <f>(tbl_profitability[[#This Row],[cogs]]+tbl_profitability[[#This Row],[return_loss]]+tbl_profitability[[#This Row],[operating_costs]])/tbl_raw[[#This Row],[units_sold]]</f>
        <v>156.11000000000001</v>
      </c>
      <c r="L244" s="8" t="str">
        <f>tbl_raw[[#This Row],[decision]]</f>
        <v>SCALE</v>
      </c>
    </row>
    <row r="245" spans="1:12" x14ac:dyDescent="0.35">
      <c r="A245" s="3" t="str">
        <f>tbl_raw[[#This Row],[product_id]]</f>
        <v>43423cdffde7fda63d0414ed38c11a73</v>
      </c>
      <c r="B245" s="4" t="str">
        <f>tbl_raw[[#This Row],[category]]</f>
        <v>watches_gifts</v>
      </c>
      <c r="C245" s="2">
        <f>tbl_raw[[#This Row],[gross_revenue]]</f>
        <v>5780.28</v>
      </c>
      <c r="D245" s="2">
        <f>tbl_raw[[#This Row],[return_loss]]</f>
        <v>33.479999999999997</v>
      </c>
      <c r="E245" s="2">
        <f t="shared" si="3"/>
        <v>5746.8</v>
      </c>
      <c r="F245" s="2">
        <f>tbl_raw[[#This Row],[cogs]]</f>
        <v>2427.7199999999998</v>
      </c>
      <c r="G245" s="2">
        <f>SUM(tbl_raw[[#This Row],[storage_cost]:[freight_cost]])</f>
        <v>2152.1999999999998</v>
      </c>
      <c r="H245" s="2">
        <f>tbl_profitability[[#This Row],[net_revenue_after_returns]]-tbl_profitability[[#This Row],[cogs]]-tbl_profitability[[#This Row],[operating_costs]]</f>
        <v>1166.8800000000006</v>
      </c>
      <c r="I245" s="10">
        <f>(tbl_profitability[[#This Row],[gross_revenue]]-tbl_profitability[[#This Row],[cogs]])/tbl_profitability[[#This Row],[gross_revenue]]</f>
        <v>0.5799995847952002</v>
      </c>
      <c r="J245" s="10">
        <f>tbl_profitability[[#This Row],[net_profit]]/tbl_profitability[[#This Row],[gross_revenue]]</f>
        <v>0.20187257364695146</v>
      </c>
      <c r="K245" s="2">
        <f>(tbl_profitability[[#This Row],[cogs]]+tbl_profitability[[#This Row],[return_loss]]+tbl_profitability[[#This Row],[operating_costs]])/tbl_raw[[#This Row],[units_sold]]</f>
        <v>49.606451612903221</v>
      </c>
      <c r="L245" s="8" t="str">
        <f>tbl_raw[[#This Row],[decision]]</f>
        <v>OPTIMIZE</v>
      </c>
    </row>
    <row r="246" spans="1:12" x14ac:dyDescent="0.35">
      <c r="A246" s="3" t="str">
        <f>tbl_raw[[#This Row],[product_id]]</f>
        <v>1cc61b32763a4d816212b3507b6b6c59</v>
      </c>
      <c r="B246" s="4" t="str">
        <f>tbl_raw[[#This Row],[category]]</f>
        <v>books_general_interest</v>
      </c>
      <c r="C246" s="2">
        <f>tbl_raw[[#This Row],[gross_revenue]]</f>
        <v>5773.9</v>
      </c>
      <c r="D246" s="2">
        <f>tbl_raw[[#This Row],[return_loss]]</f>
        <v>1.1000000000000001</v>
      </c>
      <c r="E246" s="2">
        <f t="shared" si="3"/>
        <v>5772.7999999999993</v>
      </c>
      <c r="F246" s="2">
        <f>tbl_raw[[#This Row],[cogs]]</f>
        <v>2309.56</v>
      </c>
      <c r="G246" s="2">
        <f>SUM(tbl_raw[[#This Row],[storage_cost]:[freight_cost]])</f>
        <v>407.58</v>
      </c>
      <c r="H246" s="2">
        <f>tbl_profitability[[#This Row],[net_revenue_after_returns]]-tbl_profitability[[#This Row],[cogs]]-tbl_profitability[[#This Row],[operating_costs]]</f>
        <v>3055.6599999999994</v>
      </c>
      <c r="I246" s="10">
        <f>(tbl_profitability[[#This Row],[gross_revenue]]-tbl_profitability[[#This Row],[cogs]])/tbl_profitability[[#This Row],[gross_revenue]]</f>
        <v>0.6</v>
      </c>
      <c r="J246" s="10">
        <f>tbl_profitability[[#This Row],[net_profit]]/tbl_profitability[[#This Row],[gross_revenue]]</f>
        <v>0.52921941841736087</v>
      </c>
      <c r="K246" s="2">
        <f>(tbl_profitability[[#This Row],[cogs]]+tbl_profitability[[#This Row],[return_loss]]+tbl_profitability[[#This Row],[operating_costs]])/tbl_raw[[#This Row],[units_sold]]</f>
        <v>247.11272727272726</v>
      </c>
      <c r="L246" s="8" t="str">
        <f>tbl_raw[[#This Row],[decision]]</f>
        <v>SCALE</v>
      </c>
    </row>
    <row r="247" spans="1:12" x14ac:dyDescent="0.35">
      <c r="A247" s="3" t="str">
        <f>tbl_raw[[#This Row],[product_id]]</f>
        <v>c5b72065154ec27c2d1ed8a654c3348f</v>
      </c>
      <c r="B247" s="4" t="str">
        <f>tbl_raw[[#This Row],[category]]</f>
        <v>watches_gifts</v>
      </c>
      <c r="C247" s="2">
        <f>tbl_raw[[#This Row],[gross_revenue]]</f>
        <v>5701.2</v>
      </c>
      <c r="D247" s="2">
        <f>tbl_raw[[#This Row],[return_loss]]</f>
        <v>10.8</v>
      </c>
      <c r="E247" s="2">
        <f t="shared" si="3"/>
        <v>5690.4</v>
      </c>
      <c r="F247" s="2">
        <f>tbl_raw[[#This Row],[cogs]]</f>
        <v>2394.5</v>
      </c>
      <c r="G247" s="2">
        <f>SUM(tbl_raw[[#This Row],[storage_cost]:[freight_cost]])</f>
        <v>596.46</v>
      </c>
      <c r="H247" s="2">
        <f>tbl_profitability[[#This Row],[net_revenue_after_returns]]-tbl_profitability[[#This Row],[cogs]]-tbl_profitability[[#This Row],[operating_costs]]</f>
        <v>2699.4399999999996</v>
      </c>
      <c r="I247" s="10">
        <f>(tbl_profitability[[#This Row],[gross_revenue]]-tbl_profitability[[#This Row],[cogs]])/tbl_profitability[[#This Row],[gross_revenue]]</f>
        <v>0.58000070160667927</v>
      </c>
      <c r="J247" s="10">
        <f>tbl_profitability[[#This Row],[net_profit]]/tbl_profitability[[#This Row],[gross_revenue]]</f>
        <v>0.47348628358941974</v>
      </c>
      <c r="K247" s="2">
        <f>(tbl_profitability[[#This Row],[cogs]]+tbl_profitability[[#This Row],[return_loss]]+tbl_profitability[[#This Row],[operating_costs]])/tbl_raw[[#This Row],[units_sold]]</f>
        <v>100.05866666666667</v>
      </c>
      <c r="L247" s="8" t="str">
        <f>tbl_raw[[#This Row],[decision]]</f>
        <v>OPTIMIZE</v>
      </c>
    </row>
    <row r="248" spans="1:12" x14ac:dyDescent="0.35">
      <c r="A248" s="3" t="str">
        <f>tbl_raw[[#This Row],[product_id]]</f>
        <v>ffc9caf33e2d1e9f44e3e06da19085f7</v>
      </c>
      <c r="B248" s="4" t="str">
        <f>tbl_raw[[#This Row],[category]]</f>
        <v>health_beauty</v>
      </c>
      <c r="C248" s="2">
        <f>tbl_raw[[#This Row],[gross_revenue]]</f>
        <v>5609.91</v>
      </c>
      <c r="D248" s="2">
        <f>tbl_raw[[#This Row],[return_loss]]</f>
        <v>9.7200000000000006</v>
      </c>
      <c r="E248" s="2">
        <f t="shared" si="3"/>
        <v>5600.19</v>
      </c>
      <c r="F248" s="2">
        <f>tbl_raw[[#This Row],[cogs]]</f>
        <v>2356.16</v>
      </c>
      <c r="G248" s="2">
        <f>SUM(tbl_raw[[#This Row],[storage_cost]:[freight_cost]])</f>
        <v>540.28</v>
      </c>
      <c r="H248" s="2">
        <f>tbl_profitability[[#This Row],[net_revenue_after_returns]]-tbl_profitability[[#This Row],[cogs]]-tbl_profitability[[#This Row],[operating_costs]]</f>
        <v>2703.75</v>
      </c>
      <c r="I248" s="10">
        <f>(tbl_profitability[[#This Row],[gross_revenue]]-tbl_profitability[[#This Row],[cogs]])/tbl_profitability[[#This Row],[gross_revenue]]</f>
        <v>0.58000039216315413</v>
      </c>
      <c r="J248" s="10">
        <f>tbl_profitability[[#This Row],[net_profit]]/tbl_profitability[[#This Row],[gross_revenue]]</f>
        <v>0.48195960363000478</v>
      </c>
      <c r="K248" s="2">
        <f>(tbl_profitability[[#This Row],[cogs]]+tbl_profitability[[#This Row],[return_loss]]+tbl_profitability[[#This Row],[operating_costs]])/tbl_raw[[#This Row],[units_sold]]</f>
        <v>107.63555555555556</v>
      </c>
      <c r="L248" s="8" t="str">
        <f>tbl_raw[[#This Row],[decision]]</f>
        <v>SCALE</v>
      </c>
    </row>
    <row r="249" spans="1:12" x14ac:dyDescent="0.35">
      <c r="A249" s="3" t="str">
        <f>tbl_raw[[#This Row],[product_id]]</f>
        <v>9aedf557945e816d48539ee56293f860</v>
      </c>
      <c r="B249" s="4" t="str">
        <f>tbl_raw[[#This Row],[category]]</f>
        <v>computers</v>
      </c>
      <c r="C249" s="2">
        <f>tbl_raw[[#This Row],[gross_revenue]]</f>
        <v>5600</v>
      </c>
      <c r="D249" s="2">
        <f>tbl_raw[[#This Row],[return_loss]]</f>
        <v>4.5</v>
      </c>
      <c r="E249" s="2">
        <f t="shared" si="3"/>
        <v>5595.5</v>
      </c>
      <c r="F249" s="2">
        <f>tbl_raw[[#This Row],[cogs]]</f>
        <v>3192</v>
      </c>
      <c r="G249" s="2">
        <f>SUM(tbl_raw[[#This Row],[storage_cost]:[freight_cost]])</f>
        <v>256</v>
      </c>
      <c r="H249" s="2">
        <f>tbl_profitability[[#This Row],[net_revenue_after_returns]]-tbl_profitability[[#This Row],[cogs]]-tbl_profitability[[#This Row],[operating_costs]]</f>
        <v>2147.5</v>
      </c>
      <c r="I249" s="10">
        <f>(tbl_profitability[[#This Row],[gross_revenue]]-tbl_profitability[[#This Row],[cogs]])/tbl_profitability[[#This Row],[gross_revenue]]</f>
        <v>0.43</v>
      </c>
      <c r="J249" s="10">
        <f>tbl_profitability[[#This Row],[net_profit]]/tbl_profitability[[#This Row],[gross_revenue]]</f>
        <v>0.38348214285714288</v>
      </c>
      <c r="K249" s="2">
        <f>(tbl_profitability[[#This Row],[cogs]]+tbl_profitability[[#This Row],[return_loss]]+tbl_profitability[[#This Row],[operating_costs]])/tbl_raw[[#This Row],[units_sold]]</f>
        <v>690.5</v>
      </c>
      <c r="L249" s="8" t="str">
        <f>tbl_raw[[#This Row],[decision]]</f>
        <v>OPTIMIZE</v>
      </c>
    </row>
    <row r="250" spans="1:12" x14ac:dyDescent="0.35">
      <c r="A250" s="3" t="str">
        <f>tbl_raw[[#This Row],[product_id]]</f>
        <v>d2239567438e335a463191a43f2f02ff</v>
      </c>
      <c r="B250" s="4" t="str">
        <f>tbl_raw[[#This Row],[category]]</f>
        <v>toys</v>
      </c>
      <c r="C250" s="2">
        <f>tbl_raw[[#This Row],[gross_revenue]]</f>
        <v>5599.3</v>
      </c>
      <c r="D250" s="2">
        <f>tbl_raw[[#This Row],[return_loss]]</f>
        <v>2.52</v>
      </c>
      <c r="E250" s="2">
        <f t="shared" si="3"/>
        <v>5596.78</v>
      </c>
      <c r="F250" s="2">
        <f>tbl_raw[[#This Row],[cogs]]</f>
        <v>2351.71</v>
      </c>
      <c r="G250" s="2">
        <f>SUM(tbl_raw[[#This Row],[storage_cost]:[freight_cost]])</f>
        <v>286.27999999999997</v>
      </c>
      <c r="H250" s="2">
        <f>tbl_profitability[[#This Row],[net_revenue_after_returns]]-tbl_profitability[[#This Row],[cogs]]-tbl_profitability[[#This Row],[operating_costs]]</f>
        <v>2958.79</v>
      </c>
      <c r="I250" s="10">
        <f>(tbl_profitability[[#This Row],[gross_revenue]]-tbl_profitability[[#This Row],[cogs]])/tbl_profitability[[#This Row],[gross_revenue]]</f>
        <v>0.57999928562498881</v>
      </c>
      <c r="J250" s="10">
        <f>tbl_profitability[[#This Row],[net_profit]]/tbl_profitability[[#This Row],[gross_revenue]]</f>
        <v>0.52842140981908448</v>
      </c>
      <c r="K250" s="2">
        <f>(tbl_profitability[[#This Row],[cogs]]+tbl_profitability[[#This Row],[return_loss]]+tbl_profitability[[#This Row],[operating_costs]])/tbl_raw[[#This Row],[units_sold]]</f>
        <v>377.21571428571434</v>
      </c>
      <c r="L250" s="8" t="str">
        <f>tbl_raw[[#This Row],[decision]]</f>
        <v>SCALE</v>
      </c>
    </row>
    <row r="251" spans="1:12" x14ac:dyDescent="0.35">
      <c r="A251" s="3" t="str">
        <f>tbl_raw[[#This Row],[product_id]]</f>
        <v>e251ebd2858be1aa7d9b2087a6992580</v>
      </c>
      <c r="B251" s="4" t="str">
        <f>tbl_raw[[#This Row],[category]]</f>
        <v>garden_tools</v>
      </c>
      <c r="C251" s="2">
        <f>tbl_raw[[#This Row],[gross_revenue]]</f>
        <v>5592.1</v>
      </c>
      <c r="D251" s="2">
        <f>tbl_raw[[#This Row],[return_loss]]</f>
        <v>17.28</v>
      </c>
      <c r="E251" s="2">
        <f t="shared" si="3"/>
        <v>5574.8200000000006</v>
      </c>
      <c r="F251" s="2">
        <f>tbl_raw[[#This Row],[cogs]]</f>
        <v>2516.44</v>
      </c>
      <c r="G251" s="2">
        <f>SUM(tbl_raw[[#This Row],[storage_cost]:[freight_cost]])</f>
        <v>1738.61</v>
      </c>
      <c r="H251" s="2">
        <f>tbl_profitability[[#This Row],[net_revenue_after_returns]]-tbl_profitability[[#This Row],[cogs]]-tbl_profitability[[#This Row],[operating_costs]]</f>
        <v>1319.7700000000007</v>
      </c>
      <c r="I251" s="10">
        <f>(tbl_profitability[[#This Row],[gross_revenue]]-tbl_profitability[[#This Row],[cogs]])/tbl_profitability[[#This Row],[gross_revenue]]</f>
        <v>0.55000089411848863</v>
      </c>
      <c r="J251" s="10">
        <f>tbl_profitability[[#This Row],[net_profit]]/tbl_profitability[[#This Row],[gross_revenue]]</f>
        <v>0.23600615153520155</v>
      </c>
      <c r="K251" s="2">
        <f>(tbl_profitability[[#This Row],[cogs]]+tbl_profitability[[#This Row],[return_loss]]+tbl_profitability[[#This Row],[operating_costs]])/tbl_raw[[#This Row],[units_sold]]</f>
        <v>89.006874999999994</v>
      </c>
      <c r="L251" s="8" t="str">
        <f>tbl_raw[[#This Row],[decision]]</f>
        <v>OPTIMIZE</v>
      </c>
    </row>
    <row r="252" spans="1:12" x14ac:dyDescent="0.35">
      <c r="A252" s="3" t="str">
        <f>tbl_raw[[#This Row],[product_id]]</f>
        <v>145028037adecb27b1a58cf9597676cc</v>
      </c>
      <c r="B252" s="4" t="str">
        <f>tbl_raw[[#This Row],[category]]</f>
        <v>office_furniture</v>
      </c>
      <c r="C252" s="2">
        <f>tbl_raw[[#This Row],[gross_revenue]]</f>
        <v>5586</v>
      </c>
      <c r="D252" s="2">
        <f>tbl_raw[[#This Row],[return_loss]]</f>
        <v>5.04</v>
      </c>
      <c r="E252" s="2">
        <f t="shared" si="3"/>
        <v>5580.96</v>
      </c>
      <c r="F252" s="2">
        <f>tbl_raw[[#This Row],[cogs]]</f>
        <v>2513.6999999999998</v>
      </c>
      <c r="G252" s="2">
        <f>SUM(tbl_raw[[#This Row],[storage_cost]:[freight_cost]])</f>
        <v>811.25</v>
      </c>
      <c r="H252" s="2">
        <f>tbl_profitability[[#This Row],[net_revenue_after_returns]]-tbl_profitability[[#This Row],[cogs]]-tbl_profitability[[#This Row],[operating_costs]]</f>
        <v>2256.0100000000002</v>
      </c>
      <c r="I252" s="10">
        <f>(tbl_profitability[[#This Row],[gross_revenue]]-tbl_profitability[[#This Row],[cogs]])/tbl_profitability[[#This Row],[gross_revenue]]</f>
        <v>0.55000000000000004</v>
      </c>
      <c r="J252" s="10">
        <f>tbl_profitability[[#This Row],[net_profit]]/tbl_profitability[[#This Row],[gross_revenue]]</f>
        <v>0.40386860007160763</v>
      </c>
      <c r="K252" s="2">
        <f>(tbl_profitability[[#This Row],[cogs]]+tbl_profitability[[#This Row],[return_loss]]+tbl_profitability[[#This Row],[operating_costs]])/tbl_raw[[#This Row],[units_sold]]</f>
        <v>237.85642857142855</v>
      </c>
      <c r="L252" s="8" t="str">
        <f>tbl_raw[[#This Row],[decision]]</f>
        <v>EXIT</v>
      </c>
    </row>
    <row r="253" spans="1:12" x14ac:dyDescent="0.35">
      <c r="A253" s="3" t="str">
        <f>tbl_raw[[#This Row],[product_id]]</f>
        <v>332842d24e84234cd91299a225de76ab</v>
      </c>
      <c r="B253" s="4" t="str">
        <f>tbl_raw[[#This Row],[category]]</f>
        <v>watches_gifts</v>
      </c>
      <c r="C253" s="2">
        <f>tbl_raw[[#This Row],[gross_revenue]]</f>
        <v>5586</v>
      </c>
      <c r="D253" s="2">
        <f>tbl_raw[[#This Row],[return_loss]]</f>
        <v>5.04</v>
      </c>
      <c r="E253" s="2">
        <f t="shared" si="3"/>
        <v>5580.96</v>
      </c>
      <c r="F253" s="2">
        <f>tbl_raw[[#This Row],[cogs]]</f>
        <v>2346.12</v>
      </c>
      <c r="G253" s="2">
        <f>SUM(tbl_raw[[#This Row],[storage_cost]:[freight_cost]])</f>
        <v>358.35</v>
      </c>
      <c r="H253" s="2">
        <f>tbl_profitability[[#This Row],[net_revenue_after_returns]]-tbl_profitability[[#This Row],[cogs]]-tbl_profitability[[#This Row],[operating_costs]]</f>
        <v>2876.4900000000002</v>
      </c>
      <c r="I253" s="10">
        <f>(tbl_profitability[[#This Row],[gross_revenue]]-tbl_profitability[[#This Row],[cogs]])/tbl_profitability[[#This Row],[gross_revenue]]</f>
        <v>0.58000000000000007</v>
      </c>
      <c r="J253" s="10">
        <f>tbl_profitability[[#This Row],[net_profit]]/tbl_profitability[[#This Row],[gross_revenue]]</f>
        <v>0.51494629430719663</v>
      </c>
      <c r="K253" s="2">
        <f>(tbl_profitability[[#This Row],[cogs]]+tbl_profitability[[#This Row],[return_loss]]+tbl_profitability[[#This Row],[operating_costs]])/tbl_raw[[#This Row],[units_sold]]</f>
        <v>193.53642857142856</v>
      </c>
      <c r="L253" s="8" t="str">
        <f>tbl_raw[[#This Row],[decision]]</f>
        <v>OPTIMIZE</v>
      </c>
    </row>
    <row r="254" spans="1:12" x14ac:dyDescent="0.35">
      <c r="A254" s="3" t="str">
        <f>tbl_raw[[#This Row],[product_id]]</f>
        <v>ba55945d930e34e802e5dd2e5cffdcc8</v>
      </c>
      <c r="B254" s="4" t="str">
        <f>tbl_raw[[#This Row],[category]]</f>
        <v>musical_instruments</v>
      </c>
      <c r="C254" s="2">
        <f>tbl_raw[[#This Row],[gross_revenue]]</f>
        <v>5574.02</v>
      </c>
      <c r="D254" s="2">
        <f>tbl_raw[[#This Row],[return_loss]]</f>
        <v>0.3</v>
      </c>
      <c r="E254" s="2">
        <f t="shared" si="3"/>
        <v>5573.72</v>
      </c>
      <c r="F254" s="2">
        <f>tbl_raw[[#This Row],[cogs]]</f>
        <v>2229.61</v>
      </c>
      <c r="G254" s="2">
        <f>SUM(tbl_raw[[#This Row],[storage_cost]:[freight_cost]])</f>
        <v>137.19</v>
      </c>
      <c r="H254" s="2">
        <f>tbl_profitability[[#This Row],[net_revenue_after_returns]]-tbl_profitability[[#This Row],[cogs]]-tbl_profitability[[#This Row],[operating_costs]]</f>
        <v>3206.92</v>
      </c>
      <c r="I254" s="10">
        <f>(tbl_profitability[[#This Row],[gross_revenue]]-tbl_profitability[[#This Row],[cogs]])/tbl_profitability[[#This Row],[gross_revenue]]</f>
        <v>0.59999964119253246</v>
      </c>
      <c r="J254" s="10">
        <f>tbl_profitability[[#This Row],[net_profit]]/tbl_profitability[[#This Row],[gross_revenue]]</f>
        <v>0.57533342183917524</v>
      </c>
      <c r="K254" s="2">
        <f>(tbl_profitability[[#This Row],[cogs]]+tbl_profitability[[#This Row],[return_loss]]+tbl_profitability[[#This Row],[operating_costs]])/tbl_raw[[#This Row],[units_sold]]</f>
        <v>789.03333333333342</v>
      </c>
      <c r="L254" s="8" t="str">
        <f>tbl_raw[[#This Row],[decision]]</f>
        <v>OPTIMIZE</v>
      </c>
    </row>
    <row r="255" spans="1:12" x14ac:dyDescent="0.35">
      <c r="A255" s="3" t="str">
        <f>tbl_raw[[#This Row],[product_id]]</f>
        <v>3429d7e4892a2df967fae671f4c98deb</v>
      </c>
      <c r="B255" s="4" t="str">
        <f>tbl_raw[[#This Row],[category]]</f>
        <v>health_beauty</v>
      </c>
      <c r="C255" s="2">
        <f>tbl_raw[[#This Row],[gross_revenue]]</f>
        <v>5557.05</v>
      </c>
      <c r="D255" s="2">
        <f>tbl_raw[[#This Row],[return_loss]]</f>
        <v>5.4</v>
      </c>
      <c r="E255" s="2">
        <f t="shared" si="3"/>
        <v>5551.6500000000005</v>
      </c>
      <c r="F255" s="2">
        <f>tbl_raw[[#This Row],[cogs]]</f>
        <v>2333.96</v>
      </c>
      <c r="G255" s="2">
        <f>SUM(tbl_raw[[#This Row],[storage_cost]:[freight_cost]])</f>
        <v>537.52</v>
      </c>
      <c r="H255" s="2">
        <f>tbl_profitability[[#This Row],[net_revenue_after_returns]]-tbl_profitability[[#This Row],[cogs]]-tbl_profitability[[#This Row],[operating_costs]]</f>
        <v>2680.1700000000005</v>
      </c>
      <c r="I255" s="10">
        <f>(tbl_profitability[[#This Row],[gross_revenue]]-tbl_profitability[[#This Row],[cogs]])/tbl_profitability[[#This Row],[gross_revenue]]</f>
        <v>0.58000017995159303</v>
      </c>
      <c r="J255" s="10">
        <f>tbl_profitability[[#This Row],[net_profit]]/tbl_profitability[[#This Row],[gross_revenue]]</f>
        <v>0.48230086106837267</v>
      </c>
      <c r="K255" s="2">
        <f>(tbl_profitability[[#This Row],[cogs]]+tbl_profitability[[#This Row],[return_loss]]+tbl_profitability[[#This Row],[operating_costs]])/tbl_raw[[#This Row],[units_sold]]</f>
        <v>191.792</v>
      </c>
      <c r="L255" s="8" t="str">
        <f>tbl_raw[[#This Row],[decision]]</f>
        <v>SCALE</v>
      </c>
    </row>
    <row r="256" spans="1:12" x14ac:dyDescent="0.35">
      <c r="A256" s="3" t="str">
        <f>tbl_raw[[#This Row],[product_id]]</f>
        <v>9fc063fd34fed29ccc57b7f8e8d03388</v>
      </c>
      <c r="B256" s="4" t="str">
        <f>tbl_raw[[#This Row],[category]]</f>
        <v>health_beauty</v>
      </c>
      <c r="C256" s="2">
        <f>tbl_raw[[#This Row],[gross_revenue]]</f>
        <v>5550</v>
      </c>
      <c r="D256" s="2">
        <f>tbl_raw[[#This Row],[return_loss]]</f>
        <v>5.4</v>
      </c>
      <c r="E256" s="2">
        <f t="shared" si="3"/>
        <v>5544.6</v>
      </c>
      <c r="F256" s="2">
        <f>tbl_raw[[#This Row],[cogs]]</f>
        <v>2331</v>
      </c>
      <c r="G256" s="2">
        <f>SUM(tbl_raw[[#This Row],[storage_cost]:[freight_cost]])</f>
        <v>419.66</v>
      </c>
      <c r="H256" s="2">
        <f>tbl_profitability[[#This Row],[net_revenue_after_returns]]-tbl_profitability[[#This Row],[cogs]]-tbl_profitability[[#This Row],[operating_costs]]</f>
        <v>2793.9400000000005</v>
      </c>
      <c r="I256" s="10">
        <f>(tbl_profitability[[#This Row],[gross_revenue]]-tbl_profitability[[#This Row],[cogs]])/tbl_profitability[[#This Row],[gross_revenue]]</f>
        <v>0.57999999999999996</v>
      </c>
      <c r="J256" s="10">
        <f>tbl_profitability[[#This Row],[net_profit]]/tbl_profitability[[#This Row],[gross_revenue]]</f>
        <v>0.50341261261261272</v>
      </c>
      <c r="K256" s="2">
        <f>(tbl_profitability[[#This Row],[cogs]]+tbl_profitability[[#This Row],[return_loss]]+tbl_profitability[[#This Row],[operating_costs]])/tbl_raw[[#This Row],[units_sold]]</f>
        <v>183.73733333333334</v>
      </c>
      <c r="L256" s="8" t="str">
        <f>tbl_raw[[#This Row],[decision]]</f>
        <v>OPTIMIZE</v>
      </c>
    </row>
    <row r="257" spans="1:12" x14ac:dyDescent="0.35">
      <c r="A257" s="3" t="str">
        <f>tbl_raw[[#This Row],[product_id]]</f>
        <v>ca38c039b717207dec906f4fa9a21db7</v>
      </c>
      <c r="B257" s="4" t="str">
        <f>tbl_raw[[#This Row],[category]]</f>
        <v>health_beauty</v>
      </c>
      <c r="C257" s="2">
        <f>tbl_raw[[#This Row],[gross_revenue]]</f>
        <v>5525.56</v>
      </c>
      <c r="D257" s="2">
        <f>tbl_raw[[#This Row],[return_loss]]</f>
        <v>10.8</v>
      </c>
      <c r="E257" s="2">
        <f t="shared" si="3"/>
        <v>5514.76</v>
      </c>
      <c r="F257" s="2">
        <f>tbl_raw[[#This Row],[cogs]]</f>
        <v>2320.7399999999998</v>
      </c>
      <c r="G257" s="2">
        <f>SUM(tbl_raw[[#This Row],[storage_cost]:[freight_cost]])</f>
        <v>645.49</v>
      </c>
      <c r="H257" s="2">
        <f>tbl_profitability[[#This Row],[net_revenue_after_returns]]-tbl_profitability[[#This Row],[cogs]]-tbl_profitability[[#This Row],[operating_costs]]</f>
        <v>2548.5300000000007</v>
      </c>
      <c r="I257" s="10">
        <f>(tbl_profitability[[#This Row],[gross_revenue]]-tbl_profitability[[#This Row],[cogs]])/tbl_profitability[[#This Row],[gross_revenue]]</f>
        <v>0.57999913130976777</v>
      </c>
      <c r="J257" s="10">
        <f>tbl_profitability[[#This Row],[net_profit]]/tbl_profitability[[#This Row],[gross_revenue]]</f>
        <v>0.46122564952692585</v>
      </c>
      <c r="K257" s="2">
        <f>(tbl_profitability[[#This Row],[cogs]]+tbl_profitability[[#This Row],[return_loss]]+tbl_profitability[[#This Row],[operating_costs]])/tbl_raw[[#This Row],[units_sold]]</f>
        <v>99.234333333333325</v>
      </c>
      <c r="L257" s="8" t="str">
        <f>tbl_raw[[#This Row],[decision]]</f>
        <v>SCALE</v>
      </c>
    </row>
    <row r="258" spans="1:12" x14ac:dyDescent="0.35">
      <c r="A258" s="3" t="str">
        <f>tbl_raw[[#This Row],[product_id]]</f>
        <v>b3e40ff639c185b9d726b4b19c17e6cd</v>
      </c>
      <c r="B258" s="4" t="str">
        <f>tbl_raw[[#This Row],[category]]</f>
        <v>cool_stuff</v>
      </c>
      <c r="C258" s="2">
        <f>tbl_raw[[#This Row],[gross_revenue]]</f>
        <v>5519.76</v>
      </c>
      <c r="D258" s="2">
        <f>tbl_raw[[#This Row],[return_loss]]</f>
        <v>8.64</v>
      </c>
      <c r="E258" s="2">
        <f t="shared" si="3"/>
        <v>5511.12</v>
      </c>
      <c r="F258" s="2">
        <f>tbl_raw[[#This Row],[cogs]]</f>
        <v>2483.89</v>
      </c>
      <c r="G258" s="2">
        <f>SUM(tbl_raw[[#This Row],[storage_cost]:[freight_cost]])</f>
        <v>631.63</v>
      </c>
      <c r="H258" s="2">
        <f>tbl_profitability[[#This Row],[net_revenue_after_returns]]-tbl_profitability[[#This Row],[cogs]]-tbl_profitability[[#This Row],[operating_costs]]</f>
        <v>2395.6</v>
      </c>
      <c r="I258" s="10">
        <f>(tbl_profitability[[#This Row],[gross_revenue]]-tbl_profitability[[#This Row],[cogs]])/tbl_profitability[[#This Row],[gross_revenue]]</f>
        <v>0.55000036233459426</v>
      </c>
      <c r="J258" s="10">
        <f>tbl_profitability[[#This Row],[net_profit]]/tbl_profitability[[#This Row],[gross_revenue]]</f>
        <v>0.43400437700189859</v>
      </c>
      <c r="K258" s="2">
        <f>(tbl_profitability[[#This Row],[cogs]]+tbl_profitability[[#This Row],[return_loss]]+tbl_profitability[[#This Row],[operating_costs]])/tbl_raw[[#This Row],[units_sold]]</f>
        <v>130.17333333333332</v>
      </c>
      <c r="L258" s="8" t="str">
        <f>tbl_raw[[#This Row],[decision]]</f>
        <v>OPTIMIZE</v>
      </c>
    </row>
    <row r="259" spans="1:12" x14ac:dyDescent="0.35">
      <c r="A259" s="3" t="str">
        <f>tbl_raw[[#This Row],[product_id]]</f>
        <v>2bb3e85f2a403543fdb64e266e70c792</v>
      </c>
      <c r="B259" s="4" t="str">
        <f>tbl_raw[[#This Row],[category]]</f>
        <v>toys</v>
      </c>
      <c r="C259" s="2">
        <f>tbl_raw[[#This Row],[gross_revenue]]</f>
        <v>5513.4</v>
      </c>
      <c r="D259" s="2">
        <f>tbl_raw[[#This Row],[return_loss]]</f>
        <v>5.76</v>
      </c>
      <c r="E259" s="2">
        <f t="shared" si="3"/>
        <v>5507.6399999999994</v>
      </c>
      <c r="F259" s="2">
        <f>tbl_raw[[#This Row],[cogs]]</f>
        <v>2315.63</v>
      </c>
      <c r="G259" s="2">
        <f>SUM(tbl_raw[[#This Row],[storage_cost]:[freight_cost]])</f>
        <v>1385.38</v>
      </c>
      <c r="H259" s="2">
        <f>tbl_profitability[[#This Row],[net_revenue_after_returns]]-tbl_profitability[[#This Row],[cogs]]-tbl_profitability[[#This Row],[operating_costs]]</f>
        <v>1806.6299999999992</v>
      </c>
      <c r="I259" s="10">
        <f>(tbl_profitability[[#This Row],[gross_revenue]]-tbl_profitability[[#This Row],[cogs]])/tbl_profitability[[#This Row],[gross_revenue]]</f>
        <v>0.57999963724743353</v>
      </c>
      <c r="J259" s="10">
        <f>tbl_profitability[[#This Row],[net_profit]]/tbl_profitability[[#This Row],[gross_revenue]]</f>
        <v>0.32767983458482958</v>
      </c>
      <c r="K259" s="2">
        <f>(tbl_profitability[[#This Row],[cogs]]+tbl_profitability[[#This Row],[return_loss]]+tbl_profitability[[#This Row],[operating_costs]])/tbl_raw[[#This Row],[units_sold]]</f>
        <v>231.67312500000003</v>
      </c>
      <c r="L259" s="8" t="str">
        <f>tbl_raw[[#This Row],[decision]]</f>
        <v>SCALE</v>
      </c>
    </row>
    <row r="260" spans="1:12" x14ac:dyDescent="0.35">
      <c r="A260" s="3" t="str">
        <f>tbl_raw[[#This Row],[product_id]]</f>
        <v>c3ba4e8d3cb30049213b682e751e9d00</v>
      </c>
      <c r="B260" s="4" t="str">
        <f>tbl_raw[[#This Row],[category]]</f>
        <v>watches_gifts</v>
      </c>
      <c r="C260" s="2">
        <f>tbl_raw[[#This Row],[gross_revenue]]</f>
        <v>5506</v>
      </c>
      <c r="D260" s="2">
        <f>tbl_raw[[#This Row],[return_loss]]</f>
        <v>20.88</v>
      </c>
      <c r="E260" s="2">
        <f t="shared" ref="E260:E323" si="4">C260-D260</f>
        <v>5485.12</v>
      </c>
      <c r="F260" s="2">
        <f>tbl_raw[[#This Row],[cogs]]</f>
        <v>2312.52</v>
      </c>
      <c r="G260" s="2">
        <f>SUM(tbl_raw[[#This Row],[storage_cost]:[freight_cost]])</f>
        <v>1057.3499999999999</v>
      </c>
      <c r="H260" s="2">
        <f>tbl_profitability[[#This Row],[net_revenue_after_returns]]-tbl_profitability[[#This Row],[cogs]]-tbl_profitability[[#This Row],[operating_costs]]</f>
        <v>2115.25</v>
      </c>
      <c r="I260" s="10">
        <f>(tbl_profitability[[#This Row],[gross_revenue]]-tbl_profitability[[#This Row],[cogs]])/tbl_profitability[[#This Row],[gross_revenue]]</f>
        <v>0.57999999999999996</v>
      </c>
      <c r="J260" s="10">
        <f>tbl_profitability[[#This Row],[net_profit]]/tbl_profitability[[#This Row],[gross_revenue]]</f>
        <v>0.38417181256810751</v>
      </c>
      <c r="K260" s="2">
        <f>(tbl_profitability[[#This Row],[cogs]]+tbl_profitability[[#This Row],[return_loss]]+tbl_profitability[[#This Row],[operating_costs]])/tbl_raw[[#This Row],[units_sold]]</f>
        <v>58.461206896551722</v>
      </c>
      <c r="L260" s="8" t="str">
        <f>tbl_raw[[#This Row],[decision]]</f>
        <v>OPTIMIZE</v>
      </c>
    </row>
    <row r="261" spans="1:12" x14ac:dyDescent="0.35">
      <c r="A261" s="3" t="str">
        <f>tbl_raw[[#This Row],[product_id]]</f>
        <v>73bcea88583002fe12b7399af4ae60da</v>
      </c>
      <c r="B261" s="4" t="str">
        <f>tbl_raw[[#This Row],[category]]</f>
        <v>watches_gifts</v>
      </c>
      <c r="C261" s="2">
        <f>tbl_raw[[#This Row],[gross_revenue]]</f>
        <v>5499.41</v>
      </c>
      <c r="D261" s="2">
        <f>tbl_raw[[#This Row],[return_loss]]</f>
        <v>14.76</v>
      </c>
      <c r="E261" s="2">
        <f t="shared" si="4"/>
        <v>5484.65</v>
      </c>
      <c r="F261" s="2">
        <f>tbl_raw[[#This Row],[cogs]]</f>
        <v>2309.75</v>
      </c>
      <c r="G261" s="2">
        <f>SUM(tbl_raw[[#This Row],[storage_cost]:[freight_cost]])</f>
        <v>857.14</v>
      </c>
      <c r="H261" s="2">
        <f>tbl_profitability[[#This Row],[net_revenue_after_returns]]-tbl_profitability[[#This Row],[cogs]]-tbl_profitability[[#This Row],[operating_costs]]</f>
        <v>2317.7599999999998</v>
      </c>
      <c r="I261" s="10">
        <f>(tbl_profitability[[#This Row],[gross_revenue]]-tbl_profitability[[#This Row],[cogs]])/tbl_profitability[[#This Row],[gross_revenue]]</f>
        <v>0.58000040004291364</v>
      </c>
      <c r="J261" s="10">
        <f>tbl_profitability[[#This Row],[net_profit]]/tbl_profitability[[#This Row],[gross_revenue]]</f>
        <v>0.42145611983830988</v>
      </c>
      <c r="K261" s="2">
        <f>(tbl_profitability[[#This Row],[cogs]]+tbl_profitability[[#This Row],[return_loss]]+tbl_profitability[[#This Row],[operating_costs]])/tbl_raw[[#This Row],[units_sold]]</f>
        <v>77.601219512195129</v>
      </c>
      <c r="L261" s="8" t="str">
        <f>tbl_raw[[#This Row],[decision]]</f>
        <v>SCALE</v>
      </c>
    </row>
    <row r="262" spans="1:12" x14ac:dyDescent="0.35">
      <c r="A262" s="3" t="str">
        <f>tbl_raw[[#This Row],[product_id]]</f>
        <v>27dd6092aaf2627e39331ad9823b5ebf</v>
      </c>
      <c r="B262" s="4" t="str">
        <f>tbl_raw[[#This Row],[category]]</f>
        <v>watches_gifts</v>
      </c>
      <c r="C262" s="2">
        <f>tbl_raw[[#This Row],[gross_revenue]]</f>
        <v>5496</v>
      </c>
      <c r="D262" s="2">
        <f>tbl_raw[[#This Row],[return_loss]]</f>
        <v>1.44</v>
      </c>
      <c r="E262" s="2">
        <f t="shared" si="4"/>
        <v>5494.56</v>
      </c>
      <c r="F262" s="2">
        <f>tbl_raw[[#This Row],[cogs]]</f>
        <v>2308.3200000000002</v>
      </c>
      <c r="G262" s="2">
        <f>SUM(tbl_raw[[#This Row],[storage_cost]:[freight_cost]])</f>
        <v>95.24</v>
      </c>
      <c r="H262" s="2">
        <f>tbl_profitability[[#This Row],[net_revenue_after_returns]]-tbl_profitability[[#This Row],[cogs]]-tbl_profitability[[#This Row],[operating_costs]]</f>
        <v>3091.0000000000005</v>
      </c>
      <c r="I262" s="10">
        <f>(tbl_profitability[[#This Row],[gross_revenue]]-tbl_profitability[[#This Row],[cogs]])/tbl_profitability[[#This Row],[gross_revenue]]</f>
        <v>0.57999999999999996</v>
      </c>
      <c r="J262" s="10">
        <f>tbl_profitability[[#This Row],[net_profit]]/tbl_profitability[[#This Row],[gross_revenue]]</f>
        <v>0.56240902474526933</v>
      </c>
      <c r="K262" s="2">
        <f>(tbl_profitability[[#This Row],[cogs]]+tbl_profitability[[#This Row],[return_loss]]+tbl_profitability[[#This Row],[operating_costs]])/tbl_raw[[#This Row],[units_sold]]</f>
        <v>601.25</v>
      </c>
      <c r="L262" s="8" t="str">
        <f>tbl_raw[[#This Row],[decision]]</f>
        <v>OPTIMIZE</v>
      </c>
    </row>
    <row r="263" spans="1:12" x14ac:dyDescent="0.35">
      <c r="A263" s="3" t="str">
        <f>tbl_raw[[#This Row],[product_id]]</f>
        <v>bdb0b11a36aed4d0d862a7037c838560</v>
      </c>
      <c r="B263" s="4" t="str">
        <f>tbl_raw[[#This Row],[category]]</f>
        <v>telephony</v>
      </c>
      <c r="C263" s="2">
        <f>tbl_raw[[#This Row],[gross_revenue]]</f>
        <v>5495</v>
      </c>
      <c r="D263" s="2">
        <f>tbl_raw[[#This Row],[return_loss]]</f>
        <v>4.5</v>
      </c>
      <c r="E263" s="2">
        <f t="shared" si="4"/>
        <v>5490.5</v>
      </c>
      <c r="F263" s="2">
        <f>tbl_raw[[#This Row],[cogs]]</f>
        <v>3132.15</v>
      </c>
      <c r="G263" s="2">
        <f>SUM(tbl_raw[[#This Row],[storage_cost]:[freight_cost]])</f>
        <v>207.28</v>
      </c>
      <c r="H263" s="2">
        <f>tbl_profitability[[#This Row],[net_revenue_after_returns]]-tbl_profitability[[#This Row],[cogs]]-tbl_profitability[[#This Row],[operating_costs]]</f>
        <v>2151.0699999999997</v>
      </c>
      <c r="I263" s="10">
        <f>(tbl_profitability[[#This Row],[gross_revenue]]-tbl_profitability[[#This Row],[cogs]])/tbl_profitability[[#This Row],[gross_revenue]]</f>
        <v>0.43</v>
      </c>
      <c r="J263" s="10">
        <f>tbl_profitability[[#This Row],[net_profit]]/tbl_profitability[[#This Row],[gross_revenue]]</f>
        <v>0.39145950864422197</v>
      </c>
      <c r="K263" s="2">
        <f>(tbl_profitability[[#This Row],[cogs]]+tbl_profitability[[#This Row],[return_loss]]+tbl_profitability[[#This Row],[operating_costs]])/tbl_raw[[#This Row],[units_sold]]</f>
        <v>668.78600000000006</v>
      </c>
      <c r="L263" s="8" t="str">
        <f>tbl_raw[[#This Row],[decision]]</f>
        <v>SCALE</v>
      </c>
    </row>
    <row r="264" spans="1:12" x14ac:dyDescent="0.35">
      <c r="A264" s="3" t="str">
        <f>tbl_raw[[#This Row],[product_id]]</f>
        <v>eba7488e1c67729f045ab43fac426f2e</v>
      </c>
      <c r="B264" s="4" t="str">
        <f>tbl_raw[[#This Row],[category]]</f>
        <v>perfumery</v>
      </c>
      <c r="C264" s="2">
        <f>tbl_raw[[#This Row],[gross_revenue]]</f>
        <v>5449.9</v>
      </c>
      <c r="D264" s="2">
        <f>tbl_raw[[#This Row],[return_loss]]</f>
        <v>9</v>
      </c>
      <c r="E264" s="2">
        <f t="shared" si="4"/>
        <v>5440.9</v>
      </c>
      <c r="F264" s="2">
        <f>tbl_raw[[#This Row],[cogs]]</f>
        <v>2288.96</v>
      </c>
      <c r="G264" s="2">
        <f>SUM(tbl_raw[[#This Row],[storage_cost]:[freight_cost]])</f>
        <v>569.43000000000006</v>
      </c>
      <c r="H264" s="2">
        <f>tbl_profitability[[#This Row],[net_revenue_after_returns]]-tbl_profitability[[#This Row],[cogs]]-tbl_profitability[[#This Row],[operating_costs]]</f>
        <v>2582.5099999999993</v>
      </c>
      <c r="I264" s="10">
        <f>(tbl_profitability[[#This Row],[gross_revenue]]-tbl_profitability[[#This Row],[cogs]])/tbl_profitability[[#This Row],[gross_revenue]]</f>
        <v>0.57999963302078938</v>
      </c>
      <c r="J264" s="10">
        <f>tbl_profitability[[#This Row],[net_profit]]/tbl_profitability[[#This Row],[gross_revenue]]</f>
        <v>0.47386374061909381</v>
      </c>
      <c r="K264" s="2">
        <f>(tbl_profitability[[#This Row],[cogs]]+tbl_profitability[[#This Row],[return_loss]]+tbl_profitability[[#This Row],[operating_costs]])/tbl_raw[[#This Row],[units_sold]]</f>
        <v>114.69560000000001</v>
      </c>
      <c r="L264" s="8" t="str">
        <f>tbl_raw[[#This Row],[decision]]</f>
        <v>SCALE</v>
      </c>
    </row>
    <row r="265" spans="1:12" x14ac:dyDescent="0.35">
      <c r="A265" s="3" t="str">
        <f>tbl_raw[[#This Row],[product_id]]</f>
        <v>89b121bee266dcd25688a1ba72eefb61</v>
      </c>
      <c r="B265" s="4" t="str">
        <f>tbl_raw[[#This Row],[category]]</f>
        <v>computers_accessories</v>
      </c>
      <c r="C265" s="2">
        <f>tbl_raw[[#This Row],[gross_revenue]]</f>
        <v>5433.2</v>
      </c>
      <c r="D265" s="2">
        <f>tbl_raw[[#This Row],[return_loss]]</f>
        <v>61.2</v>
      </c>
      <c r="E265" s="2">
        <f t="shared" si="4"/>
        <v>5372</v>
      </c>
      <c r="F265" s="2">
        <f>tbl_raw[[#This Row],[cogs]]</f>
        <v>3096.92</v>
      </c>
      <c r="G265" s="2">
        <f>SUM(tbl_raw[[#This Row],[storage_cost]:[freight_cost]])</f>
        <v>1602.33</v>
      </c>
      <c r="H265" s="2">
        <f>tbl_profitability[[#This Row],[net_revenue_after_returns]]-tbl_profitability[[#This Row],[cogs]]-tbl_profitability[[#This Row],[operating_costs]]</f>
        <v>672.75</v>
      </c>
      <c r="I265" s="10">
        <f>(tbl_profitability[[#This Row],[gross_revenue]]-tbl_profitability[[#This Row],[cogs]])/tbl_profitability[[#This Row],[gross_revenue]]</f>
        <v>0.43000073621438561</v>
      </c>
      <c r="J265" s="10">
        <f>tbl_profitability[[#This Row],[net_profit]]/tbl_profitability[[#This Row],[gross_revenue]]</f>
        <v>0.12382205698299345</v>
      </c>
      <c r="K265" s="2">
        <f>(tbl_profitability[[#This Row],[cogs]]+tbl_profitability[[#This Row],[return_loss]]+tbl_profitability[[#This Row],[operating_costs]])/tbl_raw[[#This Row],[units_sold]]</f>
        <v>70.006617647058818</v>
      </c>
      <c r="L265" s="8" t="str">
        <f>tbl_raw[[#This Row],[decision]]</f>
        <v>EXIT</v>
      </c>
    </row>
    <row r="266" spans="1:12" x14ac:dyDescent="0.35">
      <c r="A266" s="3" t="str">
        <f>tbl_raw[[#This Row],[product_id]]</f>
        <v>5cd07c84a1c25575ac2fc3fa73f1d952</v>
      </c>
      <c r="B266" s="4" t="str">
        <f>tbl_raw[[#This Row],[category]]</f>
        <v>toys</v>
      </c>
      <c r="C266" s="2">
        <f>tbl_raw[[#This Row],[gross_revenue]]</f>
        <v>5413.1</v>
      </c>
      <c r="D266" s="2">
        <f>tbl_raw[[#This Row],[return_loss]]</f>
        <v>3.24</v>
      </c>
      <c r="E266" s="2">
        <f t="shared" si="4"/>
        <v>5409.8600000000006</v>
      </c>
      <c r="F266" s="2">
        <f>tbl_raw[[#This Row],[cogs]]</f>
        <v>2273.5</v>
      </c>
      <c r="G266" s="2">
        <f>SUM(tbl_raw[[#This Row],[storage_cost]:[freight_cost]])</f>
        <v>242.09</v>
      </c>
      <c r="H266" s="2">
        <f>tbl_profitability[[#This Row],[net_revenue_after_returns]]-tbl_profitability[[#This Row],[cogs]]-tbl_profitability[[#This Row],[operating_costs]]</f>
        <v>2894.2700000000004</v>
      </c>
      <c r="I266" s="10">
        <f>(tbl_profitability[[#This Row],[gross_revenue]]-tbl_profitability[[#This Row],[cogs]])/tbl_profitability[[#This Row],[gross_revenue]]</f>
        <v>0.58000036947405376</v>
      </c>
      <c r="J266" s="10">
        <f>tbl_profitability[[#This Row],[net_profit]]/tbl_profitability[[#This Row],[gross_revenue]]</f>
        <v>0.5346788346788347</v>
      </c>
      <c r="K266" s="2">
        <f>(tbl_profitability[[#This Row],[cogs]]+tbl_profitability[[#This Row],[return_loss]]+tbl_profitability[[#This Row],[operating_costs]])/tbl_raw[[#This Row],[units_sold]]</f>
        <v>279.87</v>
      </c>
      <c r="L266" s="8" t="str">
        <f>tbl_raw[[#This Row],[decision]]</f>
        <v>EXIT</v>
      </c>
    </row>
    <row r="267" spans="1:12" x14ac:dyDescent="0.35">
      <c r="A267" s="3" t="str">
        <f>tbl_raw[[#This Row],[product_id]]</f>
        <v>638bbb2a5e4f360b71f332ddfebfd672</v>
      </c>
      <c r="B267" s="4" t="str">
        <f>tbl_raw[[#This Row],[category]]</f>
        <v>construction_tools_construction</v>
      </c>
      <c r="C267" s="2">
        <f>tbl_raw[[#This Row],[gross_revenue]]</f>
        <v>5396</v>
      </c>
      <c r="D267" s="2">
        <f>tbl_raw[[#This Row],[return_loss]]</f>
        <v>1.44</v>
      </c>
      <c r="E267" s="2">
        <f t="shared" si="4"/>
        <v>5394.56</v>
      </c>
      <c r="F267" s="2">
        <f>tbl_raw[[#This Row],[cogs]]</f>
        <v>2428.1999999999998</v>
      </c>
      <c r="G267" s="2">
        <f>SUM(tbl_raw[[#This Row],[storage_cost]:[freight_cost]])</f>
        <v>424.96</v>
      </c>
      <c r="H267" s="2">
        <f>tbl_profitability[[#This Row],[net_revenue_after_returns]]-tbl_profitability[[#This Row],[cogs]]-tbl_profitability[[#This Row],[operating_costs]]</f>
        <v>2541.4000000000005</v>
      </c>
      <c r="I267" s="10">
        <f>(tbl_profitability[[#This Row],[gross_revenue]]-tbl_profitability[[#This Row],[cogs]])/tbl_profitability[[#This Row],[gross_revenue]]</f>
        <v>0.55000000000000004</v>
      </c>
      <c r="J267" s="10">
        <f>tbl_profitability[[#This Row],[net_profit]]/tbl_profitability[[#This Row],[gross_revenue]]</f>
        <v>0.47097850259451457</v>
      </c>
      <c r="K267" s="2">
        <f>(tbl_profitability[[#This Row],[cogs]]+tbl_profitability[[#This Row],[return_loss]]+tbl_profitability[[#This Row],[operating_costs]])/tbl_raw[[#This Row],[units_sold]]</f>
        <v>713.65</v>
      </c>
      <c r="L267" s="8" t="str">
        <f>tbl_raw[[#This Row],[decision]]</f>
        <v>SCALE</v>
      </c>
    </row>
    <row r="268" spans="1:12" x14ac:dyDescent="0.35">
      <c r="A268" s="3" t="str">
        <f>tbl_raw[[#This Row],[product_id]]</f>
        <v>3e5201fe0d1ba474d9b90152c83c706c</v>
      </c>
      <c r="B268" s="4" t="str">
        <f>tbl_raw[[#This Row],[category]]</f>
        <v>bed_bath_table</v>
      </c>
      <c r="C268" s="2">
        <f>tbl_raw[[#This Row],[gross_revenue]]</f>
        <v>5381.6</v>
      </c>
      <c r="D268" s="2">
        <f>tbl_raw[[#This Row],[return_loss]]</f>
        <v>15.84</v>
      </c>
      <c r="E268" s="2">
        <f t="shared" si="4"/>
        <v>5365.76</v>
      </c>
      <c r="F268" s="2">
        <f>tbl_raw[[#This Row],[cogs]]</f>
        <v>2421.7199999999998</v>
      </c>
      <c r="G268" s="2">
        <f>SUM(tbl_raw[[#This Row],[storage_cost]:[freight_cost]])</f>
        <v>1078.3699999999999</v>
      </c>
      <c r="H268" s="2">
        <f>tbl_profitability[[#This Row],[net_revenue_after_returns]]-tbl_profitability[[#This Row],[cogs]]-tbl_profitability[[#This Row],[operating_costs]]</f>
        <v>1865.6700000000005</v>
      </c>
      <c r="I268" s="10">
        <f>(tbl_profitability[[#This Row],[gross_revenue]]-tbl_profitability[[#This Row],[cogs]])/tbl_profitability[[#This Row],[gross_revenue]]</f>
        <v>0.55000000000000004</v>
      </c>
      <c r="J268" s="10">
        <f>tbl_profitability[[#This Row],[net_profit]]/tbl_profitability[[#This Row],[gross_revenue]]</f>
        <v>0.3466757098260741</v>
      </c>
      <c r="K268" s="2">
        <f>(tbl_profitability[[#This Row],[cogs]]+tbl_profitability[[#This Row],[return_loss]]+tbl_profitability[[#This Row],[operating_costs]])/tbl_raw[[#This Row],[units_sold]]</f>
        <v>79.907499999999999</v>
      </c>
      <c r="L268" s="8" t="str">
        <f>tbl_raw[[#This Row],[decision]]</f>
        <v>OPTIMIZE</v>
      </c>
    </row>
    <row r="269" spans="1:12" x14ac:dyDescent="0.35">
      <c r="A269" s="3" t="str">
        <f>tbl_raw[[#This Row],[product_id]]</f>
        <v>1d16c0509e7011656e03c6a582ff6667</v>
      </c>
      <c r="B269" s="4" t="str">
        <f>tbl_raw[[#This Row],[category]]</f>
        <v>health_beauty</v>
      </c>
      <c r="C269" s="2">
        <f>tbl_raw[[#This Row],[gross_revenue]]</f>
        <v>5320</v>
      </c>
      <c r="D269" s="2">
        <f>tbl_raw[[#This Row],[return_loss]]</f>
        <v>2.52</v>
      </c>
      <c r="E269" s="2">
        <f t="shared" si="4"/>
        <v>5317.48</v>
      </c>
      <c r="F269" s="2">
        <f>tbl_raw[[#This Row],[cogs]]</f>
        <v>2234.4</v>
      </c>
      <c r="G269" s="2">
        <f>SUM(tbl_raw[[#This Row],[storage_cost]:[freight_cost]])</f>
        <v>1186.74</v>
      </c>
      <c r="H269" s="2">
        <f>tbl_profitability[[#This Row],[net_revenue_after_returns]]-tbl_profitability[[#This Row],[cogs]]-tbl_profitability[[#This Row],[operating_costs]]</f>
        <v>1896.3399999999995</v>
      </c>
      <c r="I269" s="10">
        <f>(tbl_profitability[[#This Row],[gross_revenue]]-tbl_profitability[[#This Row],[cogs]])/tbl_profitability[[#This Row],[gross_revenue]]</f>
        <v>0.57999999999999996</v>
      </c>
      <c r="J269" s="10">
        <f>tbl_profitability[[#This Row],[net_profit]]/tbl_profitability[[#This Row],[gross_revenue]]</f>
        <v>0.35645488721804502</v>
      </c>
      <c r="K269" s="2">
        <f>(tbl_profitability[[#This Row],[cogs]]+tbl_profitability[[#This Row],[return_loss]]+tbl_profitability[[#This Row],[operating_costs]])/tbl_raw[[#This Row],[units_sold]]</f>
        <v>489.09428571428572</v>
      </c>
      <c r="L269" s="8" t="str">
        <f>tbl_raw[[#This Row],[decision]]</f>
        <v>SCALE</v>
      </c>
    </row>
    <row r="270" spans="1:12" x14ac:dyDescent="0.35">
      <c r="A270" s="3" t="str">
        <f>tbl_raw[[#This Row],[product_id]]</f>
        <v>51ce083cd2b9078656a94655ab45b8a4</v>
      </c>
      <c r="B270" s="4" t="str">
        <f>tbl_raw[[#This Row],[category]]</f>
        <v>bed_bath_table</v>
      </c>
      <c r="C270" s="2">
        <f>tbl_raw[[#This Row],[gross_revenue]]</f>
        <v>5317.4</v>
      </c>
      <c r="D270" s="2">
        <f>tbl_raw[[#This Row],[return_loss]]</f>
        <v>9.36</v>
      </c>
      <c r="E270" s="2">
        <f t="shared" si="4"/>
        <v>5308.04</v>
      </c>
      <c r="F270" s="2">
        <f>tbl_raw[[#This Row],[cogs]]</f>
        <v>2392.83</v>
      </c>
      <c r="G270" s="2">
        <f>SUM(tbl_raw[[#This Row],[storage_cost]:[freight_cost]])</f>
        <v>739.65</v>
      </c>
      <c r="H270" s="2">
        <f>tbl_profitability[[#This Row],[net_revenue_after_returns]]-tbl_profitability[[#This Row],[cogs]]-tbl_profitability[[#This Row],[operating_costs]]</f>
        <v>2175.56</v>
      </c>
      <c r="I270" s="10">
        <f>(tbl_profitability[[#This Row],[gross_revenue]]-tbl_profitability[[#This Row],[cogs]])/tbl_profitability[[#This Row],[gross_revenue]]</f>
        <v>0.54999999999999993</v>
      </c>
      <c r="J270" s="10">
        <f>tbl_profitability[[#This Row],[net_profit]]/tbl_profitability[[#This Row],[gross_revenue]]</f>
        <v>0.40913980516793924</v>
      </c>
      <c r="K270" s="2">
        <f>(tbl_profitability[[#This Row],[cogs]]+tbl_profitability[[#This Row],[return_loss]]+tbl_profitability[[#This Row],[operating_costs]])/tbl_raw[[#This Row],[units_sold]]</f>
        <v>120.84</v>
      </c>
      <c r="L270" s="8" t="str">
        <f>tbl_raw[[#This Row],[decision]]</f>
        <v>SCALE</v>
      </c>
    </row>
    <row r="271" spans="1:12" x14ac:dyDescent="0.35">
      <c r="A271" s="3" t="str">
        <f>tbl_raw[[#This Row],[product_id]]</f>
        <v>9da950e8c8c482441f1b93955b21c827</v>
      </c>
      <c r="B271" s="4" t="str">
        <f>tbl_raw[[#This Row],[category]]</f>
        <v>cool_stuff</v>
      </c>
      <c r="C271" s="2">
        <f>tbl_raw[[#This Row],[gross_revenue]]</f>
        <v>5304.86</v>
      </c>
      <c r="D271" s="2">
        <f>tbl_raw[[#This Row],[return_loss]]</f>
        <v>9</v>
      </c>
      <c r="E271" s="2">
        <f t="shared" si="4"/>
        <v>5295.86</v>
      </c>
      <c r="F271" s="2">
        <f>tbl_raw[[#This Row],[cogs]]</f>
        <v>2387.19</v>
      </c>
      <c r="G271" s="2">
        <f>SUM(tbl_raw[[#This Row],[storage_cost]:[freight_cost]])</f>
        <v>686.88</v>
      </c>
      <c r="H271" s="2">
        <f>tbl_profitability[[#This Row],[net_revenue_after_returns]]-tbl_profitability[[#This Row],[cogs]]-tbl_profitability[[#This Row],[operating_costs]]</f>
        <v>2221.7899999999995</v>
      </c>
      <c r="I271" s="10">
        <f>(tbl_profitability[[#This Row],[gross_revenue]]-tbl_profitability[[#This Row],[cogs]])/tbl_profitability[[#This Row],[gross_revenue]]</f>
        <v>0.54999943448083455</v>
      </c>
      <c r="J271" s="10">
        <f>tbl_profitability[[#This Row],[net_profit]]/tbl_profitability[[#This Row],[gross_revenue]]</f>
        <v>0.41882160886432435</v>
      </c>
      <c r="K271" s="2">
        <f>(tbl_profitability[[#This Row],[cogs]]+tbl_profitability[[#This Row],[return_loss]]+tbl_profitability[[#This Row],[operating_costs]])/tbl_raw[[#This Row],[units_sold]]</f>
        <v>123.3228</v>
      </c>
      <c r="L271" s="8" t="str">
        <f>tbl_raw[[#This Row],[decision]]</f>
        <v>SCALE</v>
      </c>
    </row>
    <row r="272" spans="1:12" x14ac:dyDescent="0.35">
      <c r="A272" s="3" t="str">
        <f>tbl_raw[[#This Row],[product_id]]</f>
        <v>a233df9a388d27dbdfd31731d4236db0</v>
      </c>
      <c r="B272" s="4" t="str">
        <f>tbl_raw[[#This Row],[category]]</f>
        <v>computers_accessories</v>
      </c>
      <c r="C272" s="2">
        <f>tbl_raw[[#This Row],[gross_revenue]]</f>
        <v>5299.98</v>
      </c>
      <c r="D272" s="2">
        <f>tbl_raw[[#This Row],[return_loss]]</f>
        <v>1.8</v>
      </c>
      <c r="E272" s="2">
        <f t="shared" si="4"/>
        <v>5298.1799999999994</v>
      </c>
      <c r="F272" s="2">
        <f>tbl_raw[[#This Row],[cogs]]</f>
        <v>3020.99</v>
      </c>
      <c r="G272" s="2">
        <f>SUM(tbl_raw[[#This Row],[storage_cost]:[freight_cost]])</f>
        <v>242.31</v>
      </c>
      <c r="H272" s="2">
        <f>tbl_profitability[[#This Row],[net_revenue_after_returns]]-tbl_profitability[[#This Row],[cogs]]-tbl_profitability[[#This Row],[operating_costs]]</f>
        <v>2034.8799999999997</v>
      </c>
      <c r="I272" s="10">
        <f>(tbl_profitability[[#This Row],[gross_revenue]]-tbl_profitability[[#This Row],[cogs]])/tbl_profitability[[#This Row],[gross_revenue]]</f>
        <v>0.42999973584805978</v>
      </c>
      <c r="J272" s="10">
        <f>tbl_profitability[[#This Row],[net_profit]]/tbl_profitability[[#This Row],[gross_revenue]]</f>
        <v>0.38394107147574136</v>
      </c>
      <c r="K272" s="2">
        <f>(tbl_profitability[[#This Row],[cogs]]+tbl_profitability[[#This Row],[return_loss]]+tbl_profitability[[#This Row],[operating_costs]])/tbl_raw[[#This Row],[units_sold]]</f>
        <v>1632.55</v>
      </c>
      <c r="L272" s="8" t="str">
        <f>tbl_raw[[#This Row],[decision]]</f>
        <v>OPTIMIZE</v>
      </c>
    </row>
    <row r="273" spans="1:12" x14ac:dyDescent="0.35">
      <c r="A273" s="3" t="str">
        <f>tbl_raw[[#This Row],[product_id]]</f>
        <v>75d6b6963340c6063f7f4cfcccfe6a30</v>
      </c>
      <c r="B273" s="4" t="str">
        <f>tbl_raw[[#This Row],[category]]</f>
        <v>perfumery</v>
      </c>
      <c r="C273" s="2">
        <f>tbl_raw[[#This Row],[gross_revenue]]</f>
        <v>5288.07</v>
      </c>
      <c r="D273" s="2">
        <f>tbl_raw[[#This Row],[return_loss]]</f>
        <v>33.479999999999997</v>
      </c>
      <c r="E273" s="2">
        <f t="shared" si="4"/>
        <v>5254.59</v>
      </c>
      <c r="F273" s="2">
        <f>tbl_raw[[#This Row],[cogs]]</f>
        <v>2220.9899999999998</v>
      </c>
      <c r="G273" s="2">
        <f>SUM(tbl_raw[[#This Row],[storage_cost]:[freight_cost]])</f>
        <v>1727.05</v>
      </c>
      <c r="H273" s="2">
        <f>tbl_profitability[[#This Row],[net_revenue_after_returns]]-tbl_profitability[[#This Row],[cogs]]-tbl_profitability[[#This Row],[operating_costs]]</f>
        <v>1306.5500000000004</v>
      </c>
      <c r="I273" s="10">
        <f>(tbl_profitability[[#This Row],[gross_revenue]]-tbl_profitability[[#This Row],[cogs]])/tbl_profitability[[#This Row],[gross_revenue]]</f>
        <v>0.57999988653705414</v>
      </c>
      <c r="J273" s="10">
        <f>tbl_profitability[[#This Row],[net_profit]]/tbl_profitability[[#This Row],[gross_revenue]]</f>
        <v>0.24707501980873939</v>
      </c>
      <c r="K273" s="2">
        <f>(tbl_profitability[[#This Row],[cogs]]+tbl_profitability[[#This Row],[return_loss]]+tbl_profitability[[#This Row],[operating_costs]])/tbl_raw[[#This Row],[units_sold]]</f>
        <v>42.812043010752681</v>
      </c>
      <c r="L273" s="8" t="str">
        <f>tbl_raw[[#This Row],[decision]]</f>
        <v>OPTIMIZE</v>
      </c>
    </row>
    <row r="274" spans="1:12" x14ac:dyDescent="0.35">
      <c r="A274" s="3" t="str">
        <f>tbl_raw[[#This Row],[product_id]]</f>
        <v>a39cc58c1b5926b6f9f378daa89f1315</v>
      </c>
      <c r="B274" s="4" t="str">
        <f>tbl_raw[[#This Row],[category]]</f>
        <v>home_construction</v>
      </c>
      <c r="C274" s="2">
        <f>tbl_raw[[#This Row],[gross_revenue]]</f>
        <v>5259.8</v>
      </c>
      <c r="D274" s="2">
        <f>tbl_raw[[#This Row],[return_loss]]</f>
        <v>12.6</v>
      </c>
      <c r="E274" s="2">
        <f t="shared" si="4"/>
        <v>5247.2</v>
      </c>
      <c r="F274" s="2">
        <f>tbl_raw[[#This Row],[cogs]]</f>
        <v>2366.91</v>
      </c>
      <c r="G274" s="2">
        <f>SUM(tbl_raw[[#This Row],[storage_cost]:[freight_cost]])</f>
        <v>1599.27</v>
      </c>
      <c r="H274" s="2">
        <f>tbl_profitability[[#This Row],[net_revenue_after_returns]]-tbl_profitability[[#This Row],[cogs]]-tbl_profitability[[#This Row],[operating_costs]]</f>
        <v>1281.02</v>
      </c>
      <c r="I274" s="10">
        <f>(tbl_profitability[[#This Row],[gross_revenue]]-tbl_profitability[[#This Row],[cogs]])/tbl_profitability[[#This Row],[gross_revenue]]</f>
        <v>0.55000000000000004</v>
      </c>
      <c r="J274" s="10">
        <f>tbl_profitability[[#This Row],[net_profit]]/tbl_profitability[[#This Row],[gross_revenue]]</f>
        <v>0.24354918437963419</v>
      </c>
      <c r="K274" s="2">
        <f>(tbl_profitability[[#This Row],[cogs]]+tbl_profitability[[#This Row],[return_loss]]+tbl_profitability[[#This Row],[operating_costs]])/tbl_raw[[#This Row],[units_sold]]</f>
        <v>113.67942857142856</v>
      </c>
      <c r="L274" s="8" t="str">
        <f>tbl_raw[[#This Row],[decision]]</f>
        <v>OPTIMIZE</v>
      </c>
    </row>
    <row r="275" spans="1:12" x14ac:dyDescent="0.35">
      <c r="A275" s="3" t="str">
        <f>tbl_raw[[#This Row],[product_id]]</f>
        <v>97c948ebc8c04b26b7bbb095d4228f2a</v>
      </c>
      <c r="B275" s="4" t="str">
        <f>tbl_raw[[#This Row],[category]]</f>
        <v>health_beauty</v>
      </c>
      <c r="C275" s="2">
        <f>tbl_raw[[#This Row],[gross_revenue]]</f>
        <v>5250</v>
      </c>
      <c r="D275" s="2">
        <f>tbl_raw[[#This Row],[return_loss]]</f>
        <v>1.8</v>
      </c>
      <c r="E275" s="2">
        <f t="shared" si="4"/>
        <v>5248.2</v>
      </c>
      <c r="F275" s="2">
        <f>tbl_raw[[#This Row],[cogs]]</f>
        <v>2205</v>
      </c>
      <c r="G275" s="2">
        <f>SUM(tbl_raw[[#This Row],[storage_cost]:[freight_cost]])</f>
        <v>1258.33</v>
      </c>
      <c r="H275" s="2">
        <f>tbl_profitability[[#This Row],[net_revenue_after_returns]]-tbl_profitability[[#This Row],[cogs]]-tbl_profitability[[#This Row],[operating_costs]]</f>
        <v>1784.87</v>
      </c>
      <c r="I275" s="10">
        <f>(tbl_profitability[[#This Row],[gross_revenue]]-tbl_profitability[[#This Row],[cogs]])/tbl_profitability[[#This Row],[gross_revenue]]</f>
        <v>0.57999999999999996</v>
      </c>
      <c r="J275" s="10">
        <f>tbl_profitability[[#This Row],[net_profit]]/tbl_profitability[[#This Row],[gross_revenue]]</f>
        <v>0.33997523809523805</v>
      </c>
      <c r="K275" s="2">
        <f>(tbl_profitability[[#This Row],[cogs]]+tbl_profitability[[#This Row],[return_loss]]+tbl_profitability[[#This Row],[operating_costs]])/tbl_raw[[#This Row],[units_sold]]</f>
        <v>693.02600000000007</v>
      </c>
      <c r="L275" s="8" t="str">
        <f>tbl_raw[[#This Row],[decision]]</f>
        <v>SCALE</v>
      </c>
    </row>
    <row r="276" spans="1:12" x14ac:dyDescent="0.35">
      <c r="A276" s="3" t="str">
        <f>tbl_raw[[#This Row],[product_id]]</f>
        <v>05a9dadb8402b6b7ae3dd28f7da187b5</v>
      </c>
      <c r="B276" s="4" t="str">
        <f>tbl_raw[[#This Row],[category]]</f>
        <v>computers_accessories</v>
      </c>
      <c r="C276" s="2">
        <f>tbl_raw[[#This Row],[gross_revenue]]</f>
        <v>5247</v>
      </c>
      <c r="D276" s="2">
        <f>tbl_raw[[#This Row],[return_loss]]</f>
        <v>29.7</v>
      </c>
      <c r="E276" s="2">
        <f t="shared" si="4"/>
        <v>5217.3</v>
      </c>
      <c r="F276" s="2">
        <f>tbl_raw[[#This Row],[cogs]]</f>
        <v>2990.79</v>
      </c>
      <c r="G276" s="2">
        <f>SUM(tbl_raw[[#This Row],[storage_cost]:[freight_cost]])</f>
        <v>1483.29</v>
      </c>
      <c r="H276" s="2">
        <f>tbl_profitability[[#This Row],[net_revenue_after_returns]]-tbl_profitability[[#This Row],[cogs]]-tbl_profitability[[#This Row],[operating_costs]]</f>
        <v>743.22000000000025</v>
      </c>
      <c r="I276" s="10">
        <f>(tbl_profitability[[#This Row],[gross_revenue]]-tbl_profitability[[#This Row],[cogs]])/tbl_profitability[[#This Row],[gross_revenue]]</f>
        <v>0.43</v>
      </c>
      <c r="J276" s="10">
        <f>tbl_profitability[[#This Row],[net_profit]]/tbl_profitability[[#This Row],[gross_revenue]]</f>
        <v>0.14164665523156095</v>
      </c>
      <c r="K276" s="2">
        <f>(tbl_profitability[[#This Row],[cogs]]+tbl_profitability[[#This Row],[return_loss]]+tbl_profitability[[#This Row],[operating_costs]])/tbl_raw[[#This Row],[units_sold]]</f>
        <v>136.47818181818181</v>
      </c>
      <c r="L276" s="8" t="str">
        <f>tbl_raw[[#This Row],[decision]]</f>
        <v>OPTIMIZE</v>
      </c>
    </row>
    <row r="277" spans="1:12" x14ac:dyDescent="0.35">
      <c r="A277" s="3" t="str">
        <f>tbl_raw[[#This Row],[product_id]]</f>
        <v>817e1c2d22418c36386406ccacfa53e8</v>
      </c>
      <c r="B277" s="4" t="str">
        <f>tbl_raw[[#This Row],[category]]</f>
        <v>furniture_decor</v>
      </c>
      <c r="C277" s="2">
        <f>tbl_raw[[#This Row],[gross_revenue]]</f>
        <v>5238</v>
      </c>
      <c r="D277" s="2">
        <f>tbl_raw[[#This Row],[return_loss]]</f>
        <v>11.52</v>
      </c>
      <c r="E277" s="2">
        <f t="shared" si="4"/>
        <v>5226.4799999999996</v>
      </c>
      <c r="F277" s="2">
        <f>tbl_raw[[#This Row],[cogs]]</f>
        <v>2357.1</v>
      </c>
      <c r="G277" s="2">
        <f>SUM(tbl_raw[[#This Row],[storage_cost]:[freight_cost]])</f>
        <v>1437.44</v>
      </c>
      <c r="H277" s="2">
        <f>tbl_profitability[[#This Row],[net_revenue_after_returns]]-tbl_profitability[[#This Row],[cogs]]-tbl_profitability[[#This Row],[operating_costs]]</f>
        <v>1431.9399999999996</v>
      </c>
      <c r="I277" s="10">
        <f>(tbl_profitability[[#This Row],[gross_revenue]]-tbl_profitability[[#This Row],[cogs]])/tbl_profitability[[#This Row],[gross_revenue]]</f>
        <v>0.55000000000000004</v>
      </c>
      <c r="J277" s="10">
        <f>tbl_profitability[[#This Row],[net_profit]]/tbl_profitability[[#This Row],[gross_revenue]]</f>
        <v>0.2733753340969835</v>
      </c>
      <c r="K277" s="2">
        <f>(tbl_profitability[[#This Row],[cogs]]+tbl_profitability[[#This Row],[return_loss]]+tbl_profitability[[#This Row],[operating_costs]])/tbl_raw[[#This Row],[units_sold]]</f>
        <v>118.939375</v>
      </c>
      <c r="L277" s="8" t="str">
        <f>tbl_raw[[#This Row],[decision]]</f>
        <v>SCALE</v>
      </c>
    </row>
    <row r="278" spans="1:12" x14ac:dyDescent="0.35">
      <c r="A278" s="3" t="str">
        <f>tbl_raw[[#This Row],[product_id]]</f>
        <v>65841ad29fc48cd40902e03da7511e05</v>
      </c>
      <c r="B278" s="4" t="str">
        <f>tbl_raw[[#This Row],[category]]</f>
        <v>cool_stuff</v>
      </c>
      <c r="C278" s="2">
        <f>tbl_raw[[#This Row],[gross_revenue]]</f>
        <v>5213</v>
      </c>
      <c r="D278" s="2">
        <f>tbl_raw[[#This Row],[return_loss]]</f>
        <v>2.16</v>
      </c>
      <c r="E278" s="2">
        <f t="shared" si="4"/>
        <v>5210.84</v>
      </c>
      <c r="F278" s="2">
        <f>tbl_raw[[#This Row],[cogs]]</f>
        <v>2345.85</v>
      </c>
      <c r="G278" s="2">
        <f>SUM(tbl_raw[[#This Row],[storage_cost]:[freight_cost]])</f>
        <v>794.9</v>
      </c>
      <c r="H278" s="2">
        <f>tbl_profitability[[#This Row],[net_revenue_after_returns]]-tbl_profitability[[#This Row],[cogs]]-tbl_profitability[[#This Row],[operating_costs]]</f>
        <v>2070.09</v>
      </c>
      <c r="I278" s="10">
        <f>(tbl_profitability[[#This Row],[gross_revenue]]-tbl_profitability[[#This Row],[cogs]])/tbl_profitability[[#This Row],[gross_revenue]]</f>
        <v>0.55000000000000004</v>
      </c>
      <c r="J278" s="10">
        <f>tbl_profitability[[#This Row],[net_profit]]/tbl_profitability[[#This Row],[gross_revenue]]</f>
        <v>0.39710147707653942</v>
      </c>
      <c r="K278" s="2">
        <f>(tbl_profitability[[#This Row],[cogs]]+tbl_profitability[[#This Row],[return_loss]]+tbl_profitability[[#This Row],[operating_costs]])/tbl_raw[[#This Row],[units_sold]]</f>
        <v>523.81833333333327</v>
      </c>
      <c r="L278" s="8" t="str">
        <f>tbl_raw[[#This Row],[decision]]</f>
        <v>OPTIMIZE</v>
      </c>
    </row>
    <row r="279" spans="1:12" x14ac:dyDescent="0.35">
      <c r="A279" s="3" t="str">
        <f>tbl_raw[[#This Row],[product_id]]</f>
        <v>764292b2b0f73f77a0272be03fdd45f3</v>
      </c>
      <c r="B279" s="4" t="str">
        <f>tbl_raw[[#This Row],[category]]</f>
        <v>furniture_decor</v>
      </c>
      <c r="C279" s="2">
        <f>tbl_raw[[#This Row],[gross_revenue]]</f>
        <v>5204.3</v>
      </c>
      <c r="D279" s="2">
        <f>tbl_raw[[#This Row],[return_loss]]</f>
        <v>20.52</v>
      </c>
      <c r="E279" s="2">
        <f t="shared" si="4"/>
        <v>5183.78</v>
      </c>
      <c r="F279" s="2">
        <f>tbl_raw[[#This Row],[cogs]]</f>
        <v>2341.94</v>
      </c>
      <c r="G279" s="2">
        <f>SUM(tbl_raw[[#This Row],[storage_cost]:[freight_cost]])</f>
        <v>1697.27</v>
      </c>
      <c r="H279" s="2">
        <f>tbl_profitability[[#This Row],[net_revenue_after_returns]]-tbl_profitability[[#This Row],[cogs]]-tbl_profitability[[#This Row],[operating_costs]]</f>
        <v>1144.5699999999997</v>
      </c>
      <c r="I279" s="10">
        <f>(tbl_profitability[[#This Row],[gross_revenue]]-tbl_profitability[[#This Row],[cogs]])/tbl_profitability[[#This Row],[gross_revenue]]</f>
        <v>0.5499990392559998</v>
      </c>
      <c r="J279" s="10">
        <f>tbl_profitability[[#This Row],[net_profit]]/tbl_profitability[[#This Row],[gross_revenue]]</f>
        <v>0.21992775205118836</v>
      </c>
      <c r="K279" s="2">
        <f>(tbl_profitability[[#This Row],[cogs]]+tbl_profitability[[#This Row],[return_loss]]+tbl_profitability[[#This Row],[operating_costs]])/tbl_raw[[#This Row],[units_sold]]</f>
        <v>71.223333333333329</v>
      </c>
      <c r="L279" s="8" t="str">
        <f>tbl_raw[[#This Row],[decision]]</f>
        <v>OPTIMIZE</v>
      </c>
    </row>
    <row r="280" spans="1:12" x14ac:dyDescent="0.35">
      <c r="A280" s="3" t="str">
        <f>tbl_raw[[#This Row],[product_id]]</f>
        <v>450c25d98ed6923154a934554475bf13</v>
      </c>
      <c r="B280" s="4" t="str">
        <f>tbl_raw[[#This Row],[category]]</f>
        <v>health_beauty</v>
      </c>
      <c r="C280" s="2">
        <f>tbl_raw[[#This Row],[gross_revenue]]</f>
        <v>5187</v>
      </c>
      <c r="D280" s="2">
        <f>tbl_raw[[#This Row],[return_loss]]</f>
        <v>4.68</v>
      </c>
      <c r="E280" s="2">
        <f t="shared" si="4"/>
        <v>5182.32</v>
      </c>
      <c r="F280" s="2">
        <f>tbl_raw[[#This Row],[cogs]]</f>
        <v>2178.54</v>
      </c>
      <c r="G280" s="2">
        <f>SUM(tbl_raw[[#This Row],[storage_cost]:[freight_cost]])</f>
        <v>1470.9</v>
      </c>
      <c r="H280" s="2">
        <f>tbl_profitability[[#This Row],[net_revenue_after_returns]]-tbl_profitability[[#This Row],[cogs]]-tbl_profitability[[#This Row],[operating_costs]]</f>
        <v>1532.8799999999997</v>
      </c>
      <c r="I280" s="10">
        <f>(tbl_profitability[[#This Row],[gross_revenue]]-tbl_profitability[[#This Row],[cogs]])/tbl_profitability[[#This Row],[gross_revenue]]</f>
        <v>0.57999999999999996</v>
      </c>
      <c r="J280" s="10">
        <f>tbl_profitability[[#This Row],[net_profit]]/tbl_profitability[[#This Row],[gross_revenue]]</f>
        <v>0.2955234239444765</v>
      </c>
      <c r="K280" s="2">
        <f>(tbl_profitability[[#This Row],[cogs]]+tbl_profitability[[#This Row],[return_loss]]+tbl_profitability[[#This Row],[operating_costs]])/tbl_raw[[#This Row],[units_sold]]</f>
        <v>281.08615384615382</v>
      </c>
      <c r="L280" s="8" t="str">
        <f>tbl_raw[[#This Row],[decision]]</f>
        <v>SCALE</v>
      </c>
    </row>
    <row r="281" spans="1:12" x14ac:dyDescent="0.35">
      <c r="A281" s="3" t="str">
        <f>tbl_raw[[#This Row],[product_id]]</f>
        <v>698b3ddae2f0b80c2a48fb40624ca4e4</v>
      </c>
      <c r="B281" s="4" t="str">
        <f>tbl_raw[[#This Row],[category]]</f>
        <v>furniture_decor</v>
      </c>
      <c r="C281" s="2">
        <f>tbl_raw[[#This Row],[gross_revenue]]</f>
        <v>5183.5</v>
      </c>
      <c r="D281" s="2">
        <f>tbl_raw[[#This Row],[return_loss]]</f>
        <v>7.56</v>
      </c>
      <c r="E281" s="2">
        <f t="shared" si="4"/>
        <v>5175.9399999999996</v>
      </c>
      <c r="F281" s="2">
        <f>tbl_raw[[#This Row],[cogs]]</f>
        <v>2332.58</v>
      </c>
      <c r="G281" s="2">
        <f>SUM(tbl_raw[[#This Row],[storage_cost]:[freight_cost]])</f>
        <v>1284.95</v>
      </c>
      <c r="H281" s="2">
        <f>tbl_profitability[[#This Row],[net_revenue_after_returns]]-tbl_profitability[[#This Row],[cogs]]-tbl_profitability[[#This Row],[operating_costs]]</f>
        <v>1558.4099999999996</v>
      </c>
      <c r="I281" s="10">
        <f>(tbl_profitability[[#This Row],[gross_revenue]]-tbl_profitability[[#This Row],[cogs]])/tbl_profitability[[#This Row],[gross_revenue]]</f>
        <v>0.54999903540079098</v>
      </c>
      <c r="J281" s="10">
        <f>tbl_profitability[[#This Row],[net_profit]]/tbl_profitability[[#This Row],[gross_revenue]]</f>
        <v>0.3006482106684672</v>
      </c>
      <c r="K281" s="2">
        <f>(tbl_profitability[[#This Row],[cogs]]+tbl_profitability[[#This Row],[return_loss]]+tbl_profitability[[#This Row],[operating_costs]])/tbl_raw[[#This Row],[units_sold]]</f>
        <v>172.62333333333333</v>
      </c>
      <c r="L281" s="8" t="str">
        <f>tbl_raw[[#This Row],[decision]]</f>
        <v>SCALE</v>
      </c>
    </row>
    <row r="282" spans="1:12" x14ac:dyDescent="0.35">
      <c r="A282" s="3" t="str">
        <f>tbl_raw[[#This Row],[product_id]]</f>
        <v>10717ff440b2320081989126e858b220</v>
      </c>
      <c r="B282" s="4" t="str">
        <f>tbl_raw[[#This Row],[category]]</f>
        <v>bed_bath_table</v>
      </c>
      <c r="C282" s="2">
        <f>tbl_raw[[#This Row],[gross_revenue]]</f>
        <v>5149.8999999999996</v>
      </c>
      <c r="D282" s="2">
        <f>tbl_raw[[#This Row],[return_loss]]</f>
        <v>13.32</v>
      </c>
      <c r="E282" s="2">
        <f t="shared" si="4"/>
        <v>5136.58</v>
      </c>
      <c r="F282" s="2">
        <f>tbl_raw[[#This Row],[cogs]]</f>
        <v>2317.46</v>
      </c>
      <c r="G282" s="2">
        <f>SUM(tbl_raw[[#This Row],[storage_cost]:[freight_cost]])</f>
        <v>895.08</v>
      </c>
      <c r="H282" s="2">
        <f>tbl_profitability[[#This Row],[net_revenue_after_returns]]-tbl_profitability[[#This Row],[cogs]]-tbl_profitability[[#This Row],[operating_costs]]</f>
        <v>1924.04</v>
      </c>
      <c r="I282" s="10">
        <f>(tbl_profitability[[#This Row],[gross_revenue]]-tbl_profitability[[#This Row],[cogs]])/tbl_profitability[[#This Row],[gross_revenue]]</f>
        <v>0.54999902910736131</v>
      </c>
      <c r="J282" s="10">
        <f>tbl_profitability[[#This Row],[net_profit]]/tbl_profitability[[#This Row],[gross_revenue]]</f>
        <v>0.37360725450979632</v>
      </c>
      <c r="K282" s="2">
        <f>(tbl_profitability[[#This Row],[cogs]]+tbl_profitability[[#This Row],[return_loss]]+tbl_profitability[[#This Row],[operating_costs]])/tbl_raw[[#This Row],[units_sold]]</f>
        <v>87.185405405405405</v>
      </c>
      <c r="L282" s="8" t="str">
        <f>tbl_raw[[#This Row],[decision]]</f>
        <v>SCALE</v>
      </c>
    </row>
    <row r="283" spans="1:12" x14ac:dyDescent="0.35">
      <c r="A283" s="3" t="str">
        <f>tbl_raw[[#This Row],[product_id]]</f>
        <v>130482add9fd75ccb6c57ba007694a2d</v>
      </c>
      <c r="B283" s="4" t="str">
        <f>tbl_raw[[#This Row],[category]]</f>
        <v>computers_accessories</v>
      </c>
      <c r="C283" s="2">
        <f>tbl_raw[[#This Row],[gross_revenue]]</f>
        <v>5145</v>
      </c>
      <c r="D283" s="2">
        <f>tbl_raw[[#This Row],[return_loss]]</f>
        <v>44.1</v>
      </c>
      <c r="E283" s="2">
        <f t="shared" si="4"/>
        <v>5100.8999999999996</v>
      </c>
      <c r="F283" s="2">
        <f>tbl_raw[[#This Row],[cogs]]</f>
        <v>2932.65</v>
      </c>
      <c r="G283" s="2">
        <f>SUM(tbl_raw[[#This Row],[storage_cost]:[freight_cost]])</f>
        <v>1876.27</v>
      </c>
      <c r="H283" s="2">
        <f>tbl_profitability[[#This Row],[net_revenue_after_returns]]-tbl_profitability[[#This Row],[cogs]]-tbl_profitability[[#This Row],[operating_costs]]</f>
        <v>291.97999999999956</v>
      </c>
      <c r="I283" s="10">
        <f>(tbl_profitability[[#This Row],[gross_revenue]]-tbl_profitability[[#This Row],[cogs]])/tbl_profitability[[#This Row],[gross_revenue]]</f>
        <v>0.43</v>
      </c>
      <c r="J283" s="10">
        <f>tbl_profitability[[#This Row],[net_profit]]/tbl_profitability[[#This Row],[gross_revenue]]</f>
        <v>5.6750242954324501E-2</v>
      </c>
      <c r="K283" s="2">
        <f>(tbl_profitability[[#This Row],[cogs]]+tbl_profitability[[#This Row],[return_loss]]+tbl_profitability[[#This Row],[operating_costs]])/tbl_raw[[#This Row],[units_sold]]</f>
        <v>99.041224489795923</v>
      </c>
      <c r="L283" s="8" t="str">
        <f>tbl_raw[[#This Row],[decision]]</f>
        <v>EXIT</v>
      </c>
    </row>
    <row r="284" spans="1:12" x14ac:dyDescent="0.35">
      <c r="A284" s="3" t="str">
        <f>tbl_raw[[#This Row],[product_id]]</f>
        <v>55782cb82e0efe052da0a3da237da3b2</v>
      </c>
      <c r="B284" s="4" t="str">
        <f>tbl_raw[[#This Row],[category]]</f>
        <v>auto</v>
      </c>
      <c r="C284" s="2">
        <f>tbl_raw[[#This Row],[gross_revenue]]</f>
        <v>5133.1000000000004</v>
      </c>
      <c r="D284" s="2">
        <f>tbl_raw[[#This Row],[return_loss]]</f>
        <v>10.44</v>
      </c>
      <c r="E284" s="2">
        <f t="shared" si="4"/>
        <v>5122.6600000000008</v>
      </c>
      <c r="F284" s="2">
        <f>tbl_raw[[#This Row],[cogs]]</f>
        <v>2309.9</v>
      </c>
      <c r="G284" s="2">
        <f>SUM(tbl_raw[[#This Row],[storage_cost]:[freight_cost]])</f>
        <v>993.9</v>
      </c>
      <c r="H284" s="2">
        <f>tbl_profitability[[#This Row],[net_revenue_after_returns]]-tbl_profitability[[#This Row],[cogs]]-tbl_profitability[[#This Row],[operating_costs]]</f>
        <v>1818.8600000000006</v>
      </c>
      <c r="I284" s="10">
        <f>(tbl_profitability[[#This Row],[gross_revenue]]-tbl_profitability[[#This Row],[cogs]])/tbl_profitability[[#This Row],[gross_revenue]]</f>
        <v>0.54999902592975003</v>
      </c>
      <c r="J284" s="10">
        <f>tbl_profitability[[#This Row],[net_profit]]/tbl_profitability[[#This Row],[gross_revenue]]</f>
        <v>0.35433948296351142</v>
      </c>
      <c r="K284" s="2">
        <f>(tbl_profitability[[#This Row],[cogs]]+tbl_profitability[[#This Row],[return_loss]]+tbl_profitability[[#This Row],[operating_costs]])/tbl_raw[[#This Row],[units_sold]]</f>
        <v>114.28413793103449</v>
      </c>
      <c r="L284" s="8" t="str">
        <f>tbl_raw[[#This Row],[decision]]</f>
        <v>SCALE</v>
      </c>
    </row>
    <row r="285" spans="1:12" x14ac:dyDescent="0.35">
      <c r="A285" s="3" t="str">
        <f>tbl_raw[[#This Row],[product_id]]</f>
        <v>b38b25d838ae0b8385e8cc68b9017644</v>
      </c>
      <c r="B285" s="4" t="str">
        <f>tbl_raw[[#This Row],[category]]</f>
        <v>health_beauty</v>
      </c>
      <c r="C285" s="2">
        <f>tbl_raw[[#This Row],[gross_revenue]]</f>
        <v>5129</v>
      </c>
      <c r="D285" s="2">
        <f>tbl_raw[[#This Row],[return_loss]]</f>
        <v>11.52</v>
      </c>
      <c r="E285" s="2">
        <f t="shared" si="4"/>
        <v>5117.4799999999996</v>
      </c>
      <c r="F285" s="2">
        <f>tbl_raw[[#This Row],[cogs]]</f>
        <v>2154.1799999999998</v>
      </c>
      <c r="G285" s="2">
        <f>SUM(tbl_raw[[#This Row],[storage_cost]:[freight_cost]])</f>
        <v>667.88</v>
      </c>
      <c r="H285" s="2">
        <f>tbl_profitability[[#This Row],[net_revenue_after_returns]]-tbl_profitability[[#This Row],[cogs]]-tbl_profitability[[#This Row],[operating_costs]]</f>
        <v>2295.4199999999996</v>
      </c>
      <c r="I285" s="10">
        <f>(tbl_profitability[[#This Row],[gross_revenue]]-tbl_profitability[[#This Row],[cogs]])/tbl_profitability[[#This Row],[gross_revenue]]</f>
        <v>0.58000000000000007</v>
      </c>
      <c r="J285" s="10">
        <f>tbl_profitability[[#This Row],[net_profit]]/tbl_profitability[[#This Row],[gross_revenue]]</f>
        <v>0.44753753168258914</v>
      </c>
      <c r="K285" s="2">
        <f>(tbl_profitability[[#This Row],[cogs]]+tbl_profitability[[#This Row],[return_loss]]+tbl_profitability[[#This Row],[operating_costs]])/tbl_raw[[#This Row],[units_sold]]</f>
        <v>88.549374999999998</v>
      </c>
      <c r="L285" s="8" t="str">
        <f>tbl_raw[[#This Row],[decision]]</f>
        <v>SCALE</v>
      </c>
    </row>
    <row r="286" spans="1:12" x14ac:dyDescent="0.35">
      <c r="A286" s="3" t="str">
        <f>tbl_raw[[#This Row],[product_id]]</f>
        <v>63085bb4366ded27bcb63cbb59b4103a</v>
      </c>
      <c r="B286" s="4" t="str">
        <f>tbl_raw[[#This Row],[category]]</f>
        <v>baby</v>
      </c>
      <c r="C286" s="2">
        <f>tbl_raw[[#This Row],[gross_revenue]]</f>
        <v>5115.8999999999996</v>
      </c>
      <c r="D286" s="2">
        <f>tbl_raw[[#This Row],[return_loss]]</f>
        <v>4.68</v>
      </c>
      <c r="E286" s="2">
        <f t="shared" si="4"/>
        <v>5111.2199999999993</v>
      </c>
      <c r="F286" s="2">
        <f>tbl_raw[[#This Row],[cogs]]</f>
        <v>2148.6799999999998</v>
      </c>
      <c r="G286" s="2">
        <f>SUM(tbl_raw[[#This Row],[storage_cost]:[freight_cost]])</f>
        <v>437.62</v>
      </c>
      <c r="H286" s="2">
        <f>tbl_profitability[[#This Row],[net_revenue_after_returns]]-tbl_profitability[[#This Row],[cogs]]-tbl_profitability[[#This Row],[operating_costs]]</f>
        <v>2524.9199999999996</v>
      </c>
      <c r="I286" s="10">
        <f>(tbl_profitability[[#This Row],[gross_revenue]]-tbl_profitability[[#This Row],[cogs]])/tbl_profitability[[#This Row],[gross_revenue]]</f>
        <v>0.57999960906194414</v>
      </c>
      <c r="J286" s="10">
        <f>tbl_profitability[[#This Row],[net_profit]]/tbl_profitability[[#This Row],[gross_revenue]]</f>
        <v>0.4935436580073887</v>
      </c>
      <c r="K286" s="2">
        <f>(tbl_profitability[[#This Row],[cogs]]+tbl_profitability[[#This Row],[return_loss]]+tbl_profitability[[#This Row],[operating_costs]])/tbl_raw[[#This Row],[units_sold]]</f>
        <v>199.30615384615382</v>
      </c>
      <c r="L286" s="8" t="str">
        <f>tbl_raw[[#This Row],[decision]]</f>
        <v>EXIT</v>
      </c>
    </row>
    <row r="287" spans="1:12" x14ac:dyDescent="0.35">
      <c r="A287" s="3" t="str">
        <f>tbl_raw[[#This Row],[product_id]]</f>
        <v>fb8c11da2e1b1634e879d1c3c6762dc2</v>
      </c>
      <c r="B287" s="4" t="str">
        <f>tbl_raw[[#This Row],[category]]</f>
        <v>computers</v>
      </c>
      <c r="C287" s="2">
        <f>tbl_raw[[#This Row],[gross_revenue]]</f>
        <v>5100</v>
      </c>
      <c r="D287" s="2">
        <f>tbl_raw[[#This Row],[return_loss]]</f>
        <v>5.4</v>
      </c>
      <c r="E287" s="2">
        <f t="shared" si="4"/>
        <v>5094.6000000000004</v>
      </c>
      <c r="F287" s="2">
        <f>tbl_raw[[#This Row],[cogs]]</f>
        <v>2907</v>
      </c>
      <c r="G287" s="2">
        <f>SUM(tbl_raw[[#This Row],[storage_cost]:[freight_cost]])</f>
        <v>259.39999999999998</v>
      </c>
      <c r="H287" s="2">
        <f>tbl_profitability[[#This Row],[net_revenue_after_returns]]-tbl_profitability[[#This Row],[cogs]]-tbl_profitability[[#This Row],[operating_costs]]</f>
        <v>1928.2000000000003</v>
      </c>
      <c r="I287" s="10">
        <f>(tbl_profitability[[#This Row],[gross_revenue]]-tbl_profitability[[#This Row],[cogs]])/tbl_profitability[[#This Row],[gross_revenue]]</f>
        <v>0.43</v>
      </c>
      <c r="J287" s="10">
        <f>tbl_profitability[[#This Row],[net_profit]]/tbl_profitability[[#This Row],[gross_revenue]]</f>
        <v>0.3780784313725491</v>
      </c>
      <c r="K287" s="2">
        <f>(tbl_profitability[[#This Row],[cogs]]+tbl_profitability[[#This Row],[return_loss]]+tbl_profitability[[#This Row],[operating_costs]])/tbl_raw[[#This Row],[units_sold]]</f>
        <v>528.63333333333333</v>
      </c>
      <c r="L287" s="8" t="str">
        <f>tbl_raw[[#This Row],[decision]]</f>
        <v>SCALE</v>
      </c>
    </row>
    <row r="288" spans="1:12" x14ac:dyDescent="0.35">
      <c r="A288" s="3" t="str">
        <f>tbl_raw[[#This Row],[product_id]]</f>
        <v>6dde44b4172999f35f08654d06bad633</v>
      </c>
      <c r="B288" s="4" t="str">
        <f>tbl_raw[[#This Row],[category]]</f>
        <v>office_furniture</v>
      </c>
      <c r="C288" s="2">
        <f>tbl_raw[[#This Row],[gross_revenue]]</f>
        <v>5099.55</v>
      </c>
      <c r="D288" s="2">
        <f>tbl_raw[[#This Row],[return_loss]]</f>
        <v>9</v>
      </c>
      <c r="E288" s="2">
        <f t="shared" si="4"/>
        <v>5090.55</v>
      </c>
      <c r="F288" s="2">
        <f>tbl_raw[[#This Row],[cogs]]</f>
        <v>2294.8000000000002</v>
      </c>
      <c r="G288" s="2">
        <f>SUM(tbl_raw[[#This Row],[storage_cost]:[freight_cost]])</f>
        <v>1616.82</v>
      </c>
      <c r="H288" s="2">
        <f>tbl_profitability[[#This Row],[net_revenue_after_returns]]-tbl_profitability[[#This Row],[cogs]]-tbl_profitability[[#This Row],[operating_costs]]</f>
        <v>1178.93</v>
      </c>
      <c r="I288" s="10">
        <f>(tbl_profitability[[#This Row],[gross_revenue]]-tbl_profitability[[#This Row],[cogs]])/tbl_profitability[[#This Row],[gross_revenue]]</f>
        <v>0.54999950976066514</v>
      </c>
      <c r="J288" s="10">
        <f>tbl_profitability[[#This Row],[net_profit]]/tbl_profitability[[#This Row],[gross_revenue]]</f>
        <v>0.23118314361071074</v>
      </c>
      <c r="K288" s="2">
        <f>(tbl_profitability[[#This Row],[cogs]]+tbl_profitability[[#This Row],[return_loss]]+tbl_profitability[[#This Row],[operating_costs]])/tbl_raw[[#This Row],[units_sold]]</f>
        <v>156.82479999999998</v>
      </c>
      <c r="L288" s="8" t="str">
        <f>tbl_raw[[#This Row],[decision]]</f>
        <v>OPTIMIZE</v>
      </c>
    </row>
    <row r="289" spans="1:12" x14ac:dyDescent="0.35">
      <c r="A289" s="3" t="str">
        <f>tbl_raw[[#This Row],[product_id]]</f>
        <v>1491a8ff192d4b5c369b0eaa2fe33ee5</v>
      </c>
      <c r="B289" s="4" t="str">
        <f>tbl_raw[[#This Row],[category]]</f>
        <v>bed_bath_table</v>
      </c>
      <c r="C289" s="2">
        <f>tbl_raw[[#This Row],[gross_revenue]]</f>
        <v>5089.6899999999996</v>
      </c>
      <c r="D289" s="2">
        <f>tbl_raw[[#This Row],[return_loss]]</f>
        <v>9</v>
      </c>
      <c r="E289" s="2">
        <f t="shared" si="4"/>
        <v>5080.6899999999996</v>
      </c>
      <c r="F289" s="2">
        <f>tbl_raw[[#This Row],[cogs]]</f>
        <v>2290.36</v>
      </c>
      <c r="G289" s="2">
        <f>SUM(tbl_raw[[#This Row],[storage_cost]:[freight_cost]])</f>
        <v>790.07</v>
      </c>
      <c r="H289" s="2">
        <f>tbl_profitability[[#This Row],[net_revenue_after_returns]]-tbl_profitability[[#This Row],[cogs]]-tbl_profitability[[#This Row],[operating_costs]]</f>
        <v>2000.2599999999993</v>
      </c>
      <c r="I289" s="10">
        <f>(tbl_profitability[[#This Row],[gross_revenue]]-tbl_profitability[[#This Row],[cogs]])/tbl_profitability[[#This Row],[gross_revenue]]</f>
        <v>0.55000009823781015</v>
      </c>
      <c r="J289" s="10">
        <f>tbl_profitability[[#This Row],[net_profit]]/tbl_profitability[[#This Row],[gross_revenue]]</f>
        <v>0.39300232430658832</v>
      </c>
      <c r="K289" s="2">
        <f>(tbl_profitability[[#This Row],[cogs]]+tbl_profitability[[#This Row],[return_loss]]+tbl_profitability[[#This Row],[operating_costs]])/tbl_raw[[#This Row],[units_sold]]</f>
        <v>123.5772</v>
      </c>
      <c r="L289" s="8" t="str">
        <f>tbl_raw[[#This Row],[decision]]</f>
        <v>SCALE</v>
      </c>
    </row>
    <row r="290" spans="1:12" x14ac:dyDescent="0.35">
      <c r="A290" s="3" t="str">
        <f>tbl_raw[[#This Row],[product_id]]</f>
        <v>c92f0e7b9d49a9543558d6532772441b</v>
      </c>
      <c r="B290" s="4" t="str">
        <f>tbl_raw[[#This Row],[category]]</f>
        <v>luggage_accessories</v>
      </c>
      <c r="C290" s="2">
        <f>tbl_raw[[#This Row],[gross_revenue]]</f>
        <v>5084.6000000000004</v>
      </c>
      <c r="D290" s="2">
        <f>tbl_raw[[#This Row],[return_loss]]</f>
        <v>12.96</v>
      </c>
      <c r="E290" s="2">
        <f t="shared" si="4"/>
        <v>5071.6400000000003</v>
      </c>
      <c r="F290" s="2">
        <f>tbl_raw[[#This Row],[cogs]]</f>
        <v>2135.5300000000002</v>
      </c>
      <c r="G290" s="2">
        <f>SUM(tbl_raw[[#This Row],[storage_cost]:[freight_cost]])</f>
        <v>1858.07</v>
      </c>
      <c r="H290" s="2">
        <f>tbl_profitability[[#This Row],[net_revenue_after_returns]]-tbl_profitability[[#This Row],[cogs]]-tbl_profitability[[#This Row],[operating_costs]]</f>
        <v>1078.0400000000002</v>
      </c>
      <c r="I290" s="10">
        <f>(tbl_profitability[[#This Row],[gross_revenue]]-tbl_profitability[[#This Row],[cogs]])/tbl_profitability[[#This Row],[gross_revenue]]</f>
        <v>0.58000039334460918</v>
      </c>
      <c r="J290" s="10">
        <f>tbl_profitability[[#This Row],[net_profit]]/tbl_profitability[[#This Row],[gross_revenue]]</f>
        <v>0.21202061125752275</v>
      </c>
      <c r="K290" s="2">
        <f>(tbl_profitability[[#This Row],[cogs]]+tbl_profitability[[#This Row],[return_loss]]+tbl_profitability[[#This Row],[operating_costs]])/tbl_raw[[#This Row],[units_sold]]</f>
        <v>111.29333333333335</v>
      </c>
      <c r="L290" s="8" t="str">
        <f>tbl_raw[[#This Row],[decision]]</f>
        <v>OPTIMIZE</v>
      </c>
    </row>
    <row r="291" spans="1:12" x14ac:dyDescent="0.35">
      <c r="A291" s="3" t="str">
        <f>tbl_raw[[#This Row],[product_id]]</f>
        <v>bc74f63361c15c1a5baa5b97ac432e62</v>
      </c>
      <c r="B291" s="4" t="str">
        <f>tbl_raw[[#This Row],[category]]</f>
        <v>health_beauty</v>
      </c>
      <c r="C291" s="2">
        <f>tbl_raw[[#This Row],[gross_revenue]]</f>
        <v>5067.18</v>
      </c>
      <c r="D291" s="2">
        <f>tbl_raw[[#This Row],[return_loss]]</f>
        <v>8.2799999999999994</v>
      </c>
      <c r="E291" s="2">
        <f t="shared" si="4"/>
        <v>5058.9000000000005</v>
      </c>
      <c r="F291" s="2">
        <f>tbl_raw[[#This Row],[cogs]]</f>
        <v>2128.2199999999998</v>
      </c>
      <c r="G291" s="2">
        <f>SUM(tbl_raw[[#This Row],[storage_cost]:[freight_cost]])</f>
        <v>481.91</v>
      </c>
      <c r="H291" s="2">
        <f>tbl_profitability[[#This Row],[net_revenue_after_returns]]-tbl_profitability[[#This Row],[cogs]]-tbl_profitability[[#This Row],[operating_costs]]</f>
        <v>2448.7700000000009</v>
      </c>
      <c r="I291" s="10">
        <f>(tbl_profitability[[#This Row],[gross_revenue]]-tbl_profitability[[#This Row],[cogs]])/tbl_profitability[[#This Row],[gross_revenue]]</f>
        <v>0.5799991316669233</v>
      </c>
      <c r="J291" s="10">
        <f>tbl_profitability[[#This Row],[net_profit]]/tbl_profitability[[#This Row],[gross_revenue]]</f>
        <v>0.48326090646079295</v>
      </c>
      <c r="K291" s="2">
        <f>(tbl_profitability[[#This Row],[cogs]]+tbl_profitability[[#This Row],[return_loss]]+tbl_profitability[[#This Row],[operating_costs]])/tbl_raw[[#This Row],[units_sold]]</f>
        <v>113.84391304347825</v>
      </c>
      <c r="L291" s="8" t="str">
        <f>tbl_raw[[#This Row],[decision]]</f>
        <v>OPTIMIZE</v>
      </c>
    </row>
    <row r="292" spans="1:12" x14ac:dyDescent="0.35">
      <c r="A292" s="3" t="str">
        <f>tbl_raw[[#This Row],[product_id]]</f>
        <v>6c34d241bbd85d693f1fee6a4b8a8e2b</v>
      </c>
      <c r="B292" s="4" t="str">
        <f>tbl_raw[[#This Row],[category]]</f>
        <v>small_appliances</v>
      </c>
      <c r="C292" s="2">
        <f>tbl_raw[[#This Row],[gross_revenue]]</f>
        <v>5064</v>
      </c>
      <c r="D292" s="2">
        <f>tbl_raw[[#This Row],[return_loss]]</f>
        <v>2.16</v>
      </c>
      <c r="E292" s="2">
        <f t="shared" si="4"/>
        <v>5061.84</v>
      </c>
      <c r="F292" s="2">
        <f>tbl_raw[[#This Row],[cogs]]</f>
        <v>2886.48</v>
      </c>
      <c r="G292" s="2">
        <f>SUM(tbl_raw[[#This Row],[storage_cost]:[freight_cost]])</f>
        <v>368.45</v>
      </c>
      <c r="H292" s="2">
        <f>tbl_profitability[[#This Row],[net_revenue_after_returns]]-tbl_profitability[[#This Row],[cogs]]-tbl_profitability[[#This Row],[operating_costs]]</f>
        <v>1806.91</v>
      </c>
      <c r="I292" s="10">
        <f>(tbl_profitability[[#This Row],[gross_revenue]]-tbl_profitability[[#This Row],[cogs]])/tbl_profitability[[#This Row],[gross_revenue]]</f>
        <v>0.43</v>
      </c>
      <c r="J292" s="10">
        <f>tbl_profitability[[#This Row],[net_profit]]/tbl_profitability[[#This Row],[gross_revenue]]</f>
        <v>0.35681477093206954</v>
      </c>
      <c r="K292" s="2">
        <f>(tbl_profitability[[#This Row],[cogs]]+tbl_profitability[[#This Row],[return_loss]]+tbl_profitability[[#This Row],[operating_costs]])/tbl_raw[[#This Row],[units_sold]]</f>
        <v>542.84833333333324</v>
      </c>
      <c r="L292" s="8" t="str">
        <f>tbl_raw[[#This Row],[decision]]</f>
        <v>SCALE</v>
      </c>
    </row>
    <row r="293" spans="1:12" x14ac:dyDescent="0.35">
      <c r="A293" s="3" t="str">
        <f>tbl_raw[[#This Row],[product_id]]</f>
        <v>af751fe756699bddfce4fdd67242fc2a</v>
      </c>
      <c r="B293" s="4" t="str">
        <f>tbl_raw[[#This Row],[category]]</f>
        <v>computers_accessories</v>
      </c>
      <c r="C293" s="2">
        <f>tbl_raw[[#This Row],[gross_revenue]]</f>
        <v>5040</v>
      </c>
      <c r="D293" s="2">
        <f>tbl_raw[[#This Row],[return_loss]]</f>
        <v>3.6</v>
      </c>
      <c r="E293" s="2">
        <f t="shared" si="4"/>
        <v>5036.3999999999996</v>
      </c>
      <c r="F293" s="2">
        <f>tbl_raw[[#This Row],[cogs]]</f>
        <v>2872.8</v>
      </c>
      <c r="G293" s="2">
        <f>SUM(tbl_raw[[#This Row],[storage_cost]:[freight_cost]])</f>
        <v>262.47000000000003</v>
      </c>
      <c r="H293" s="2">
        <f>tbl_profitability[[#This Row],[net_revenue_after_returns]]-tbl_profitability[[#This Row],[cogs]]-tbl_profitability[[#This Row],[operating_costs]]</f>
        <v>1901.1299999999994</v>
      </c>
      <c r="I293" s="10">
        <f>(tbl_profitability[[#This Row],[gross_revenue]]-tbl_profitability[[#This Row],[cogs]])/tbl_profitability[[#This Row],[gross_revenue]]</f>
        <v>0.42999999999999994</v>
      </c>
      <c r="J293" s="10">
        <f>tbl_profitability[[#This Row],[net_profit]]/tbl_profitability[[#This Row],[gross_revenue]]</f>
        <v>0.3772083333333332</v>
      </c>
      <c r="K293" s="2">
        <f>(tbl_profitability[[#This Row],[cogs]]+tbl_profitability[[#This Row],[return_loss]]+tbl_profitability[[#This Row],[operating_costs]])/tbl_raw[[#This Row],[units_sold]]</f>
        <v>784.71749999999997</v>
      </c>
      <c r="L293" s="8" t="str">
        <f>tbl_raw[[#This Row],[decision]]</f>
        <v>SCALE</v>
      </c>
    </row>
    <row r="294" spans="1:12" x14ac:dyDescent="0.35">
      <c r="A294" s="3" t="str">
        <f>tbl_raw[[#This Row],[product_id]]</f>
        <v>79366d6a24de9351b7ca6e3cf75a68ec</v>
      </c>
      <c r="B294" s="4" t="str">
        <f>tbl_raw[[#This Row],[category]]</f>
        <v>small_appliances</v>
      </c>
      <c r="C294" s="2">
        <f>tbl_raw[[#This Row],[gross_revenue]]</f>
        <v>5018</v>
      </c>
      <c r="D294" s="2">
        <f>tbl_raw[[#This Row],[return_loss]]</f>
        <v>9.36</v>
      </c>
      <c r="E294" s="2">
        <f t="shared" si="4"/>
        <v>5008.6400000000003</v>
      </c>
      <c r="F294" s="2">
        <f>tbl_raw[[#This Row],[cogs]]</f>
        <v>2860.26</v>
      </c>
      <c r="G294" s="2">
        <f>SUM(tbl_raw[[#This Row],[storage_cost]:[freight_cost]])</f>
        <v>750.9</v>
      </c>
      <c r="H294" s="2">
        <f>tbl_profitability[[#This Row],[net_revenue_after_returns]]-tbl_profitability[[#This Row],[cogs]]-tbl_profitability[[#This Row],[operating_costs]]</f>
        <v>1397.48</v>
      </c>
      <c r="I294" s="10">
        <f>(tbl_profitability[[#This Row],[gross_revenue]]-tbl_profitability[[#This Row],[cogs]])/tbl_profitability[[#This Row],[gross_revenue]]</f>
        <v>0.42999999999999994</v>
      </c>
      <c r="J294" s="10">
        <f>tbl_profitability[[#This Row],[net_profit]]/tbl_profitability[[#This Row],[gross_revenue]]</f>
        <v>0.27849342367477081</v>
      </c>
      <c r="K294" s="2">
        <f>(tbl_profitability[[#This Row],[cogs]]+tbl_profitability[[#This Row],[return_loss]]+tbl_profitability[[#This Row],[operating_costs]])/tbl_raw[[#This Row],[units_sold]]</f>
        <v>139.25076923076924</v>
      </c>
      <c r="L294" s="8" t="str">
        <f>tbl_raw[[#This Row],[decision]]</f>
        <v>SCALE</v>
      </c>
    </row>
    <row r="295" spans="1:12" x14ac:dyDescent="0.35">
      <c r="A295" s="3" t="str">
        <f>tbl_raw[[#This Row],[product_id]]</f>
        <v>0d85c435fd60b277ffb9e9b0f88f927a</v>
      </c>
      <c r="B295" s="4" t="str">
        <f>tbl_raw[[#This Row],[category]]</f>
        <v>computers_accessories</v>
      </c>
      <c r="C295" s="2">
        <f>tbl_raw[[#This Row],[gross_revenue]]</f>
        <v>5010.3999999999996</v>
      </c>
      <c r="D295" s="2">
        <f>tbl_raw[[#This Row],[return_loss]]</f>
        <v>63.9</v>
      </c>
      <c r="E295" s="2">
        <f t="shared" si="4"/>
        <v>4946.5</v>
      </c>
      <c r="F295" s="2">
        <f>tbl_raw[[#This Row],[cogs]]</f>
        <v>2855.93</v>
      </c>
      <c r="G295" s="2">
        <f>SUM(tbl_raw[[#This Row],[storage_cost]:[freight_cost]])</f>
        <v>1966.49</v>
      </c>
      <c r="H295" s="2">
        <f>tbl_profitability[[#This Row],[net_revenue_after_returns]]-tbl_profitability[[#This Row],[cogs]]-tbl_profitability[[#This Row],[operating_costs]]</f>
        <v>124.08000000000015</v>
      </c>
      <c r="I295" s="10">
        <f>(tbl_profitability[[#This Row],[gross_revenue]]-tbl_profitability[[#This Row],[cogs]])/tbl_profitability[[#This Row],[gross_revenue]]</f>
        <v>0.429999600830273</v>
      </c>
      <c r="J295" s="10">
        <f>tbl_profitability[[#This Row],[net_profit]]/tbl_profitability[[#This Row],[gross_revenue]]</f>
        <v>2.4764489861088968E-2</v>
      </c>
      <c r="K295" s="2">
        <f>(tbl_profitability[[#This Row],[cogs]]+tbl_profitability[[#This Row],[return_loss]]+tbl_profitability[[#This Row],[operating_costs]])/tbl_raw[[#This Row],[units_sold]]</f>
        <v>68.821408450704226</v>
      </c>
      <c r="L295" s="8" t="str">
        <f>tbl_raw[[#This Row],[decision]]</f>
        <v>EXIT</v>
      </c>
    </row>
    <row r="296" spans="1:12" x14ac:dyDescent="0.35">
      <c r="A296" s="3" t="str">
        <f>tbl_raw[[#This Row],[product_id]]</f>
        <v>4e11734666acc305a4649de43f0bd181</v>
      </c>
      <c r="B296" s="4" t="str">
        <f>tbl_raw[[#This Row],[category]]</f>
        <v>computers</v>
      </c>
      <c r="C296" s="2">
        <f>tbl_raw[[#This Row],[gross_revenue]]</f>
        <v>5005</v>
      </c>
      <c r="D296" s="2">
        <f>tbl_raw[[#This Row],[return_loss]]</f>
        <v>7.2</v>
      </c>
      <c r="E296" s="2">
        <f t="shared" si="4"/>
        <v>4997.8</v>
      </c>
      <c r="F296" s="2">
        <f>tbl_raw[[#This Row],[cogs]]</f>
        <v>2852.85</v>
      </c>
      <c r="G296" s="2">
        <f>SUM(tbl_raw[[#This Row],[storage_cost]:[freight_cost]])</f>
        <v>514.24</v>
      </c>
      <c r="H296" s="2">
        <f>tbl_profitability[[#This Row],[net_revenue_after_returns]]-tbl_profitability[[#This Row],[cogs]]-tbl_profitability[[#This Row],[operating_costs]]</f>
        <v>1630.7100000000003</v>
      </c>
      <c r="I296" s="10">
        <f>(tbl_profitability[[#This Row],[gross_revenue]]-tbl_profitability[[#This Row],[cogs]])/tbl_profitability[[#This Row],[gross_revenue]]</f>
        <v>0.43</v>
      </c>
      <c r="J296" s="10">
        <f>tbl_profitability[[#This Row],[net_profit]]/tbl_profitability[[#This Row],[gross_revenue]]</f>
        <v>0.32581618381618388</v>
      </c>
      <c r="K296" s="2">
        <f>(tbl_profitability[[#This Row],[cogs]]+tbl_profitability[[#This Row],[return_loss]]+tbl_profitability[[#This Row],[operating_costs]])/tbl_raw[[#This Row],[units_sold]]</f>
        <v>421.78625</v>
      </c>
      <c r="L296" s="8" t="str">
        <f>tbl_raw[[#This Row],[decision]]</f>
        <v>OPTIMIZE</v>
      </c>
    </row>
    <row r="297" spans="1:12" x14ac:dyDescent="0.35">
      <c r="A297" s="3" t="str">
        <f>tbl_raw[[#This Row],[product_id]]</f>
        <v>38dcb9ae53c258cfba73583f9454d721</v>
      </c>
      <c r="B297" s="4" t="str">
        <f>tbl_raw[[#This Row],[category]]</f>
        <v>garden_tools</v>
      </c>
      <c r="C297" s="2">
        <f>tbl_raw[[#This Row],[gross_revenue]]</f>
        <v>5000</v>
      </c>
      <c r="D297" s="2">
        <f>tbl_raw[[#This Row],[return_loss]]</f>
        <v>1.44</v>
      </c>
      <c r="E297" s="2">
        <f t="shared" si="4"/>
        <v>4998.5600000000004</v>
      </c>
      <c r="F297" s="2">
        <f>tbl_raw[[#This Row],[cogs]]</f>
        <v>2250</v>
      </c>
      <c r="G297" s="2">
        <f>SUM(tbl_raw[[#This Row],[storage_cost]:[freight_cost]])</f>
        <v>217.81</v>
      </c>
      <c r="H297" s="2">
        <f>tbl_profitability[[#This Row],[net_revenue_after_returns]]-tbl_profitability[[#This Row],[cogs]]-tbl_profitability[[#This Row],[operating_costs]]</f>
        <v>2530.7500000000005</v>
      </c>
      <c r="I297" s="10">
        <f>(tbl_profitability[[#This Row],[gross_revenue]]-tbl_profitability[[#This Row],[cogs]])/tbl_profitability[[#This Row],[gross_revenue]]</f>
        <v>0.55000000000000004</v>
      </c>
      <c r="J297" s="10">
        <f>tbl_profitability[[#This Row],[net_profit]]/tbl_profitability[[#This Row],[gross_revenue]]</f>
        <v>0.5061500000000001</v>
      </c>
      <c r="K297" s="2">
        <f>(tbl_profitability[[#This Row],[cogs]]+tbl_profitability[[#This Row],[return_loss]]+tbl_profitability[[#This Row],[operating_costs]])/tbl_raw[[#This Row],[units_sold]]</f>
        <v>617.3125</v>
      </c>
      <c r="L297" s="8" t="str">
        <f>tbl_raw[[#This Row],[decision]]</f>
        <v>EXIT</v>
      </c>
    </row>
    <row r="298" spans="1:12" x14ac:dyDescent="0.35">
      <c r="A298" s="3" t="str">
        <f>tbl_raw[[#This Row],[product_id]]</f>
        <v>8b502ca34e28d30605bc667b965b6abf</v>
      </c>
      <c r="B298" s="4" t="str">
        <f>tbl_raw[[#This Row],[category]]</f>
        <v>watches_gifts</v>
      </c>
      <c r="C298" s="2">
        <f>tbl_raw[[#This Row],[gross_revenue]]</f>
        <v>4998.8999999999996</v>
      </c>
      <c r="D298" s="2">
        <f>tbl_raw[[#This Row],[return_loss]]</f>
        <v>0.72</v>
      </c>
      <c r="E298" s="2">
        <f t="shared" si="4"/>
        <v>4998.1799999999994</v>
      </c>
      <c r="F298" s="2">
        <f>tbl_raw[[#This Row],[cogs]]</f>
        <v>2099.54</v>
      </c>
      <c r="G298" s="2">
        <f>SUM(tbl_raw[[#This Row],[storage_cost]:[freight_cost]])</f>
        <v>54.76</v>
      </c>
      <c r="H298" s="2">
        <f>tbl_profitability[[#This Row],[net_revenue_after_returns]]-tbl_profitability[[#This Row],[cogs]]-tbl_profitability[[#This Row],[operating_costs]]</f>
        <v>2843.8799999999992</v>
      </c>
      <c r="I298" s="10">
        <f>(tbl_profitability[[#This Row],[gross_revenue]]-tbl_profitability[[#This Row],[cogs]])/tbl_profitability[[#This Row],[gross_revenue]]</f>
        <v>0.57999959991198058</v>
      </c>
      <c r="J298" s="10">
        <f>tbl_profitability[[#This Row],[net_profit]]/tbl_profitability[[#This Row],[gross_revenue]]</f>
        <v>0.56890115825481591</v>
      </c>
      <c r="K298" s="2">
        <f>(tbl_profitability[[#This Row],[cogs]]+tbl_profitability[[#This Row],[return_loss]]+tbl_profitability[[#This Row],[operating_costs]])/tbl_raw[[#This Row],[units_sold]]</f>
        <v>1077.51</v>
      </c>
      <c r="L298" s="8" t="str">
        <f>tbl_raw[[#This Row],[decision]]</f>
        <v>SCALE</v>
      </c>
    </row>
    <row r="299" spans="1:12" x14ac:dyDescent="0.35">
      <c r="A299" s="3" t="str">
        <f>tbl_raw[[#This Row],[product_id]]</f>
        <v>5ca5d42f98d39aa421923c2fde2c1558</v>
      </c>
      <c r="B299" s="4" t="str">
        <f>tbl_raw[[#This Row],[category]]</f>
        <v>small_appliances</v>
      </c>
      <c r="C299" s="2">
        <f>tbl_raw[[#This Row],[gross_revenue]]</f>
        <v>4990</v>
      </c>
      <c r="D299" s="2">
        <f>tbl_raw[[#This Row],[return_loss]]</f>
        <v>1.8</v>
      </c>
      <c r="E299" s="2">
        <f t="shared" si="4"/>
        <v>4988.2</v>
      </c>
      <c r="F299" s="2">
        <f>tbl_raw[[#This Row],[cogs]]</f>
        <v>2844.3</v>
      </c>
      <c r="G299" s="2">
        <f>SUM(tbl_raw[[#This Row],[storage_cost]:[freight_cost]])</f>
        <v>258.73</v>
      </c>
      <c r="H299" s="2">
        <f>tbl_profitability[[#This Row],[net_revenue_after_returns]]-tbl_profitability[[#This Row],[cogs]]-tbl_profitability[[#This Row],[operating_costs]]</f>
        <v>1885.1699999999996</v>
      </c>
      <c r="I299" s="10">
        <f>(tbl_profitability[[#This Row],[gross_revenue]]-tbl_profitability[[#This Row],[cogs]])/tbl_profitability[[#This Row],[gross_revenue]]</f>
        <v>0.42999999999999994</v>
      </c>
      <c r="J299" s="10">
        <f>tbl_profitability[[#This Row],[net_profit]]/tbl_profitability[[#This Row],[gross_revenue]]</f>
        <v>0.37778957915831657</v>
      </c>
      <c r="K299" s="2">
        <f>(tbl_profitability[[#This Row],[cogs]]+tbl_profitability[[#This Row],[return_loss]]+tbl_profitability[[#This Row],[operating_costs]])/tbl_raw[[#This Row],[units_sold]]</f>
        <v>620.96600000000012</v>
      </c>
      <c r="L299" s="8" t="str">
        <f>tbl_raw[[#This Row],[decision]]</f>
        <v>SCALE</v>
      </c>
    </row>
    <row r="300" spans="1:12" x14ac:dyDescent="0.35">
      <c r="A300" s="3" t="str">
        <f>tbl_raw[[#This Row],[product_id]]</f>
        <v>35537536ed2b4c561b4018bf3abf54e0</v>
      </c>
      <c r="B300" s="4" t="str">
        <f>tbl_raw[[#This Row],[category]]</f>
        <v>sports_leisure</v>
      </c>
      <c r="C300" s="2">
        <f>tbl_raw[[#This Row],[gross_revenue]]</f>
        <v>4970</v>
      </c>
      <c r="D300" s="2">
        <f>tbl_raw[[#This Row],[return_loss]]</f>
        <v>4.68</v>
      </c>
      <c r="E300" s="2">
        <f t="shared" si="4"/>
        <v>4965.32</v>
      </c>
      <c r="F300" s="2">
        <f>tbl_raw[[#This Row],[cogs]]</f>
        <v>2087.4</v>
      </c>
      <c r="G300" s="2">
        <f>SUM(tbl_raw[[#This Row],[storage_cost]:[freight_cost]])</f>
        <v>378.59</v>
      </c>
      <c r="H300" s="2">
        <f>tbl_profitability[[#This Row],[net_revenue_after_returns]]-tbl_profitability[[#This Row],[cogs]]-tbl_profitability[[#This Row],[operating_costs]]</f>
        <v>2499.3299999999995</v>
      </c>
      <c r="I300" s="10">
        <f>(tbl_profitability[[#This Row],[gross_revenue]]-tbl_profitability[[#This Row],[cogs]])/tbl_profitability[[#This Row],[gross_revenue]]</f>
        <v>0.57999999999999996</v>
      </c>
      <c r="J300" s="10">
        <f>tbl_profitability[[#This Row],[net_profit]]/tbl_profitability[[#This Row],[gross_revenue]]</f>
        <v>0.50288329979879265</v>
      </c>
      <c r="K300" s="2">
        <f>(tbl_profitability[[#This Row],[cogs]]+tbl_profitability[[#This Row],[return_loss]]+tbl_profitability[[#This Row],[operating_costs]])/tbl_raw[[#This Row],[units_sold]]</f>
        <v>190.05153846153846</v>
      </c>
      <c r="L300" s="8" t="str">
        <f>tbl_raw[[#This Row],[decision]]</f>
        <v>SCALE</v>
      </c>
    </row>
    <row r="301" spans="1:12" x14ac:dyDescent="0.35">
      <c r="A301" s="3" t="str">
        <f>tbl_raw[[#This Row],[product_id]]</f>
        <v>43cc8e4d981bc04b9d78b12e8a908d41</v>
      </c>
      <c r="B301" s="4" t="str">
        <f>tbl_raw[[#This Row],[category]]</f>
        <v>health_beauty</v>
      </c>
      <c r="C301" s="2">
        <f>tbl_raw[[#This Row],[gross_revenue]]</f>
        <v>4960</v>
      </c>
      <c r="D301" s="2">
        <f>tbl_raw[[#This Row],[return_loss]]</f>
        <v>1.44</v>
      </c>
      <c r="E301" s="2">
        <f t="shared" si="4"/>
        <v>4958.5600000000004</v>
      </c>
      <c r="F301" s="2">
        <f>tbl_raw[[#This Row],[cogs]]</f>
        <v>2083.1999999999998</v>
      </c>
      <c r="G301" s="2">
        <f>SUM(tbl_raw[[#This Row],[storage_cost]:[freight_cost]])</f>
        <v>319.36</v>
      </c>
      <c r="H301" s="2">
        <f>tbl_profitability[[#This Row],[net_revenue_after_returns]]-tbl_profitability[[#This Row],[cogs]]-tbl_profitability[[#This Row],[operating_costs]]</f>
        <v>2556.0000000000005</v>
      </c>
      <c r="I301" s="10">
        <f>(tbl_profitability[[#This Row],[gross_revenue]]-tbl_profitability[[#This Row],[cogs]])/tbl_profitability[[#This Row],[gross_revenue]]</f>
        <v>0.58000000000000007</v>
      </c>
      <c r="J301" s="10">
        <f>tbl_profitability[[#This Row],[net_profit]]/tbl_profitability[[#This Row],[gross_revenue]]</f>
        <v>0.51532258064516134</v>
      </c>
      <c r="K301" s="2">
        <f>(tbl_profitability[[#This Row],[cogs]]+tbl_profitability[[#This Row],[return_loss]]+tbl_profitability[[#This Row],[operating_costs]])/tbl_raw[[#This Row],[units_sold]]</f>
        <v>601</v>
      </c>
      <c r="L301" s="8" t="str">
        <f>tbl_raw[[#This Row],[decision]]</f>
        <v>SCALE</v>
      </c>
    </row>
    <row r="302" spans="1:12" x14ac:dyDescent="0.35">
      <c r="A302" s="3" t="str">
        <f>tbl_raw[[#This Row],[product_id]]</f>
        <v>b2855c4e42b8a50f359904c6763eeddc</v>
      </c>
      <c r="B302" s="4" t="str">
        <f>tbl_raw[[#This Row],[category]]</f>
        <v>office_furniture</v>
      </c>
      <c r="C302" s="2">
        <f>tbl_raw[[#This Row],[gross_revenue]]</f>
        <v>4938.3999999999996</v>
      </c>
      <c r="D302" s="2">
        <f>tbl_raw[[#This Row],[return_loss]]</f>
        <v>5.76</v>
      </c>
      <c r="E302" s="2">
        <f t="shared" si="4"/>
        <v>4932.6399999999994</v>
      </c>
      <c r="F302" s="2">
        <f>tbl_raw[[#This Row],[cogs]]</f>
        <v>2222.2800000000002</v>
      </c>
      <c r="G302" s="2">
        <f>SUM(tbl_raw[[#This Row],[storage_cost]:[freight_cost]])</f>
        <v>1065.2</v>
      </c>
      <c r="H302" s="2">
        <f>tbl_profitability[[#This Row],[net_revenue_after_returns]]-tbl_profitability[[#This Row],[cogs]]-tbl_profitability[[#This Row],[operating_costs]]</f>
        <v>1645.1599999999992</v>
      </c>
      <c r="I302" s="10">
        <f>(tbl_profitability[[#This Row],[gross_revenue]]-tbl_profitability[[#This Row],[cogs]])/tbl_profitability[[#This Row],[gross_revenue]]</f>
        <v>0.54999999999999993</v>
      </c>
      <c r="J302" s="10">
        <f>tbl_profitability[[#This Row],[net_profit]]/tbl_profitability[[#This Row],[gross_revenue]]</f>
        <v>0.33313623845779994</v>
      </c>
      <c r="K302" s="2">
        <f>(tbl_profitability[[#This Row],[cogs]]+tbl_profitability[[#This Row],[return_loss]]+tbl_profitability[[#This Row],[operating_costs]])/tbl_raw[[#This Row],[units_sold]]</f>
        <v>205.82750000000004</v>
      </c>
      <c r="L302" s="8" t="str">
        <f>tbl_raw[[#This Row],[decision]]</f>
        <v>OPTIMIZE</v>
      </c>
    </row>
    <row r="303" spans="1:12" x14ac:dyDescent="0.35">
      <c r="A303" s="3" t="str">
        <f>tbl_raw[[#This Row],[product_id]]</f>
        <v>cec09725da5ed01471d9a505e7389d37</v>
      </c>
      <c r="B303" s="4" t="str">
        <f>tbl_raw[[#This Row],[category]]</f>
        <v>sports_leisure</v>
      </c>
      <c r="C303" s="2">
        <f>tbl_raw[[#This Row],[gross_revenue]]</f>
        <v>4932.8999999999996</v>
      </c>
      <c r="D303" s="2">
        <f>tbl_raw[[#This Row],[return_loss]]</f>
        <v>25.56</v>
      </c>
      <c r="E303" s="2">
        <f t="shared" si="4"/>
        <v>4907.3399999999992</v>
      </c>
      <c r="F303" s="2">
        <f>tbl_raw[[#This Row],[cogs]]</f>
        <v>2071.8200000000002</v>
      </c>
      <c r="G303" s="2">
        <f>SUM(tbl_raw[[#This Row],[storage_cost]:[freight_cost]])</f>
        <v>1934.36</v>
      </c>
      <c r="H303" s="2">
        <f>tbl_profitability[[#This Row],[net_revenue_after_returns]]-tbl_profitability[[#This Row],[cogs]]-tbl_profitability[[#This Row],[operating_costs]]</f>
        <v>901.15999999999917</v>
      </c>
      <c r="I303" s="10">
        <f>(tbl_profitability[[#This Row],[gross_revenue]]-tbl_profitability[[#This Row],[cogs]])/tbl_profitability[[#This Row],[gross_revenue]]</f>
        <v>0.57999959455898142</v>
      </c>
      <c r="J303" s="10">
        <f>tbl_profitability[[#This Row],[net_profit]]/tbl_profitability[[#This Row],[gross_revenue]]</f>
        <v>0.18268361410123846</v>
      </c>
      <c r="K303" s="2">
        <f>(tbl_profitability[[#This Row],[cogs]]+tbl_profitability[[#This Row],[return_loss]]+tbl_profitability[[#This Row],[operating_costs]])/tbl_raw[[#This Row],[units_sold]]</f>
        <v>56.785070422535206</v>
      </c>
      <c r="L303" s="8" t="str">
        <f>tbl_raw[[#This Row],[decision]]</f>
        <v>OPTIMIZE</v>
      </c>
    </row>
    <row r="304" spans="1:12" x14ac:dyDescent="0.35">
      <c r="A304" s="3" t="str">
        <f>tbl_raw[[#This Row],[product_id]]</f>
        <v>06f0e85c7892d5df893f332706340af1</v>
      </c>
      <c r="B304" s="4" t="str">
        <f>tbl_raw[[#This Row],[category]]</f>
        <v>stationery</v>
      </c>
      <c r="C304" s="2">
        <f>tbl_raw[[#This Row],[gross_revenue]]</f>
        <v>4931</v>
      </c>
      <c r="D304" s="2">
        <f>tbl_raw[[#This Row],[return_loss]]</f>
        <v>2.9</v>
      </c>
      <c r="E304" s="2">
        <f t="shared" si="4"/>
        <v>4928.1000000000004</v>
      </c>
      <c r="F304" s="2">
        <f>tbl_raw[[#This Row],[cogs]]</f>
        <v>1972.4</v>
      </c>
      <c r="G304" s="2">
        <f>SUM(tbl_raw[[#This Row],[storage_cost]:[freight_cost]])</f>
        <v>1191.79</v>
      </c>
      <c r="H304" s="2">
        <f>tbl_profitability[[#This Row],[net_revenue_after_returns]]-tbl_profitability[[#This Row],[cogs]]-tbl_profitability[[#This Row],[operating_costs]]</f>
        <v>1763.9100000000003</v>
      </c>
      <c r="I304" s="10">
        <f>(tbl_profitability[[#This Row],[gross_revenue]]-tbl_profitability[[#This Row],[cogs]])/tbl_profitability[[#This Row],[gross_revenue]]</f>
        <v>0.6</v>
      </c>
      <c r="J304" s="10">
        <f>tbl_profitability[[#This Row],[net_profit]]/tbl_profitability[[#This Row],[gross_revenue]]</f>
        <v>0.35771851551409456</v>
      </c>
      <c r="K304" s="2">
        <f>(tbl_profitability[[#This Row],[cogs]]+tbl_profitability[[#This Row],[return_loss]]+tbl_profitability[[#This Row],[operating_costs]])/tbl_raw[[#This Row],[units_sold]]</f>
        <v>109.21000000000001</v>
      </c>
      <c r="L304" s="8" t="str">
        <f>tbl_raw[[#This Row],[decision]]</f>
        <v>SCALE</v>
      </c>
    </row>
    <row r="305" spans="1:12" x14ac:dyDescent="0.35">
      <c r="A305" s="3" t="str">
        <f>tbl_raw[[#This Row],[product_id]]</f>
        <v>cb460986a447ed00da792526bf6189e4</v>
      </c>
      <c r="B305" s="4" t="str">
        <f>tbl_raw[[#This Row],[category]]</f>
        <v>sports_leisure</v>
      </c>
      <c r="C305" s="2">
        <f>tbl_raw[[#This Row],[gross_revenue]]</f>
        <v>4929</v>
      </c>
      <c r="D305" s="2">
        <f>tbl_raw[[#This Row],[return_loss]]</f>
        <v>1.08</v>
      </c>
      <c r="E305" s="2">
        <f t="shared" si="4"/>
        <v>4927.92</v>
      </c>
      <c r="F305" s="2">
        <f>tbl_raw[[#This Row],[cogs]]</f>
        <v>2070.1799999999998</v>
      </c>
      <c r="G305" s="2">
        <f>SUM(tbl_raw[[#This Row],[storage_cost]:[freight_cost]])</f>
        <v>129.11000000000001</v>
      </c>
      <c r="H305" s="2">
        <f>tbl_profitability[[#This Row],[net_revenue_after_returns]]-tbl_profitability[[#This Row],[cogs]]-tbl_profitability[[#This Row],[operating_costs]]</f>
        <v>2728.63</v>
      </c>
      <c r="I305" s="10">
        <f>(tbl_profitability[[#This Row],[gross_revenue]]-tbl_profitability[[#This Row],[cogs]])/tbl_profitability[[#This Row],[gross_revenue]]</f>
        <v>0.58000000000000007</v>
      </c>
      <c r="J305" s="10">
        <f>tbl_profitability[[#This Row],[net_profit]]/tbl_profitability[[#This Row],[gross_revenue]]</f>
        <v>0.5535869344694665</v>
      </c>
      <c r="K305" s="2">
        <f>(tbl_profitability[[#This Row],[cogs]]+tbl_profitability[[#This Row],[return_loss]]+tbl_profitability[[#This Row],[operating_costs]])/tbl_raw[[#This Row],[units_sold]]</f>
        <v>733.45666666666659</v>
      </c>
      <c r="L305" s="8" t="str">
        <f>tbl_raw[[#This Row],[decision]]</f>
        <v>EXIT</v>
      </c>
    </row>
    <row r="306" spans="1:12" x14ac:dyDescent="0.35">
      <c r="A306" s="3" t="str">
        <f>tbl_raw[[#This Row],[product_id]]</f>
        <v>2cfd372900c7c65e4c4ed2ccf7a1cfd4</v>
      </c>
      <c r="B306" s="4" t="str">
        <f>tbl_raw[[#This Row],[category]]</f>
        <v>watches_gifts</v>
      </c>
      <c r="C306" s="2">
        <f>tbl_raw[[#This Row],[gross_revenue]]</f>
        <v>4919.3500000000004</v>
      </c>
      <c r="D306" s="2">
        <f>tbl_raw[[#This Row],[return_loss]]</f>
        <v>2.88</v>
      </c>
      <c r="E306" s="2">
        <f t="shared" si="4"/>
        <v>4916.47</v>
      </c>
      <c r="F306" s="2">
        <f>tbl_raw[[#This Row],[cogs]]</f>
        <v>2066.13</v>
      </c>
      <c r="G306" s="2">
        <f>SUM(tbl_raw[[#This Row],[storage_cost]:[freight_cost]])</f>
        <v>231.4</v>
      </c>
      <c r="H306" s="2">
        <f>tbl_profitability[[#This Row],[net_revenue_after_returns]]-tbl_profitability[[#This Row],[cogs]]-tbl_profitability[[#This Row],[operating_costs]]</f>
        <v>2618.94</v>
      </c>
      <c r="I306" s="10">
        <f>(tbl_profitability[[#This Row],[gross_revenue]]-tbl_profitability[[#This Row],[cogs]])/tbl_profitability[[#This Row],[gross_revenue]]</f>
        <v>0.57999939016333457</v>
      </c>
      <c r="J306" s="10">
        <f>tbl_profitability[[#This Row],[net_profit]]/tbl_profitability[[#This Row],[gross_revenue]]</f>
        <v>0.53237521217233985</v>
      </c>
      <c r="K306" s="2">
        <f>(tbl_profitability[[#This Row],[cogs]]+tbl_profitability[[#This Row],[return_loss]]+tbl_profitability[[#This Row],[operating_costs]])/tbl_raw[[#This Row],[units_sold]]</f>
        <v>287.55125000000004</v>
      </c>
      <c r="L306" s="8" t="str">
        <f>tbl_raw[[#This Row],[decision]]</f>
        <v>SCALE</v>
      </c>
    </row>
    <row r="307" spans="1:12" x14ac:dyDescent="0.35">
      <c r="A307" s="3" t="str">
        <f>tbl_raw[[#This Row],[product_id]]</f>
        <v>1015bdc42b2ec0548e728cdc0ad72380</v>
      </c>
      <c r="B307" s="4" t="str">
        <f>tbl_raw[[#This Row],[category]]</f>
        <v>cool_stuff</v>
      </c>
      <c r="C307" s="2">
        <f>tbl_raw[[#This Row],[gross_revenue]]</f>
        <v>4918</v>
      </c>
      <c r="D307" s="2">
        <f>tbl_raw[[#This Row],[return_loss]]</f>
        <v>2.16</v>
      </c>
      <c r="E307" s="2">
        <f t="shared" si="4"/>
        <v>4915.84</v>
      </c>
      <c r="F307" s="2">
        <f>tbl_raw[[#This Row],[cogs]]</f>
        <v>2213.1</v>
      </c>
      <c r="G307" s="2">
        <f>SUM(tbl_raw[[#This Row],[storage_cost]:[freight_cost]])</f>
        <v>214.26</v>
      </c>
      <c r="H307" s="2">
        <f>tbl_profitability[[#This Row],[net_revenue_after_returns]]-tbl_profitability[[#This Row],[cogs]]-tbl_profitability[[#This Row],[operating_costs]]</f>
        <v>2488.4800000000005</v>
      </c>
      <c r="I307" s="10">
        <f>(tbl_profitability[[#This Row],[gross_revenue]]-tbl_profitability[[#This Row],[cogs]])/tbl_profitability[[#This Row],[gross_revenue]]</f>
        <v>0.55000000000000004</v>
      </c>
      <c r="J307" s="10">
        <f>tbl_profitability[[#This Row],[net_profit]]/tbl_profitability[[#This Row],[gross_revenue]]</f>
        <v>0.50599430662871092</v>
      </c>
      <c r="K307" s="2">
        <f>(tbl_profitability[[#This Row],[cogs]]+tbl_profitability[[#This Row],[return_loss]]+tbl_profitability[[#This Row],[operating_costs]])/tbl_raw[[#This Row],[units_sold]]</f>
        <v>404.9199999999999</v>
      </c>
      <c r="L307" s="8" t="str">
        <f>tbl_raw[[#This Row],[decision]]</f>
        <v>OPTIMIZE</v>
      </c>
    </row>
    <row r="308" spans="1:12" x14ac:dyDescent="0.35">
      <c r="A308" s="3" t="str">
        <f>tbl_raw[[#This Row],[product_id]]</f>
        <v>bce474cc95b6e77657e10939b0b4248c</v>
      </c>
      <c r="B308" s="4" t="str">
        <f>tbl_raw[[#This Row],[category]]</f>
        <v>watches_gifts</v>
      </c>
      <c r="C308" s="2">
        <f>tbl_raw[[#This Row],[gross_revenue]]</f>
        <v>4868.5600000000004</v>
      </c>
      <c r="D308" s="2">
        <f>tbl_raw[[#This Row],[return_loss]]</f>
        <v>10.08</v>
      </c>
      <c r="E308" s="2">
        <f t="shared" si="4"/>
        <v>4858.4800000000005</v>
      </c>
      <c r="F308" s="2">
        <f>tbl_raw[[#This Row],[cogs]]</f>
        <v>2044.8</v>
      </c>
      <c r="G308" s="2">
        <f>SUM(tbl_raw[[#This Row],[storage_cost]:[freight_cost]])</f>
        <v>581.47</v>
      </c>
      <c r="H308" s="2">
        <f>tbl_profitability[[#This Row],[net_revenue_after_returns]]-tbl_profitability[[#This Row],[cogs]]-tbl_profitability[[#This Row],[operating_costs]]</f>
        <v>2232.21</v>
      </c>
      <c r="I308" s="10">
        <f>(tbl_profitability[[#This Row],[gross_revenue]]-tbl_profitability[[#This Row],[cogs]])/tbl_profitability[[#This Row],[gross_revenue]]</f>
        <v>0.57999901408219268</v>
      </c>
      <c r="J308" s="10">
        <f>tbl_profitability[[#This Row],[net_profit]]/tbl_profitability[[#This Row],[gross_revenue]]</f>
        <v>0.45849491430731054</v>
      </c>
      <c r="K308" s="2">
        <f>(tbl_profitability[[#This Row],[cogs]]+tbl_profitability[[#This Row],[return_loss]]+tbl_profitability[[#This Row],[operating_costs]])/tbl_raw[[#This Row],[units_sold]]</f>
        <v>94.155357142857156</v>
      </c>
      <c r="L308" s="8" t="str">
        <f>tbl_raw[[#This Row],[decision]]</f>
        <v>SCALE</v>
      </c>
    </row>
    <row r="309" spans="1:12" x14ac:dyDescent="0.35">
      <c r="A309" s="3" t="str">
        <f>tbl_raw[[#This Row],[product_id]]</f>
        <v>dfb97c88e066dc22165f31648efe1312</v>
      </c>
      <c r="B309" s="4" t="str">
        <f>tbl_raw[[#This Row],[category]]</f>
        <v>auto</v>
      </c>
      <c r="C309" s="2">
        <f>tbl_raw[[#This Row],[gross_revenue]]</f>
        <v>4865</v>
      </c>
      <c r="D309" s="2">
        <f>tbl_raw[[#This Row],[return_loss]]</f>
        <v>12.6</v>
      </c>
      <c r="E309" s="2">
        <f t="shared" si="4"/>
        <v>4852.3999999999996</v>
      </c>
      <c r="F309" s="2">
        <f>tbl_raw[[#This Row],[cogs]]</f>
        <v>2189.25</v>
      </c>
      <c r="G309" s="2">
        <f>SUM(tbl_raw[[#This Row],[storage_cost]:[freight_cost]])</f>
        <v>1128.6300000000001</v>
      </c>
      <c r="H309" s="2">
        <f>tbl_profitability[[#This Row],[net_revenue_after_returns]]-tbl_profitability[[#This Row],[cogs]]-tbl_profitability[[#This Row],[operating_costs]]</f>
        <v>1534.5199999999995</v>
      </c>
      <c r="I309" s="10">
        <f>(tbl_profitability[[#This Row],[gross_revenue]]-tbl_profitability[[#This Row],[cogs]])/tbl_profitability[[#This Row],[gross_revenue]]</f>
        <v>0.55000000000000004</v>
      </c>
      <c r="J309" s="10">
        <f>tbl_profitability[[#This Row],[net_profit]]/tbl_profitability[[#This Row],[gross_revenue]]</f>
        <v>0.31542034943473785</v>
      </c>
      <c r="K309" s="2">
        <f>(tbl_profitability[[#This Row],[cogs]]+tbl_profitability[[#This Row],[return_loss]]+tbl_profitability[[#This Row],[operating_costs]])/tbl_raw[[#This Row],[units_sold]]</f>
        <v>95.156571428571425</v>
      </c>
      <c r="L309" s="8" t="str">
        <f>tbl_raw[[#This Row],[decision]]</f>
        <v>SCALE</v>
      </c>
    </row>
    <row r="310" spans="1:12" x14ac:dyDescent="0.35">
      <c r="A310" s="3" t="str">
        <f>tbl_raw[[#This Row],[product_id]]</f>
        <v>b623b7cb05ee3248fbe4a6ecbeed79a4</v>
      </c>
      <c r="B310" s="4" t="str">
        <f>tbl_raw[[#This Row],[category]]</f>
        <v>toys</v>
      </c>
      <c r="C310" s="2">
        <f>tbl_raw[[#This Row],[gross_revenue]]</f>
        <v>4826.53</v>
      </c>
      <c r="D310" s="2">
        <f>tbl_raw[[#This Row],[return_loss]]</f>
        <v>23.76</v>
      </c>
      <c r="E310" s="2">
        <f t="shared" si="4"/>
        <v>4802.7699999999995</v>
      </c>
      <c r="F310" s="2">
        <f>tbl_raw[[#This Row],[cogs]]</f>
        <v>2027.14</v>
      </c>
      <c r="G310" s="2">
        <f>SUM(tbl_raw[[#This Row],[storage_cost]:[freight_cost]])</f>
        <v>1502</v>
      </c>
      <c r="H310" s="2">
        <f>tbl_profitability[[#This Row],[net_revenue_after_returns]]-tbl_profitability[[#This Row],[cogs]]-tbl_profitability[[#This Row],[operating_costs]]</f>
        <v>1273.6299999999992</v>
      </c>
      <c r="I310" s="10">
        <f>(tbl_profitability[[#This Row],[gross_revenue]]-tbl_profitability[[#This Row],[cogs]])/tbl_profitability[[#This Row],[gross_revenue]]</f>
        <v>0.58000053868928603</v>
      </c>
      <c r="J310" s="10">
        <f>tbl_profitability[[#This Row],[net_profit]]/tbl_profitability[[#This Row],[gross_revenue]]</f>
        <v>0.26388109055574072</v>
      </c>
      <c r="K310" s="2">
        <f>(tbl_profitability[[#This Row],[cogs]]+tbl_profitability[[#This Row],[return_loss]]+tbl_profitability[[#This Row],[operating_costs]])/tbl_raw[[#This Row],[units_sold]]</f>
        <v>53.831818181818186</v>
      </c>
      <c r="L310" s="8" t="str">
        <f>tbl_raw[[#This Row],[decision]]</f>
        <v>OPTIMIZE</v>
      </c>
    </row>
    <row r="311" spans="1:12" x14ac:dyDescent="0.35">
      <c r="A311" s="3" t="str">
        <f>tbl_raw[[#This Row],[product_id]]</f>
        <v>830345ab5d2e365c7c6b91459119ea2d</v>
      </c>
      <c r="B311" s="4" t="str">
        <f>tbl_raw[[#This Row],[category]]</f>
        <v>health_beauty</v>
      </c>
      <c r="C311" s="2">
        <f>tbl_raw[[#This Row],[gross_revenue]]</f>
        <v>4811.5600000000004</v>
      </c>
      <c r="D311" s="2">
        <f>tbl_raw[[#This Row],[return_loss]]</f>
        <v>3.96</v>
      </c>
      <c r="E311" s="2">
        <f t="shared" si="4"/>
        <v>4807.6000000000004</v>
      </c>
      <c r="F311" s="2">
        <f>tbl_raw[[#This Row],[cogs]]</f>
        <v>2020.86</v>
      </c>
      <c r="G311" s="2">
        <f>SUM(tbl_raw[[#This Row],[storage_cost]:[freight_cost]])</f>
        <v>512.82999999999993</v>
      </c>
      <c r="H311" s="2">
        <f>tbl_profitability[[#This Row],[net_revenue_after_returns]]-tbl_profitability[[#This Row],[cogs]]-tbl_profitability[[#This Row],[operating_costs]]</f>
        <v>2273.9100000000008</v>
      </c>
      <c r="I311" s="10">
        <f>(tbl_profitability[[#This Row],[gross_revenue]]-tbl_profitability[[#This Row],[cogs]])/tbl_profitability[[#This Row],[gross_revenue]]</f>
        <v>0.57999900240254731</v>
      </c>
      <c r="J311" s="10">
        <f>tbl_profitability[[#This Row],[net_profit]]/tbl_profitability[[#This Row],[gross_revenue]]</f>
        <v>0.47259308831231461</v>
      </c>
      <c r="K311" s="2">
        <f>(tbl_profitability[[#This Row],[cogs]]+tbl_profitability[[#This Row],[return_loss]]+tbl_profitability[[#This Row],[operating_costs]])/tbl_raw[[#This Row],[units_sold]]</f>
        <v>230.69545454545451</v>
      </c>
      <c r="L311" s="8" t="str">
        <f>tbl_raw[[#This Row],[decision]]</f>
        <v>SCALE</v>
      </c>
    </row>
    <row r="312" spans="1:12" x14ac:dyDescent="0.35">
      <c r="A312" s="3" t="str">
        <f>tbl_raw[[#This Row],[product_id]]</f>
        <v>9d8a0e115e802d845b4ce1eb794d1260</v>
      </c>
      <c r="B312" s="4" t="str">
        <f>tbl_raw[[#This Row],[category]]</f>
        <v>sports_leisure</v>
      </c>
      <c r="C312" s="2">
        <f>tbl_raw[[#This Row],[gross_revenue]]</f>
        <v>4800</v>
      </c>
      <c r="D312" s="2">
        <f>tbl_raw[[#This Row],[return_loss]]</f>
        <v>14.4</v>
      </c>
      <c r="E312" s="2">
        <f t="shared" si="4"/>
        <v>4785.6000000000004</v>
      </c>
      <c r="F312" s="2">
        <f>tbl_raw[[#This Row],[cogs]]</f>
        <v>2016</v>
      </c>
      <c r="G312" s="2">
        <f>SUM(tbl_raw[[#This Row],[storage_cost]:[freight_cost]])</f>
        <v>876.19</v>
      </c>
      <c r="H312" s="2">
        <f>tbl_profitability[[#This Row],[net_revenue_after_returns]]-tbl_profitability[[#This Row],[cogs]]-tbl_profitability[[#This Row],[operating_costs]]</f>
        <v>1893.4100000000003</v>
      </c>
      <c r="I312" s="10">
        <f>(tbl_profitability[[#This Row],[gross_revenue]]-tbl_profitability[[#This Row],[cogs]])/tbl_profitability[[#This Row],[gross_revenue]]</f>
        <v>0.57999999999999996</v>
      </c>
      <c r="J312" s="10">
        <f>tbl_profitability[[#This Row],[net_profit]]/tbl_profitability[[#This Row],[gross_revenue]]</f>
        <v>0.39446041666666676</v>
      </c>
      <c r="K312" s="2">
        <f>(tbl_profitability[[#This Row],[cogs]]+tbl_profitability[[#This Row],[return_loss]]+tbl_profitability[[#This Row],[operating_costs]])/tbl_raw[[#This Row],[units_sold]]</f>
        <v>72.664749999999998</v>
      </c>
      <c r="L312" s="8" t="str">
        <f>tbl_raw[[#This Row],[decision]]</f>
        <v>OPTIMIZE</v>
      </c>
    </row>
    <row r="313" spans="1:12" x14ac:dyDescent="0.35">
      <c r="A313" s="3" t="str">
        <f>tbl_raw[[#This Row],[product_id]]</f>
        <v>e7261ba9b589b73ac45411a15058403e</v>
      </c>
      <c r="B313" s="4" t="str">
        <f>tbl_raw[[#This Row],[category]]</f>
        <v>computers_accessories</v>
      </c>
      <c r="C313" s="2">
        <f>tbl_raw[[#This Row],[gross_revenue]]</f>
        <v>4799.87</v>
      </c>
      <c r="D313" s="2">
        <f>tbl_raw[[#This Row],[return_loss]]</f>
        <v>2.7</v>
      </c>
      <c r="E313" s="2">
        <f t="shared" si="4"/>
        <v>4797.17</v>
      </c>
      <c r="F313" s="2">
        <f>tbl_raw[[#This Row],[cogs]]</f>
        <v>2735.93</v>
      </c>
      <c r="G313" s="2">
        <f>SUM(tbl_raw[[#This Row],[storage_cost]:[freight_cost]])</f>
        <v>111.24</v>
      </c>
      <c r="H313" s="2">
        <f>tbl_profitability[[#This Row],[net_revenue_after_returns]]-tbl_profitability[[#This Row],[cogs]]-tbl_profitability[[#This Row],[operating_costs]]</f>
        <v>1950.0000000000002</v>
      </c>
      <c r="I313" s="10">
        <f>(tbl_profitability[[#This Row],[gross_revenue]]-tbl_profitability[[#This Row],[cogs]])/tbl_profitability[[#This Row],[gross_revenue]]</f>
        <v>0.42999914581019905</v>
      </c>
      <c r="J313" s="10">
        <f>tbl_profitability[[#This Row],[net_profit]]/tbl_profitability[[#This Row],[gross_revenue]]</f>
        <v>0.40626100290216199</v>
      </c>
      <c r="K313" s="2">
        <f>(tbl_profitability[[#This Row],[cogs]]+tbl_profitability[[#This Row],[return_loss]]+tbl_profitability[[#This Row],[operating_costs]])/tbl_raw[[#This Row],[units_sold]]</f>
        <v>949.95666666666648</v>
      </c>
      <c r="L313" s="8" t="str">
        <f>tbl_raw[[#This Row],[decision]]</f>
        <v>OPTIMIZE</v>
      </c>
    </row>
    <row r="314" spans="1:12" x14ac:dyDescent="0.35">
      <c r="A314" s="3" t="str">
        <f>tbl_raw[[#This Row],[product_id]]</f>
        <v>a6492cc69376c469ab6f61d8f44de961</v>
      </c>
      <c r="B314" s="4" t="str">
        <f>tbl_raw[[#This Row],[category]]</f>
        <v>small_appliances</v>
      </c>
      <c r="C314" s="2">
        <f>tbl_raw[[#This Row],[gross_revenue]]</f>
        <v>4799</v>
      </c>
      <c r="D314" s="2">
        <f>tbl_raw[[#This Row],[return_loss]]</f>
        <v>0.36</v>
      </c>
      <c r="E314" s="2">
        <f t="shared" si="4"/>
        <v>4798.6400000000003</v>
      </c>
      <c r="F314" s="2">
        <f>tbl_raw[[#This Row],[cogs]]</f>
        <v>2735.43</v>
      </c>
      <c r="G314" s="2">
        <f>SUM(tbl_raw[[#This Row],[storage_cost]:[freight_cost]])</f>
        <v>160.09</v>
      </c>
      <c r="H314" s="2">
        <f>tbl_profitability[[#This Row],[net_revenue_after_returns]]-tbl_profitability[[#This Row],[cogs]]-tbl_profitability[[#This Row],[operating_costs]]</f>
        <v>1903.1200000000006</v>
      </c>
      <c r="I314" s="10">
        <f>(tbl_profitability[[#This Row],[gross_revenue]]-tbl_profitability[[#This Row],[cogs]])/tbl_profitability[[#This Row],[gross_revenue]]</f>
        <v>0.43000000000000005</v>
      </c>
      <c r="J314" s="10">
        <f>tbl_profitability[[#This Row],[net_profit]]/tbl_profitability[[#This Row],[gross_revenue]]</f>
        <v>0.39656595123984173</v>
      </c>
      <c r="K314" s="2">
        <f>(tbl_profitability[[#This Row],[cogs]]+tbl_profitability[[#This Row],[return_loss]]+tbl_profitability[[#This Row],[operating_costs]])/tbl_raw[[#This Row],[units_sold]]</f>
        <v>2895.88</v>
      </c>
      <c r="L314" s="8" t="str">
        <f>tbl_raw[[#This Row],[decision]]</f>
        <v>SCALE</v>
      </c>
    </row>
    <row r="315" spans="1:12" x14ac:dyDescent="0.35">
      <c r="A315" s="3" t="str">
        <f>tbl_raw[[#This Row],[product_id]]</f>
        <v>038e3a669bb495e56d9d609d874fb668</v>
      </c>
      <c r="B315" s="4" t="str">
        <f>tbl_raw[[#This Row],[category]]</f>
        <v>sports_leisure</v>
      </c>
      <c r="C315" s="2">
        <f>tbl_raw[[#This Row],[gross_revenue]]</f>
        <v>4797</v>
      </c>
      <c r="D315" s="2">
        <f>tbl_raw[[#This Row],[return_loss]]</f>
        <v>1.08</v>
      </c>
      <c r="E315" s="2">
        <f t="shared" si="4"/>
        <v>4795.92</v>
      </c>
      <c r="F315" s="2">
        <f>tbl_raw[[#This Row],[cogs]]</f>
        <v>2014.74</v>
      </c>
      <c r="G315" s="2">
        <f>SUM(tbl_raw[[#This Row],[storage_cost]:[freight_cost]])</f>
        <v>326.94</v>
      </c>
      <c r="H315" s="2">
        <f>tbl_profitability[[#This Row],[net_revenue_after_returns]]-tbl_profitability[[#This Row],[cogs]]-tbl_profitability[[#This Row],[operating_costs]]</f>
        <v>2454.2400000000002</v>
      </c>
      <c r="I315" s="10">
        <f>(tbl_profitability[[#This Row],[gross_revenue]]-tbl_profitability[[#This Row],[cogs]])/tbl_profitability[[#This Row],[gross_revenue]]</f>
        <v>0.58000000000000007</v>
      </c>
      <c r="J315" s="10">
        <f>tbl_profitability[[#This Row],[net_profit]]/tbl_profitability[[#This Row],[gross_revenue]]</f>
        <v>0.51161976235146966</v>
      </c>
      <c r="K315" s="2">
        <f>(tbl_profitability[[#This Row],[cogs]]+tbl_profitability[[#This Row],[return_loss]]+tbl_profitability[[#This Row],[operating_costs]])/tbl_raw[[#This Row],[units_sold]]</f>
        <v>780.92</v>
      </c>
      <c r="L315" s="8" t="str">
        <f>tbl_raw[[#This Row],[decision]]</f>
        <v>EXIT</v>
      </c>
    </row>
    <row r="316" spans="1:12" x14ac:dyDescent="0.35">
      <c r="A316" s="3" t="str">
        <f>tbl_raw[[#This Row],[product_id]]</f>
        <v>e74384c9363e768848854356a37c73f4</v>
      </c>
      <c r="B316" s="4" t="str">
        <f>tbl_raw[[#This Row],[category]]</f>
        <v>consoles_games</v>
      </c>
      <c r="C316" s="2">
        <f>tbl_raw[[#This Row],[gross_revenue]]</f>
        <v>4797</v>
      </c>
      <c r="D316" s="2">
        <f>tbl_raw[[#This Row],[return_loss]]</f>
        <v>1.08</v>
      </c>
      <c r="E316" s="2">
        <f t="shared" si="4"/>
        <v>4795.92</v>
      </c>
      <c r="F316" s="2">
        <f>tbl_raw[[#This Row],[cogs]]</f>
        <v>2734.29</v>
      </c>
      <c r="G316" s="2">
        <f>SUM(tbl_raw[[#This Row],[storage_cost]:[freight_cost]])</f>
        <v>98.21</v>
      </c>
      <c r="H316" s="2">
        <f>tbl_profitability[[#This Row],[net_revenue_after_returns]]-tbl_profitability[[#This Row],[cogs]]-tbl_profitability[[#This Row],[operating_costs]]</f>
        <v>1963.42</v>
      </c>
      <c r="I316" s="10">
        <f>(tbl_profitability[[#This Row],[gross_revenue]]-tbl_profitability[[#This Row],[cogs]])/tbl_profitability[[#This Row],[gross_revenue]]</f>
        <v>0.43</v>
      </c>
      <c r="J316" s="10">
        <f>tbl_profitability[[#This Row],[net_profit]]/tbl_profitability[[#This Row],[gross_revenue]]</f>
        <v>0.40930164686262249</v>
      </c>
      <c r="K316" s="2">
        <f>(tbl_profitability[[#This Row],[cogs]]+tbl_profitability[[#This Row],[return_loss]]+tbl_profitability[[#This Row],[operating_costs]])/tbl_raw[[#This Row],[units_sold]]</f>
        <v>944.52666666666664</v>
      </c>
      <c r="L316" s="8" t="str">
        <f>tbl_raw[[#This Row],[decision]]</f>
        <v>EXIT</v>
      </c>
    </row>
    <row r="317" spans="1:12" x14ac:dyDescent="0.35">
      <c r="A317" s="3" t="str">
        <f>tbl_raw[[#This Row],[product_id]]</f>
        <v>f1fe595ee7ef768b41bd9b246d13432d</v>
      </c>
      <c r="B317" s="4" t="str">
        <f>tbl_raw[[#This Row],[category]]</f>
        <v>garden_tools</v>
      </c>
      <c r="C317" s="2">
        <f>tbl_raw[[#This Row],[gross_revenue]]</f>
        <v>4795.2</v>
      </c>
      <c r="D317" s="2">
        <f>tbl_raw[[#This Row],[return_loss]]</f>
        <v>17.28</v>
      </c>
      <c r="E317" s="2">
        <f t="shared" si="4"/>
        <v>4777.92</v>
      </c>
      <c r="F317" s="2">
        <f>tbl_raw[[#This Row],[cogs]]</f>
        <v>2157.84</v>
      </c>
      <c r="G317" s="2">
        <f>SUM(tbl_raw[[#This Row],[storage_cost]:[freight_cost]])</f>
        <v>1748.32</v>
      </c>
      <c r="H317" s="2">
        <f>tbl_profitability[[#This Row],[net_revenue_after_returns]]-tbl_profitability[[#This Row],[cogs]]-tbl_profitability[[#This Row],[operating_costs]]</f>
        <v>871.76</v>
      </c>
      <c r="I317" s="10">
        <f>(tbl_profitability[[#This Row],[gross_revenue]]-tbl_profitability[[#This Row],[cogs]])/tbl_profitability[[#This Row],[gross_revenue]]</f>
        <v>0.54999999999999993</v>
      </c>
      <c r="J317" s="10">
        <f>tbl_profitability[[#This Row],[net_profit]]/tbl_profitability[[#This Row],[gross_revenue]]</f>
        <v>0.18179846513179848</v>
      </c>
      <c r="K317" s="2">
        <f>(tbl_profitability[[#This Row],[cogs]]+tbl_profitability[[#This Row],[return_loss]]+tbl_profitability[[#This Row],[operating_costs]])/tbl_raw[[#This Row],[units_sold]]</f>
        <v>81.738333333333344</v>
      </c>
      <c r="L317" s="8" t="str">
        <f>tbl_raw[[#This Row],[decision]]</f>
        <v>OPTIMIZE</v>
      </c>
    </row>
    <row r="318" spans="1:12" x14ac:dyDescent="0.35">
      <c r="A318" s="3" t="str">
        <f>tbl_raw[[#This Row],[product_id]]</f>
        <v>1e5428c428e0f783acd6e3d94ba4ee2a</v>
      </c>
      <c r="B318" s="4" t="str">
        <f>tbl_raw[[#This Row],[category]]</f>
        <v>computers</v>
      </c>
      <c r="C318" s="2">
        <f>tbl_raw[[#This Row],[gross_revenue]]</f>
        <v>4792</v>
      </c>
      <c r="D318" s="2">
        <f>tbl_raw[[#This Row],[return_loss]]</f>
        <v>7.2</v>
      </c>
      <c r="E318" s="2">
        <f t="shared" si="4"/>
        <v>4784.8</v>
      </c>
      <c r="F318" s="2">
        <f>tbl_raw[[#This Row],[cogs]]</f>
        <v>2731.44</v>
      </c>
      <c r="G318" s="2">
        <f>SUM(tbl_raw[[#This Row],[storage_cost]:[freight_cost]])</f>
        <v>485.95</v>
      </c>
      <c r="H318" s="2">
        <f>tbl_profitability[[#This Row],[net_revenue_after_returns]]-tbl_profitability[[#This Row],[cogs]]-tbl_profitability[[#This Row],[operating_costs]]</f>
        <v>1567.41</v>
      </c>
      <c r="I318" s="10">
        <f>(tbl_profitability[[#This Row],[gross_revenue]]-tbl_profitability[[#This Row],[cogs]])/tbl_profitability[[#This Row],[gross_revenue]]</f>
        <v>0.43</v>
      </c>
      <c r="J318" s="10">
        <f>tbl_profitability[[#This Row],[net_profit]]/tbl_profitability[[#This Row],[gross_revenue]]</f>
        <v>0.32708889816360603</v>
      </c>
      <c r="K318" s="2">
        <f>(tbl_profitability[[#This Row],[cogs]]+tbl_profitability[[#This Row],[return_loss]]+tbl_profitability[[#This Row],[operating_costs]])/tbl_raw[[#This Row],[units_sold]]</f>
        <v>403.07374999999996</v>
      </c>
      <c r="L318" s="8" t="str">
        <f>tbl_raw[[#This Row],[decision]]</f>
        <v>SCALE</v>
      </c>
    </row>
    <row r="319" spans="1:12" x14ac:dyDescent="0.35">
      <c r="A319" s="3" t="str">
        <f>tbl_raw[[#This Row],[product_id]]</f>
        <v>473795a355d29305c3ea6b156833adf5</v>
      </c>
      <c r="B319" s="4" t="str">
        <f>tbl_raw[[#This Row],[category]]</f>
        <v>perfumery</v>
      </c>
      <c r="C319" s="2">
        <f>tbl_raw[[#This Row],[gross_revenue]]</f>
        <v>4789.3999999999996</v>
      </c>
      <c r="D319" s="2">
        <f>tbl_raw[[#This Row],[return_loss]]</f>
        <v>30.96</v>
      </c>
      <c r="E319" s="2">
        <f t="shared" si="4"/>
        <v>4758.4399999999996</v>
      </c>
      <c r="F319" s="2">
        <f>tbl_raw[[#This Row],[cogs]]</f>
        <v>2011.55</v>
      </c>
      <c r="G319" s="2">
        <f>SUM(tbl_raw[[#This Row],[storage_cost]:[freight_cost]])</f>
        <v>1651.07</v>
      </c>
      <c r="H319" s="2">
        <f>tbl_profitability[[#This Row],[net_revenue_after_returns]]-tbl_profitability[[#This Row],[cogs]]-tbl_profitability[[#This Row],[operating_costs]]</f>
        <v>1095.8199999999995</v>
      </c>
      <c r="I319" s="10">
        <f>(tbl_profitability[[#This Row],[gross_revenue]]-tbl_profitability[[#This Row],[cogs]])/tbl_profitability[[#This Row],[gross_revenue]]</f>
        <v>0.5799995824111579</v>
      </c>
      <c r="J319" s="10">
        <f>tbl_profitability[[#This Row],[net_profit]]/tbl_profitability[[#This Row],[gross_revenue]]</f>
        <v>0.22880110243454285</v>
      </c>
      <c r="K319" s="2">
        <f>(tbl_profitability[[#This Row],[cogs]]+tbl_profitability[[#This Row],[return_loss]]+tbl_profitability[[#This Row],[operating_costs]])/tbl_raw[[#This Row],[units_sold]]</f>
        <v>42.948604651162789</v>
      </c>
      <c r="L319" s="8" t="str">
        <f>tbl_raw[[#This Row],[decision]]</f>
        <v>OPTIMIZE</v>
      </c>
    </row>
    <row r="320" spans="1:12" x14ac:dyDescent="0.35">
      <c r="A320" s="3" t="str">
        <f>tbl_raw[[#This Row],[product_id]]</f>
        <v>ecf9484703bdfb9cfcc1ac9c2084b567</v>
      </c>
      <c r="B320" s="4" t="str">
        <f>tbl_raw[[#This Row],[category]]</f>
        <v>housewares</v>
      </c>
      <c r="C320" s="2">
        <f>tbl_raw[[#This Row],[gross_revenue]]</f>
        <v>4770</v>
      </c>
      <c r="D320" s="2">
        <f>tbl_raw[[#This Row],[return_loss]]</f>
        <v>6.48</v>
      </c>
      <c r="E320" s="2">
        <f t="shared" si="4"/>
        <v>4763.5200000000004</v>
      </c>
      <c r="F320" s="2">
        <f>tbl_raw[[#This Row],[cogs]]</f>
        <v>2146.5</v>
      </c>
      <c r="G320" s="2">
        <f>SUM(tbl_raw[[#This Row],[storage_cost]:[freight_cost]])</f>
        <v>1088.8200000000002</v>
      </c>
      <c r="H320" s="2">
        <f>tbl_profitability[[#This Row],[net_revenue_after_returns]]-tbl_profitability[[#This Row],[cogs]]-tbl_profitability[[#This Row],[operating_costs]]</f>
        <v>1528.2000000000003</v>
      </c>
      <c r="I320" s="10">
        <f>(tbl_profitability[[#This Row],[gross_revenue]]-tbl_profitability[[#This Row],[cogs]])/tbl_profitability[[#This Row],[gross_revenue]]</f>
        <v>0.55000000000000004</v>
      </c>
      <c r="J320" s="10">
        <f>tbl_profitability[[#This Row],[net_profit]]/tbl_profitability[[#This Row],[gross_revenue]]</f>
        <v>0.32037735849056609</v>
      </c>
      <c r="K320" s="2">
        <f>(tbl_profitability[[#This Row],[cogs]]+tbl_profitability[[#This Row],[return_loss]]+tbl_profitability[[#This Row],[operating_costs]])/tbl_raw[[#This Row],[units_sold]]</f>
        <v>180.10000000000002</v>
      </c>
      <c r="L320" s="8" t="str">
        <f>tbl_raw[[#This Row],[decision]]</f>
        <v>OPTIMIZE</v>
      </c>
    </row>
    <row r="321" spans="1:12" x14ac:dyDescent="0.35">
      <c r="A321" s="3" t="str">
        <f>tbl_raw[[#This Row],[product_id]]</f>
        <v>93a12c289ca2b78e7069e469f5053ef2</v>
      </c>
      <c r="B321" s="4" t="str">
        <f>tbl_raw[[#This Row],[category]]</f>
        <v>computers_accessories</v>
      </c>
      <c r="C321" s="2">
        <f>tbl_raw[[#This Row],[gross_revenue]]</f>
        <v>4763.5</v>
      </c>
      <c r="D321" s="2">
        <f>tbl_raw[[#This Row],[return_loss]]</f>
        <v>31.5</v>
      </c>
      <c r="E321" s="2">
        <f t="shared" si="4"/>
        <v>4732</v>
      </c>
      <c r="F321" s="2">
        <f>tbl_raw[[#This Row],[cogs]]</f>
        <v>2715.2</v>
      </c>
      <c r="G321" s="2">
        <f>SUM(tbl_raw[[#This Row],[storage_cost]:[freight_cost]])</f>
        <v>1003.72</v>
      </c>
      <c r="H321" s="2">
        <f>tbl_profitability[[#This Row],[net_revenue_after_returns]]-tbl_profitability[[#This Row],[cogs]]-tbl_profitability[[#This Row],[operating_costs]]</f>
        <v>1013.0800000000002</v>
      </c>
      <c r="I321" s="10">
        <f>(tbl_profitability[[#This Row],[gross_revenue]]-tbl_profitability[[#This Row],[cogs]])/tbl_profitability[[#This Row],[gross_revenue]]</f>
        <v>0.42999895035163221</v>
      </c>
      <c r="J321" s="10">
        <f>tbl_profitability[[#This Row],[net_profit]]/tbl_profitability[[#This Row],[gross_revenue]]</f>
        <v>0.21267555368951405</v>
      </c>
      <c r="K321" s="2">
        <f>(tbl_profitability[[#This Row],[cogs]]+tbl_profitability[[#This Row],[return_loss]]+tbl_profitability[[#This Row],[operating_costs]])/tbl_raw[[#This Row],[units_sold]]</f>
        <v>107.15485714285714</v>
      </c>
      <c r="L321" s="8" t="str">
        <f>tbl_raw[[#This Row],[decision]]</f>
        <v>OPTIMIZE</v>
      </c>
    </row>
    <row r="322" spans="1:12" x14ac:dyDescent="0.35">
      <c r="A322" s="3" t="str">
        <f>tbl_raw[[#This Row],[product_id]]</f>
        <v>08a58dc963320d6073623382b9ceb920</v>
      </c>
      <c r="B322" s="4" t="str">
        <f>tbl_raw[[#This Row],[category]]</f>
        <v>computers_accessories</v>
      </c>
      <c r="C322" s="2">
        <f>tbl_raw[[#This Row],[gross_revenue]]</f>
        <v>4753</v>
      </c>
      <c r="D322" s="2">
        <f>tbl_raw[[#This Row],[return_loss]]</f>
        <v>33.299999999999997</v>
      </c>
      <c r="E322" s="2">
        <f t="shared" si="4"/>
        <v>4719.7</v>
      </c>
      <c r="F322" s="2">
        <f>tbl_raw[[#This Row],[cogs]]</f>
        <v>2709.21</v>
      </c>
      <c r="G322" s="2">
        <f>SUM(tbl_raw[[#This Row],[storage_cost]:[freight_cost]])</f>
        <v>1112.75</v>
      </c>
      <c r="H322" s="2">
        <f>tbl_profitability[[#This Row],[net_revenue_after_returns]]-tbl_profitability[[#This Row],[cogs]]-tbl_profitability[[#This Row],[operating_costs]]</f>
        <v>897.73999999999978</v>
      </c>
      <c r="I322" s="10">
        <f>(tbl_profitability[[#This Row],[gross_revenue]]-tbl_profitability[[#This Row],[cogs]])/tbl_profitability[[#This Row],[gross_revenue]]</f>
        <v>0.43</v>
      </c>
      <c r="J322" s="10">
        <f>tbl_profitability[[#This Row],[net_profit]]/tbl_profitability[[#This Row],[gross_revenue]]</f>
        <v>0.18887860298758674</v>
      </c>
      <c r="K322" s="2">
        <f>(tbl_profitability[[#This Row],[cogs]]+tbl_profitability[[#This Row],[return_loss]]+tbl_profitability[[#This Row],[operating_costs]])/tbl_raw[[#This Row],[units_sold]]</f>
        <v>104.19621621621623</v>
      </c>
      <c r="L322" s="8" t="str">
        <f>tbl_raw[[#This Row],[decision]]</f>
        <v>OPTIMIZE</v>
      </c>
    </row>
    <row r="323" spans="1:12" x14ac:dyDescent="0.35">
      <c r="A323" s="3" t="str">
        <f>tbl_raw[[#This Row],[product_id]]</f>
        <v>011ae9863bd5b15e528a16dd8ceb4772</v>
      </c>
      <c r="B323" s="4" t="str">
        <f>tbl_raw[[#This Row],[category]]</f>
        <v>toys</v>
      </c>
      <c r="C323" s="2">
        <f>tbl_raw[[#This Row],[gross_revenue]]</f>
        <v>4749.3</v>
      </c>
      <c r="D323" s="2">
        <f>tbl_raw[[#This Row],[return_loss]]</f>
        <v>2.52</v>
      </c>
      <c r="E323" s="2">
        <f t="shared" si="4"/>
        <v>4746.78</v>
      </c>
      <c r="F323" s="2">
        <f>tbl_raw[[#This Row],[cogs]]</f>
        <v>1994.71</v>
      </c>
      <c r="G323" s="2">
        <f>SUM(tbl_raw[[#This Row],[storage_cost]:[freight_cost]])</f>
        <v>235.62</v>
      </c>
      <c r="H323" s="2">
        <f>tbl_profitability[[#This Row],[net_revenue_after_returns]]-tbl_profitability[[#This Row],[cogs]]-tbl_profitability[[#This Row],[operating_costs]]</f>
        <v>2516.4499999999998</v>
      </c>
      <c r="I323" s="10">
        <f>(tbl_profitability[[#This Row],[gross_revenue]]-tbl_profitability[[#This Row],[cogs]])/tbl_profitability[[#This Row],[gross_revenue]]</f>
        <v>0.57999915777061883</v>
      </c>
      <c r="J323" s="10">
        <f>tbl_profitability[[#This Row],[net_profit]]/tbl_profitability[[#This Row],[gross_revenue]]</f>
        <v>0.52985703156254604</v>
      </c>
      <c r="K323" s="2">
        <f>(tbl_profitability[[#This Row],[cogs]]+tbl_profitability[[#This Row],[return_loss]]+tbl_profitability[[#This Row],[operating_costs]])/tbl_raw[[#This Row],[units_sold]]</f>
        <v>318.9785714285714</v>
      </c>
      <c r="L323" s="8" t="str">
        <f>tbl_raw[[#This Row],[decision]]</f>
        <v>SCALE</v>
      </c>
    </row>
    <row r="324" spans="1:12" x14ac:dyDescent="0.35">
      <c r="A324" s="3" t="str">
        <f>tbl_raw[[#This Row],[product_id]]</f>
        <v>fca62108387e25005784da2f551466a1</v>
      </c>
      <c r="B324" s="4" t="str">
        <f>tbl_raw[[#This Row],[category]]</f>
        <v>furniture_decor</v>
      </c>
      <c r="C324" s="2">
        <f>tbl_raw[[#This Row],[gross_revenue]]</f>
        <v>4748.1000000000004</v>
      </c>
      <c r="D324" s="2">
        <f>tbl_raw[[#This Row],[return_loss]]</f>
        <v>6.84</v>
      </c>
      <c r="E324" s="2">
        <f t="shared" ref="E324:E387" si="5">C324-D324</f>
        <v>4741.26</v>
      </c>
      <c r="F324" s="2">
        <f>tbl_raw[[#This Row],[cogs]]</f>
        <v>2136.65</v>
      </c>
      <c r="G324" s="2">
        <f>SUM(tbl_raw[[#This Row],[storage_cost]:[freight_cost]])</f>
        <v>1502.01</v>
      </c>
      <c r="H324" s="2">
        <f>tbl_profitability[[#This Row],[net_revenue_after_returns]]-tbl_profitability[[#This Row],[cogs]]-tbl_profitability[[#This Row],[operating_costs]]</f>
        <v>1102.6000000000001</v>
      </c>
      <c r="I324" s="10">
        <f>(tbl_profitability[[#This Row],[gross_revenue]]-tbl_profitability[[#This Row],[cogs]])/tbl_profitability[[#This Row],[gross_revenue]]</f>
        <v>0.54999894694719997</v>
      </c>
      <c r="J324" s="10">
        <f>tbl_profitability[[#This Row],[net_profit]]/tbl_profitability[[#This Row],[gross_revenue]]</f>
        <v>0.23221920347086203</v>
      </c>
      <c r="K324" s="2">
        <f>(tbl_profitability[[#This Row],[cogs]]+tbl_profitability[[#This Row],[return_loss]]+tbl_profitability[[#This Row],[operating_costs]])/tbl_raw[[#This Row],[units_sold]]</f>
        <v>191.86842105263159</v>
      </c>
      <c r="L324" s="8" t="str">
        <f>tbl_raw[[#This Row],[decision]]</f>
        <v>OPTIMIZE</v>
      </c>
    </row>
    <row r="325" spans="1:12" x14ac:dyDescent="0.35">
      <c r="A325" s="3" t="str">
        <f>tbl_raw[[#This Row],[product_id]]</f>
        <v>3eef0cb94ba82de806bb30ab743c7655</v>
      </c>
      <c r="B325" s="4" t="str">
        <f>tbl_raw[[#This Row],[category]]</f>
        <v>office_furniture</v>
      </c>
      <c r="C325" s="2">
        <f>tbl_raw[[#This Row],[gross_revenue]]</f>
        <v>4739.41</v>
      </c>
      <c r="D325" s="2">
        <f>tbl_raw[[#This Row],[return_loss]]</f>
        <v>21.24</v>
      </c>
      <c r="E325" s="2">
        <f t="shared" si="5"/>
        <v>4718.17</v>
      </c>
      <c r="F325" s="2">
        <f>tbl_raw[[#This Row],[cogs]]</f>
        <v>2132.73</v>
      </c>
      <c r="G325" s="2">
        <f>SUM(tbl_raw[[#This Row],[storage_cost]:[freight_cost]])</f>
        <v>2321.31</v>
      </c>
      <c r="H325" s="2">
        <f>tbl_profitability[[#This Row],[net_revenue_after_returns]]-tbl_profitability[[#This Row],[cogs]]-tbl_profitability[[#This Row],[operating_costs]]</f>
        <v>264.13000000000011</v>
      </c>
      <c r="I325" s="10">
        <f>(tbl_profitability[[#This Row],[gross_revenue]]-tbl_profitability[[#This Row],[cogs]])/tbl_profitability[[#This Row],[gross_revenue]]</f>
        <v>0.55000094948527345</v>
      </c>
      <c r="J325" s="10">
        <f>tbl_profitability[[#This Row],[net_profit]]/tbl_profitability[[#This Row],[gross_revenue]]</f>
        <v>5.5730565618927273E-2</v>
      </c>
      <c r="K325" s="2">
        <f>(tbl_profitability[[#This Row],[cogs]]+tbl_profitability[[#This Row],[return_loss]]+tbl_profitability[[#This Row],[operating_costs]])/tbl_raw[[#This Row],[units_sold]]</f>
        <v>75.852203389830507</v>
      </c>
      <c r="L325" s="8" t="str">
        <f>tbl_raw[[#This Row],[decision]]</f>
        <v>EXIT</v>
      </c>
    </row>
    <row r="326" spans="1:12" x14ac:dyDescent="0.35">
      <c r="A326" s="3" t="str">
        <f>tbl_raw[[#This Row],[product_id]]</f>
        <v>5b3b5f9ae84ca9ead3138b199420cc94</v>
      </c>
      <c r="B326" s="4" t="str">
        <f>tbl_raw[[#This Row],[category]]</f>
        <v>toys</v>
      </c>
      <c r="C326" s="2">
        <f>tbl_raw[[#This Row],[gross_revenue]]</f>
        <v>4698.7</v>
      </c>
      <c r="D326" s="2">
        <f>tbl_raw[[#This Row],[return_loss]]</f>
        <v>12.24</v>
      </c>
      <c r="E326" s="2">
        <f t="shared" si="5"/>
        <v>4686.46</v>
      </c>
      <c r="F326" s="2">
        <f>tbl_raw[[#This Row],[cogs]]</f>
        <v>1973.45</v>
      </c>
      <c r="G326" s="2">
        <f>SUM(tbl_raw[[#This Row],[storage_cost]:[freight_cost]])</f>
        <v>837.73</v>
      </c>
      <c r="H326" s="2">
        <f>tbl_profitability[[#This Row],[net_revenue_after_returns]]-tbl_profitability[[#This Row],[cogs]]-tbl_profitability[[#This Row],[operating_costs]]</f>
        <v>1875.2800000000002</v>
      </c>
      <c r="I326" s="10">
        <f>(tbl_profitability[[#This Row],[gross_revenue]]-tbl_profitability[[#This Row],[cogs]])/tbl_profitability[[#This Row],[gross_revenue]]</f>
        <v>0.58000085129929557</v>
      </c>
      <c r="J326" s="10">
        <f>tbl_profitability[[#This Row],[net_profit]]/tbl_profitability[[#This Row],[gross_revenue]]</f>
        <v>0.39910613573967274</v>
      </c>
      <c r="K326" s="2">
        <f>(tbl_profitability[[#This Row],[cogs]]+tbl_profitability[[#This Row],[return_loss]]+tbl_profitability[[#This Row],[operating_costs]])/tbl_raw[[#This Row],[units_sold]]</f>
        <v>83.041764705882358</v>
      </c>
      <c r="L326" s="8" t="str">
        <f>tbl_raw[[#This Row],[decision]]</f>
        <v>SCALE</v>
      </c>
    </row>
    <row r="327" spans="1:12" x14ac:dyDescent="0.35">
      <c r="A327" s="3" t="str">
        <f>tbl_raw[[#This Row],[product_id]]</f>
        <v>e6d3e381889aa6e9d222ad50cb30ac43</v>
      </c>
      <c r="B327" s="4" t="str">
        <f>tbl_raw[[#This Row],[category]]</f>
        <v>watches_gifts</v>
      </c>
      <c r="C327" s="2">
        <f>tbl_raw[[#This Row],[gross_revenue]]</f>
        <v>4695.03</v>
      </c>
      <c r="D327" s="2">
        <f>tbl_raw[[#This Row],[return_loss]]</f>
        <v>7.56</v>
      </c>
      <c r="E327" s="2">
        <f t="shared" si="5"/>
        <v>4687.4699999999993</v>
      </c>
      <c r="F327" s="2">
        <f>tbl_raw[[#This Row],[cogs]]</f>
        <v>1971.91</v>
      </c>
      <c r="G327" s="2">
        <f>SUM(tbl_raw[[#This Row],[storage_cost]:[freight_cost]])</f>
        <v>513.74</v>
      </c>
      <c r="H327" s="2">
        <f>tbl_profitability[[#This Row],[net_revenue_after_returns]]-tbl_profitability[[#This Row],[cogs]]-tbl_profitability[[#This Row],[operating_costs]]</f>
        <v>2201.8199999999997</v>
      </c>
      <c r="I327" s="10">
        <f>(tbl_profitability[[#This Row],[gross_revenue]]-tbl_profitability[[#This Row],[cogs]])/tbl_profitability[[#This Row],[gross_revenue]]</f>
        <v>0.58000055377707915</v>
      </c>
      <c r="J327" s="10">
        <f>tbl_profitability[[#This Row],[net_profit]]/tbl_profitability[[#This Row],[gross_revenue]]</f>
        <v>0.4689682494041571</v>
      </c>
      <c r="K327" s="2">
        <f>(tbl_profitability[[#This Row],[cogs]]+tbl_profitability[[#This Row],[return_loss]]+tbl_profitability[[#This Row],[operating_costs]])/tbl_raw[[#This Row],[units_sold]]</f>
        <v>118.72428571428571</v>
      </c>
      <c r="L327" s="8" t="str">
        <f>tbl_raw[[#This Row],[decision]]</f>
        <v>SCALE</v>
      </c>
    </row>
    <row r="328" spans="1:12" x14ac:dyDescent="0.35">
      <c r="A328" s="3" t="str">
        <f>tbl_raw[[#This Row],[product_id]]</f>
        <v>c3ed642d592594bb648ff4a04cee2747</v>
      </c>
      <c r="B328" s="4" t="str">
        <f>tbl_raw[[#This Row],[category]]</f>
        <v>small_appliances</v>
      </c>
      <c r="C328" s="2">
        <f>tbl_raw[[#This Row],[gross_revenue]]</f>
        <v>4690</v>
      </c>
      <c r="D328" s="2">
        <f>tbl_raw[[#This Row],[return_loss]]</f>
        <v>0.36</v>
      </c>
      <c r="E328" s="2">
        <f t="shared" si="5"/>
        <v>4689.6400000000003</v>
      </c>
      <c r="F328" s="2">
        <f>tbl_raw[[#This Row],[cogs]]</f>
        <v>2673.3</v>
      </c>
      <c r="G328" s="2">
        <f>SUM(tbl_raw[[#This Row],[storage_cost]:[freight_cost]])</f>
        <v>83.09</v>
      </c>
      <c r="H328" s="2">
        <f>tbl_profitability[[#This Row],[net_revenue_after_returns]]-tbl_profitability[[#This Row],[cogs]]-tbl_profitability[[#This Row],[operating_costs]]</f>
        <v>1933.2500000000002</v>
      </c>
      <c r="I328" s="10">
        <f>(tbl_profitability[[#This Row],[gross_revenue]]-tbl_profitability[[#This Row],[cogs]])/tbl_profitability[[#This Row],[gross_revenue]]</f>
        <v>0.42999999999999994</v>
      </c>
      <c r="J328" s="10">
        <f>tbl_profitability[[#This Row],[net_profit]]/tbl_profitability[[#This Row],[gross_revenue]]</f>
        <v>0.41220682302771861</v>
      </c>
      <c r="K328" s="2">
        <f>(tbl_profitability[[#This Row],[cogs]]+tbl_profitability[[#This Row],[return_loss]]+tbl_profitability[[#This Row],[operating_costs]])/tbl_raw[[#This Row],[units_sold]]</f>
        <v>2756.7500000000005</v>
      </c>
      <c r="L328" s="8" t="str">
        <f>tbl_raw[[#This Row],[decision]]</f>
        <v>SCALE</v>
      </c>
    </row>
    <row r="329" spans="1:12" x14ac:dyDescent="0.35">
      <c r="A329" s="3" t="str">
        <f>tbl_raw[[#This Row],[product_id]]</f>
        <v>310b40ec41fbfc061e5309006482e68a</v>
      </c>
      <c r="B329" s="4" t="str">
        <f>tbl_raw[[#This Row],[category]]</f>
        <v>books_general_interest</v>
      </c>
      <c r="C329" s="2">
        <f>tbl_raw[[#This Row],[gross_revenue]]</f>
        <v>4686.1000000000004</v>
      </c>
      <c r="D329" s="2">
        <f>tbl_raw[[#This Row],[return_loss]]</f>
        <v>0.9</v>
      </c>
      <c r="E329" s="2">
        <f t="shared" si="5"/>
        <v>4685.2000000000007</v>
      </c>
      <c r="F329" s="2">
        <f>tbl_raw[[#This Row],[cogs]]</f>
        <v>1874.44</v>
      </c>
      <c r="G329" s="2">
        <f>SUM(tbl_raw[[#This Row],[storage_cost]:[freight_cost]])</f>
        <v>221.19</v>
      </c>
      <c r="H329" s="2">
        <f>tbl_profitability[[#This Row],[net_revenue_after_returns]]-tbl_profitability[[#This Row],[cogs]]-tbl_profitability[[#This Row],[operating_costs]]</f>
        <v>2589.5700000000006</v>
      </c>
      <c r="I329" s="10">
        <f>(tbl_profitability[[#This Row],[gross_revenue]]-tbl_profitability[[#This Row],[cogs]])/tbl_profitability[[#This Row],[gross_revenue]]</f>
        <v>0.6</v>
      </c>
      <c r="J329" s="10">
        <f>tbl_profitability[[#This Row],[net_profit]]/tbl_profitability[[#This Row],[gross_revenue]]</f>
        <v>0.55260664518469527</v>
      </c>
      <c r="K329" s="2">
        <f>(tbl_profitability[[#This Row],[cogs]]+tbl_profitability[[#This Row],[return_loss]]+tbl_profitability[[#This Row],[operating_costs]])/tbl_raw[[#This Row],[units_sold]]</f>
        <v>232.94777777777779</v>
      </c>
      <c r="L329" s="8" t="str">
        <f>tbl_raw[[#This Row],[decision]]</f>
        <v>SCALE</v>
      </c>
    </row>
    <row r="330" spans="1:12" x14ac:dyDescent="0.35">
      <c r="A330" s="3" t="str">
        <f>tbl_raw[[#This Row],[product_id]]</f>
        <v>3efd399c5d016b9e6a5ad3196eade44f</v>
      </c>
      <c r="B330" s="4" t="str">
        <f>tbl_raw[[#This Row],[category]]</f>
        <v>baby</v>
      </c>
      <c r="C330" s="2">
        <f>tbl_raw[[#This Row],[gross_revenue]]</f>
        <v>4683</v>
      </c>
      <c r="D330" s="2">
        <f>tbl_raw[[#This Row],[return_loss]]</f>
        <v>7.56</v>
      </c>
      <c r="E330" s="2">
        <f t="shared" si="5"/>
        <v>4675.4399999999996</v>
      </c>
      <c r="F330" s="2">
        <f>tbl_raw[[#This Row],[cogs]]</f>
        <v>1966.86</v>
      </c>
      <c r="G330" s="2">
        <f>SUM(tbl_raw[[#This Row],[storage_cost]:[freight_cost]])</f>
        <v>505.32</v>
      </c>
      <c r="H330" s="2">
        <f>tbl_profitability[[#This Row],[net_revenue_after_returns]]-tbl_profitability[[#This Row],[cogs]]-tbl_profitability[[#This Row],[operating_costs]]</f>
        <v>2203.2599999999998</v>
      </c>
      <c r="I330" s="10">
        <f>(tbl_profitability[[#This Row],[gross_revenue]]-tbl_profitability[[#This Row],[cogs]])/tbl_profitability[[#This Row],[gross_revenue]]</f>
        <v>0.58000000000000007</v>
      </c>
      <c r="J330" s="10">
        <f>tbl_profitability[[#This Row],[net_profit]]/tbl_profitability[[#This Row],[gross_revenue]]</f>
        <v>0.47048046124279302</v>
      </c>
      <c r="K330" s="2">
        <f>(tbl_profitability[[#This Row],[cogs]]+tbl_profitability[[#This Row],[return_loss]]+tbl_profitability[[#This Row],[operating_costs]])/tbl_raw[[#This Row],[units_sold]]</f>
        <v>118.08285714285714</v>
      </c>
      <c r="L330" s="8" t="str">
        <f>tbl_raw[[#This Row],[decision]]</f>
        <v>SCALE</v>
      </c>
    </row>
    <row r="331" spans="1:12" x14ac:dyDescent="0.35">
      <c r="A331" s="3" t="str">
        <f>tbl_raw[[#This Row],[product_id]]</f>
        <v>53d8ee87caa1a2320c66074ff9c99e61</v>
      </c>
      <c r="B331" s="4" t="str">
        <f>tbl_raw[[#This Row],[category]]</f>
        <v>watches_gifts</v>
      </c>
      <c r="C331" s="2">
        <f>tbl_raw[[#This Row],[gross_revenue]]</f>
        <v>4663.58</v>
      </c>
      <c r="D331" s="2">
        <f>tbl_raw[[#This Row],[return_loss]]</f>
        <v>2.88</v>
      </c>
      <c r="E331" s="2">
        <f t="shared" si="5"/>
        <v>4660.7</v>
      </c>
      <c r="F331" s="2">
        <f>tbl_raw[[#This Row],[cogs]]</f>
        <v>1958.7</v>
      </c>
      <c r="G331" s="2">
        <f>SUM(tbl_raw[[#This Row],[storage_cost]:[freight_cost]])</f>
        <v>245.18</v>
      </c>
      <c r="H331" s="2">
        <f>tbl_profitability[[#This Row],[net_revenue_after_returns]]-tbl_profitability[[#This Row],[cogs]]-tbl_profitability[[#This Row],[operating_costs]]</f>
        <v>2456.8200000000002</v>
      </c>
      <c r="I331" s="10">
        <f>(tbl_profitability[[#This Row],[gross_revenue]]-tbl_profitability[[#This Row],[cogs]])/tbl_profitability[[#This Row],[gross_revenue]]</f>
        <v>0.58000077193915411</v>
      </c>
      <c r="J331" s="10">
        <f>tbl_profitability[[#This Row],[net_profit]]/tbl_profitability[[#This Row],[gross_revenue]]</f>
        <v>0.52680987567491078</v>
      </c>
      <c r="K331" s="2">
        <f>(tbl_profitability[[#This Row],[cogs]]+tbl_profitability[[#This Row],[return_loss]]+tbl_profitability[[#This Row],[operating_costs]])/tbl_raw[[#This Row],[units_sold]]</f>
        <v>275.84500000000003</v>
      </c>
      <c r="L331" s="8" t="str">
        <f>tbl_raw[[#This Row],[decision]]</f>
        <v>OPTIMIZE</v>
      </c>
    </row>
    <row r="332" spans="1:12" x14ac:dyDescent="0.35">
      <c r="A332" s="3" t="str">
        <f>tbl_raw[[#This Row],[product_id]]</f>
        <v>d982791b03ad95faaa03fc746ad04672</v>
      </c>
      <c r="B332" s="4" t="str">
        <f>tbl_raw[[#This Row],[category]]</f>
        <v>computers_accessories</v>
      </c>
      <c r="C332" s="2">
        <f>tbl_raw[[#This Row],[gross_revenue]]</f>
        <v>4652.09</v>
      </c>
      <c r="D332" s="2">
        <f>tbl_raw[[#This Row],[return_loss]]</f>
        <v>4.5</v>
      </c>
      <c r="E332" s="2">
        <f t="shared" si="5"/>
        <v>4647.59</v>
      </c>
      <c r="F332" s="2">
        <f>tbl_raw[[#This Row],[cogs]]</f>
        <v>2651.69</v>
      </c>
      <c r="G332" s="2">
        <f>SUM(tbl_raw[[#This Row],[storage_cost]:[freight_cost]])</f>
        <v>211.93</v>
      </c>
      <c r="H332" s="2">
        <f>tbl_profitability[[#This Row],[net_revenue_after_returns]]-tbl_profitability[[#This Row],[cogs]]-tbl_profitability[[#This Row],[operating_costs]]</f>
        <v>1783.97</v>
      </c>
      <c r="I332" s="10">
        <f>(tbl_profitability[[#This Row],[gross_revenue]]-tbl_profitability[[#This Row],[cogs]])/tbl_profitability[[#This Row],[gross_revenue]]</f>
        <v>0.43000027944429281</v>
      </c>
      <c r="J332" s="10">
        <f>tbl_profitability[[#This Row],[net_profit]]/tbl_profitability[[#This Row],[gross_revenue]]</f>
        <v>0.38347710383934963</v>
      </c>
      <c r="K332" s="2">
        <f>(tbl_profitability[[#This Row],[cogs]]+tbl_profitability[[#This Row],[return_loss]]+tbl_profitability[[#This Row],[operating_costs]])/tbl_raw[[#This Row],[units_sold]]</f>
        <v>573.62400000000002</v>
      </c>
      <c r="L332" s="8" t="str">
        <f>tbl_raw[[#This Row],[decision]]</f>
        <v>SCALE</v>
      </c>
    </row>
    <row r="333" spans="1:12" x14ac:dyDescent="0.35">
      <c r="A333" s="3" t="str">
        <f>tbl_raw[[#This Row],[product_id]]</f>
        <v>18e41d0c2a7cac6a8d53d3fcc13da3c4</v>
      </c>
      <c r="B333" s="4" t="str">
        <f>tbl_raw[[#This Row],[category]]</f>
        <v>computers_accessories</v>
      </c>
      <c r="C333" s="2">
        <f>tbl_raw[[#This Row],[gross_revenue]]</f>
        <v>4649.49</v>
      </c>
      <c r="D333" s="2">
        <f>tbl_raw[[#This Row],[return_loss]]</f>
        <v>3.6</v>
      </c>
      <c r="E333" s="2">
        <f t="shared" si="5"/>
        <v>4645.8899999999994</v>
      </c>
      <c r="F333" s="2">
        <f>tbl_raw[[#This Row],[cogs]]</f>
        <v>2650.21</v>
      </c>
      <c r="G333" s="2">
        <f>SUM(tbl_raw[[#This Row],[storage_cost]:[freight_cost]])</f>
        <v>124.59</v>
      </c>
      <c r="H333" s="2">
        <f>tbl_profitability[[#This Row],[net_revenue_after_returns]]-tbl_profitability[[#This Row],[cogs]]-tbl_profitability[[#This Row],[operating_costs]]</f>
        <v>1871.0899999999995</v>
      </c>
      <c r="I333" s="10">
        <f>(tbl_profitability[[#This Row],[gross_revenue]]-tbl_profitability[[#This Row],[cogs]])/tbl_profitability[[#This Row],[gross_revenue]]</f>
        <v>0.42999984944585318</v>
      </c>
      <c r="J333" s="10">
        <f>tbl_profitability[[#This Row],[net_profit]]/tbl_profitability[[#This Row],[gross_revenue]]</f>
        <v>0.4024290836199238</v>
      </c>
      <c r="K333" s="2">
        <f>(tbl_profitability[[#This Row],[cogs]]+tbl_profitability[[#This Row],[return_loss]]+tbl_profitability[[#This Row],[operating_costs]])/tbl_raw[[#This Row],[units_sold]]</f>
        <v>694.6</v>
      </c>
      <c r="L333" s="8" t="str">
        <f>tbl_raw[[#This Row],[decision]]</f>
        <v>OPTIMIZE</v>
      </c>
    </row>
    <row r="334" spans="1:12" x14ac:dyDescent="0.35">
      <c r="A334" s="3" t="str">
        <f>tbl_raw[[#This Row],[product_id]]</f>
        <v>31b8e7c2a22f3dba5183cc110bdd72f7</v>
      </c>
      <c r="B334" s="4" t="str">
        <f>tbl_raw[[#This Row],[category]]</f>
        <v>electronics</v>
      </c>
      <c r="C334" s="2">
        <f>tbl_raw[[#This Row],[gross_revenue]]</f>
        <v>4649.4799999999996</v>
      </c>
      <c r="D334" s="2">
        <f>tbl_raw[[#This Row],[return_loss]]</f>
        <v>20.7</v>
      </c>
      <c r="E334" s="2">
        <f t="shared" si="5"/>
        <v>4628.78</v>
      </c>
      <c r="F334" s="2">
        <f>tbl_raw[[#This Row],[cogs]]</f>
        <v>2650.2</v>
      </c>
      <c r="G334" s="2">
        <f>SUM(tbl_raw[[#This Row],[storage_cost]:[freight_cost]])</f>
        <v>630.52</v>
      </c>
      <c r="H334" s="2">
        <f>tbl_profitability[[#This Row],[net_revenue_after_returns]]-tbl_profitability[[#This Row],[cogs]]-tbl_profitability[[#This Row],[operating_costs]]</f>
        <v>1348.06</v>
      </c>
      <c r="I334" s="10">
        <f>(tbl_profitability[[#This Row],[gross_revenue]]-tbl_profitability[[#This Row],[cogs]])/tbl_profitability[[#This Row],[gross_revenue]]</f>
        <v>0.43000077428013456</v>
      </c>
      <c r="J334" s="10">
        <f>tbl_profitability[[#This Row],[net_profit]]/tbl_profitability[[#This Row],[gross_revenue]]</f>
        <v>0.28993779949585763</v>
      </c>
      <c r="K334" s="2">
        <f>(tbl_profitability[[#This Row],[cogs]]+tbl_profitability[[#This Row],[return_loss]]+tbl_profitability[[#This Row],[operating_costs]])/tbl_raw[[#This Row],[units_sold]]</f>
        <v>143.54</v>
      </c>
      <c r="L334" s="8" t="str">
        <f>tbl_raw[[#This Row],[decision]]</f>
        <v>SCALE</v>
      </c>
    </row>
    <row r="335" spans="1:12" x14ac:dyDescent="0.35">
      <c r="A335" s="3" t="str">
        <f>tbl_raw[[#This Row],[product_id]]</f>
        <v>177d3d5bb9d4d29222a222e3b3554f41</v>
      </c>
      <c r="B335" s="4" t="str">
        <f>tbl_raw[[#This Row],[category]]</f>
        <v>stationery</v>
      </c>
      <c r="C335" s="2">
        <f>tbl_raw[[#This Row],[gross_revenue]]</f>
        <v>4646.8</v>
      </c>
      <c r="D335" s="2">
        <f>tbl_raw[[#This Row],[return_loss]]</f>
        <v>4</v>
      </c>
      <c r="E335" s="2">
        <f t="shared" si="5"/>
        <v>4642.8</v>
      </c>
      <c r="F335" s="2">
        <f>tbl_raw[[#This Row],[cogs]]</f>
        <v>1858.72</v>
      </c>
      <c r="G335" s="2">
        <f>SUM(tbl_raw[[#This Row],[storage_cost]:[freight_cost]])</f>
        <v>1227.26</v>
      </c>
      <c r="H335" s="2">
        <f>tbl_profitability[[#This Row],[net_revenue_after_returns]]-tbl_profitability[[#This Row],[cogs]]-tbl_profitability[[#This Row],[operating_costs]]</f>
        <v>1556.82</v>
      </c>
      <c r="I335" s="10">
        <f>(tbl_profitability[[#This Row],[gross_revenue]]-tbl_profitability[[#This Row],[cogs]])/tbl_profitability[[#This Row],[gross_revenue]]</f>
        <v>0.6</v>
      </c>
      <c r="J335" s="10">
        <f>tbl_profitability[[#This Row],[net_profit]]/tbl_profitability[[#This Row],[gross_revenue]]</f>
        <v>0.33503055866402681</v>
      </c>
      <c r="K335" s="2">
        <f>(tbl_profitability[[#This Row],[cogs]]+tbl_profitability[[#This Row],[return_loss]]+tbl_profitability[[#This Row],[operating_costs]])/tbl_raw[[#This Row],[units_sold]]</f>
        <v>77.249499999999998</v>
      </c>
      <c r="L335" s="8" t="str">
        <f>tbl_raw[[#This Row],[decision]]</f>
        <v>SCALE</v>
      </c>
    </row>
    <row r="336" spans="1:12" x14ac:dyDescent="0.35">
      <c r="A336" s="3" t="str">
        <f>tbl_raw[[#This Row],[product_id]]</f>
        <v>d011223de539cd224b5c5c8082313d46</v>
      </c>
      <c r="B336" s="4" t="str">
        <f>tbl_raw[[#This Row],[category]]</f>
        <v>furniture_decor</v>
      </c>
      <c r="C336" s="2">
        <f>tbl_raw[[#This Row],[gross_revenue]]</f>
        <v>4646.3999999999996</v>
      </c>
      <c r="D336" s="2">
        <f>tbl_raw[[#This Row],[return_loss]]</f>
        <v>7.92</v>
      </c>
      <c r="E336" s="2">
        <f t="shared" si="5"/>
        <v>4638.4799999999996</v>
      </c>
      <c r="F336" s="2">
        <f>tbl_raw[[#This Row],[cogs]]</f>
        <v>2090.88</v>
      </c>
      <c r="G336" s="2">
        <f>SUM(tbl_raw[[#This Row],[storage_cost]:[freight_cost]])</f>
        <v>784.54</v>
      </c>
      <c r="H336" s="2">
        <f>tbl_profitability[[#This Row],[net_revenue_after_returns]]-tbl_profitability[[#This Row],[cogs]]-tbl_profitability[[#This Row],[operating_costs]]</f>
        <v>1763.0599999999995</v>
      </c>
      <c r="I336" s="10">
        <f>(tbl_profitability[[#This Row],[gross_revenue]]-tbl_profitability[[#This Row],[cogs]])/tbl_profitability[[#This Row],[gross_revenue]]</f>
        <v>0.54999999999999993</v>
      </c>
      <c r="J336" s="10">
        <f>tbl_profitability[[#This Row],[net_profit]]/tbl_profitability[[#This Row],[gross_revenue]]</f>
        <v>0.37944645316804398</v>
      </c>
      <c r="K336" s="2">
        <f>(tbl_profitability[[#This Row],[cogs]]+tbl_profitability[[#This Row],[return_loss]]+tbl_profitability[[#This Row],[operating_costs]])/tbl_raw[[#This Row],[units_sold]]</f>
        <v>131.06090909090909</v>
      </c>
      <c r="L336" s="8" t="str">
        <f>tbl_raw[[#This Row],[decision]]</f>
        <v>OPTIMIZE</v>
      </c>
    </row>
    <row r="337" spans="1:12" x14ac:dyDescent="0.35">
      <c r="A337" s="3" t="str">
        <f>tbl_raw[[#This Row],[product_id]]</f>
        <v>a319b66ab6cabbb2810942860c1c8a3c</v>
      </c>
      <c r="B337" s="4" t="str">
        <f>tbl_raw[[#This Row],[category]]</f>
        <v>construction_tools_construction</v>
      </c>
      <c r="C337" s="2">
        <f>tbl_raw[[#This Row],[gross_revenue]]</f>
        <v>4600</v>
      </c>
      <c r="D337" s="2">
        <f>tbl_raw[[#This Row],[return_loss]]</f>
        <v>0.72</v>
      </c>
      <c r="E337" s="2">
        <f t="shared" si="5"/>
        <v>4599.28</v>
      </c>
      <c r="F337" s="2">
        <f>tbl_raw[[#This Row],[cogs]]</f>
        <v>2070</v>
      </c>
      <c r="G337" s="2">
        <f>SUM(tbl_raw[[#This Row],[storage_cost]:[freight_cost]])</f>
        <v>95.8</v>
      </c>
      <c r="H337" s="2">
        <f>tbl_profitability[[#This Row],[net_revenue_after_returns]]-tbl_profitability[[#This Row],[cogs]]-tbl_profitability[[#This Row],[operating_costs]]</f>
        <v>2433.4799999999996</v>
      </c>
      <c r="I337" s="10">
        <f>(tbl_profitability[[#This Row],[gross_revenue]]-tbl_profitability[[#This Row],[cogs]])/tbl_profitability[[#This Row],[gross_revenue]]</f>
        <v>0.55000000000000004</v>
      </c>
      <c r="J337" s="10">
        <f>tbl_profitability[[#This Row],[net_profit]]/tbl_profitability[[#This Row],[gross_revenue]]</f>
        <v>0.52901739130434777</v>
      </c>
      <c r="K337" s="2">
        <f>(tbl_profitability[[#This Row],[cogs]]+tbl_profitability[[#This Row],[return_loss]]+tbl_profitability[[#This Row],[operating_costs]])/tbl_raw[[#This Row],[units_sold]]</f>
        <v>1083.26</v>
      </c>
      <c r="L337" s="8" t="str">
        <f>tbl_raw[[#This Row],[decision]]</f>
        <v>SCALE</v>
      </c>
    </row>
    <row r="338" spans="1:12" x14ac:dyDescent="0.35">
      <c r="A338" s="3" t="str">
        <f>tbl_raw[[#This Row],[product_id]]</f>
        <v>ee0c1cf2fbeae95205b4aa506f1469f0</v>
      </c>
      <c r="B338" s="4" t="str">
        <f>tbl_raw[[#This Row],[category]]</f>
        <v>perfumery</v>
      </c>
      <c r="C338" s="2">
        <f>tbl_raw[[#This Row],[gross_revenue]]</f>
        <v>4598.1099999999997</v>
      </c>
      <c r="D338" s="2">
        <f>tbl_raw[[#This Row],[return_loss]]</f>
        <v>32.04</v>
      </c>
      <c r="E338" s="2">
        <f t="shared" si="5"/>
        <v>4566.07</v>
      </c>
      <c r="F338" s="2">
        <f>tbl_raw[[#This Row],[cogs]]</f>
        <v>1931.21</v>
      </c>
      <c r="G338" s="2">
        <f>SUM(tbl_raw[[#This Row],[storage_cost]:[freight_cost]])</f>
        <v>1586.47</v>
      </c>
      <c r="H338" s="2">
        <f>tbl_profitability[[#This Row],[net_revenue_after_returns]]-tbl_profitability[[#This Row],[cogs]]-tbl_profitability[[#This Row],[operating_costs]]</f>
        <v>1048.3899999999996</v>
      </c>
      <c r="I338" s="10">
        <f>(tbl_profitability[[#This Row],[gross_revenue]]-tbl_profitability[[#This Row],[cogs]])/tbl_profitability[[#This Row],[gross_revenue]]</f>
        <v>0.57999917357348996</v>
      </c>
      <c r="J338" s="10">
        <f>tbl_profitability[[#This Row],[net_profit]]/tbl_profitability[[#This Row],[gross_revenue]]</f>
        <v>0.22800454969541828</v>
      </c>
      <c r="K338" s="2">
        <f>(tbl_profitability[[#This Row],[cogs]]+tbl_profitability[[#This Row],[return_loss]]+tbl_profitability[[#This Row],[operating_costs]])/tbl_raw[[#This Row],[units_sold]]</f>
        <v>39.884494382022474</v>
      </c>
      <c r="L338" s="8" t="str">
        <f>tbl_raw[[#This Row],[decision]]</f>
        <v>OPTIMIZE</v>
      </c>
    </row>
    <row r="339" spans="1:12" x14ac:dyDescent="0.35">
      <c r="A339" s="3" t="str">
        <f>tbl_raw[[#This Row],[product_id]]</f>
        <v>259037a6a41845e455183f89c5035f18</v>
      </c>
      <c r="B339" s="4" t="str">
        <f>tbl_raw[[#This Row],[category]]</f>
        <v>computers</v>
      </c>
      <c r="C339" s="2">
        <f>tbl_raw[[#This Row],[gross_revenue]]</f>
        <v>4590</v>
      </c>
      <c r="D339" s="2">
        <f>tbl_raw[[#This Row],[return_loss]]</f>
        <v>0.9</v>
      </c>
      <c r="E339" s="2">
        <f t="shared" si="5"/>
        <v>4589.1000000000004</v>
      </c>
      <c r="F339" s="2">
        <f>tbl_raw[[#This Row],[cogs]]</f>
        <v>2616.3000000000002</v>
      </c>
      <c r="G339" s="2">
        <f>SUM(tbl_raw[[#This Row],[storage_cost]:[freight_cost]])</f>
        <v>104.03</v>
      </c>
      <c r="H339" s="2">
        <f>tbl_profitability[[#This Row],[net_revenue_after_returns]]-tbl_profitability[[#This Row],[cogs]]-tbl_profitability[[#This Row],[operating_costs]]</f>
        <v>1868.7700000000002</v>
      </c>
      <c r="I339" s="10">
        <f>(tbl_profitability[[#This Row],[gross_revenue]]-tbl_profitability[[#This Row],[cogs]])/tbl_profitability[[#This Row],[gross_revenue]]</f>
        <v>0.42999999999999994</v>
      </c>
      <c r="J339" s="10">
        <f>tbl_profitability[[#This Row],[net_profit]]/tbl_profitability[[#This Row],[gross_revenue]]</f>
        <v>0.4071394335511983</v>
      </c>
      <c r="K339" s="2">
        <f>(tbl_profitability[[#This Row],[cogs]]+tbl_profitability[[#This Row],[return_loss]]+tbl_profitability[[#This Row],[operating_costs]])/tbl_raw[[#This Row],[units_sold]]</f>
        <v>2721.2300000000005</v>
      </c>
      <c r="L339" s="8" t="str">
        <f>tbl_raw[[#This Row],[decision]]</f>
        <v>SCALE</v>
      </c>
    </row>
    <row r="340" spans="1:12" x14ac:dyDescent="0.35">
      <c r="A340" s="3" t="str">
        <f>tbl_raw[[#This Row],[product_id]]</f>
        <v>cd48f265a63e13b762601f5f794c5fca</v>
      </c>
      <c r="B340" s="4" t="str">
        <f>tbl_raw[[#This Row],[category]]</f>
        <v>drinks</v>
      </c>
      <c r="C340" s="2">
        <f>tbl_raw[[#This Row],[gross_revenue]]</f>
        <v>4581.75</v>
      </c>
      <c r="D340" s="2">
        <f>tbl_raw[[#This Row],[return_loss]]</f>
        <v>9.3000000000000007</v>
      </c>
      <c r="E340" s="2">
        <f t="shared" si="5"/>
        <v>4572.45</v>
      </c>
      <c r="F340" s="2">
        <f>tbl_raw[[#This Row],[cogs]]</f>
        <v>2061.79</v>
      </c>
      <c r="G340" s="2">
        <f>SUM(tbl_raw[[#This Row],[storage_cost]:[freight_cost]])</f>
        <v>2070.0699999999997</v>
      </c>
      <c r="H340" s="2">
        <f>tbl_profitability[[#This Row],[net_revenue_after_returns]]-tbl_profitability[[#This Row],[cogs]]-tbl_profitability[[#This Row],[operating_costs]]</f>
        <v>440.59000000000015</v>
      </c>
      <c r="I340" s="10">
        <f>(tbl_profitability[[#This Row],[gross_revenue]]-tbl_profitability[[#This Row],[cogs]])/tbl_profitability[[#This Row],[gross_revenue]]</f>
        <v>0.54999945435695974</v>
      </c>
      <c r="J340" s="10">
        <f>tbl_profitability[[#This Row],[net_profit]]/tbl_profitability[[#This Row],[gross_revenue]]</f>
        <v>9.6161946854367908E-2</v>
      </c>
      <c r="K340" s="2">
        <f>(tbl_profitability[[#This Row],[cogs]]+tbl_profitability[[#This Row],[return_loss]]+tbl_profitability[[#This Row],[operating_costs]])/tbl_raw[[#This Row],[units_sold]]</f>
        <v>44.52860215053763</v>
      </c>
      <c r="L340" s="8" t="str">
        <f>tbl_raw[[#This Row],[decision]]</f>
        <v>EXIT</v>
      </c>
    </row>
    <row r="341" spans="1:12" x14ac:dyDescent="0.35">
      <c r="A341" s="3" t="str">
        <f>tbl_raw[[#This Row],[product_id]]</f>
        <v>ada6a9116c85d8e56232e0a4265d7db9</v>
      </c>
      <c r="B341" s="4" t="str">
        <f>tbl_raw[[#This Row],[category]]</f>
        <v>home_appliances_2</v>
      </c>
      <c r="C341" s="2">
        <f>tbl_raw[[#This Row],[gross_revenue]]</f>
        <v>4571</v>
      </c>
      <c r="D341" s="2">
        <f>tbl_raw[[#This Row],[return_loss]]</f>
        <v>0.72</v>
      </c>
      <c r="E341" s="2">
        <f t="shared" si="5"/>
        <v>4570.28</v>
      </c>
      <c r="F341" s="2">
        <f>tbl_raw[[#This Row],[cogs]]</f>
        <v>2605.4699999999998</v>
      </c>
      <c r="G341" s="2">
        <f>SUM(tbl_raw[[#This Row],[storage_cost]:[freight_cost]])</f>
        <v>239.34</v>
      </c>
      <c r="H341" s="2">
        <f>tbl_profitability[[#This Row],[net_revenue_after_returns]]-tbl_profitability[[#This Row],[cogs]]-tbl_profitability[[#This Row],[operating_costs]]</f>
        <v>1725.47</v>
      </c>
      <c r="I341" s="10">
        <f>(tbl_profitability[[#This Row],[gross_revenue]]-tbl_profitability[[#This Row],[cogs]])/tbl_profitability[[#This Row],[gross_revenue]]</f>
        <v>0.43000000000000005</v>
      </c>
      <c r="J341" s="10">
        <f>tbl_profitability[[#This Row],[net_profit]]/tbl_profitability[[#This Row],[gross_revenue]]</f>
        <v>0.37748195143294683</v>
      </c>
      <c r="K341" s="2">
        <f>(tbl_profitability[[#This Row],[cogs]]+tbl_profitability[[#This Row],[return_loss]]+tbl_profitability[[#This Row],[operating_costs]])/tbl_raw[[#This Row],[units_sold]]</f>
        <v>1422.7649999999999</v>
      </c>
      <c r="L341" s="8" t="str">
        <f>tbl_raw[[#This Row],[decision]]</f>
        <v>EXIT</v>
      </c>
    </row>
    <row r="342" spans="1:12" x14ac:dyDescent="0.35">
      <c r="A342" s="3" t="str">
        <f>tbl_raw[[#This Row],[product_id]]</f>
        <v>b68cf84ede4fd1e14b1740de5b727d55</v>
      </c>
      <c r="B342" s="4" t="str">
        <f>tbl_raw[[#This Row],[category]]</f>
        <v>health_beauty</v>
      </c>
      <c r="C342" s="2">
        <f>tbl_raw[[#This Row],[gross_revenue]]</f>
        <v>4557</v>
      </c>
      <c r="D342" s="2">
        <f>tbl_raw[[#This Row],[return_loss]]</f>
        <v>2.88</v>
      </c>
      <c r="E342" s="2">
        <f t="shared" si="5"/>
        <v>4554.12</v>
      </c>
      <c r="F342" s="2">
        <f>tbl_raw[[#This Row],[cogs]]</f>
        <v>1913.94</v>
      </c>
      <c r="G342" s="2">
        <f>SUM(tbl_raw[[#This Row],[storage_cost]:[freight_cost]])</f>
        <v>250.67</v>
      </c>
      <c r="H342" s="2">
        <f>tbl_profitability[[#This Row],[net_revenue_after_returns]]-tbl_profitability[[#This Row],[cogs]]-tbl_profitability[[#This Row],[operating_costs]]</f>
        <v>2389.5099999999998</v>
      </c>
      <c r="I342" s="10">
        <f>(tbl_profitability[[#This Row],[gross_revenue]]-tbl_profitability[[#This Row],[cogs]])/tbl_profitability[[#This Row],[gross_revenue]]</f>
        <v>0.57999999999999996</v>
      </c>
      <c r="J342" s="10">
        <f>tbl_profitability[[#This Row],[net_profit]]/tbl_profitability[[#This Row],[gross_revenue]]</f>
        <v>0.52436032477507122</v>
      </c>
      <c r="K342" s="2">
        <f>(tbl_profitability[[#This Row],[cogs]]+tbl_profitability[[#This Row],[return_loss]]+tbl_profitability[[#This Row],[operating_costs]])/tbl_raw[[#This Row],[units_sold]]</f>
        <v>270.93625000000003</v>
      </c>
      <c r="L342" s="8" t="str">
        <f>tbl_raw[[#This Row],[decision]]</f>
        <v>OPTIMIZE</v>
      </c>
    </row>
    <row r="343" spans="1:12" x14ac:dyDescent="0.35">
      <c r="A343" s="3" t="str">
        <f>tbl_raw[[#This Row],[product_id]]</f>
        <v>b2e22c958b453a43a650a579dcac2e43</v>
      </c>
      <c r="B343" s="4" t="str">
        <f>tbl_raw[[#This Row],[category]]</f>
        <v>watches_gifts</v>
      </c>
      <c r="C343" s="2">
        <f>tbl_raw[[#This Row],[gross_revenue]]</f>
        <v>4555.87</v>
      </c>
      <c r="D343" s="2">
        <f>tbl_raw[[#This Row],[return_loss]]</f>
        <v>4.32</v>
      </c>
      <c r="E343" s="2">
        <f t="shared" si="5"/>
        <v>4551.55</v>
      </c>
      <c r="F343" s="2">
        <f>tbl_raw[[#This Row],[cogs]]</f>
        <v>1913.47</v>
      </c>
      <c r="G343" s="2">
        <f>SUM(tbl_raw[[#This Row],[storage_cost]:[freight_cost]])</f>
        <v>231.76</v>
      </c>
      <c r="H343" s="2">
        <f>tbl_profitability[[#This Row],[net_revenue_after_returns]]-tbl_profitability[[#This Row],[cogs]]-tbl_profitability[[#This Row],[operating_costs]]</f>
        <v>2406.3199999999997</v>
      </c>
      <c r="I343" s="10">
        <f>(tbl_profitability[[#This Row],[gross_revenue]]-tbl_profitability[[#This Row],[cogs]])/tbl_profitability[[#This Row],[gross_revenue]]</f>
        <v>0.57999899031359536</v>
      </c>
      <c r="J343" s="10">
        <f>tbl_profitability[[#This Row],[net_profit]]/tbl_profitability[[#This Row],[gross_revenue]]</f>
        <v>0.5281801280545757</v>
      </c>
      <c r="K343" s="2">
        <f>(tbl_profitability[[#This Row],[cogs]]+tbl_profitability[[#This Row],[return_loss]]+tbl_profitability[[#This Row],[operating_costs]])/tbl_raw[[#This Row],[units_sold]]</f>
        <v>179.12916666666669</v>
      </c>
      <c r="L343" s="8" t="str">
        <f>tbl_raw[[#This Row],[decision]]</f>
        <v>SCALE</v>
      </c>
    </row>
    <row r="344" spans="1:12" x14ac:dyDescent="0.35">
      <c r="A344" s="3" t="str">
        <f>tbl_raw[[#This Row],[product_id]]</f>
        <v>64cc57332d82d99ae365b4f5f1048bd0</v>
      </c>
      <c r="B344" s="4" t="str">
        <f>tbl_raw[[#This Row],[category]]</f>
        <v>health_beauty</v>
      </c>
      <c r="C344" s="2">
        <f>tbl_raw[[#This Row],[gross_revenue]]</f>
        <v>4554.25</v>
      </c>
      <c r="D344" s="2">
        <f>tbl_raw[[#This Row],[return_loss]]</f>
        <v>1.8</v>
      </c>
      <c r="E344" s="2">
        <f t="shared" si="5"/>
        <v>4552.45</v>
      </c>
      <c r="F344" s="2">
        <f>tbl_raw[[#This Row],[cogs]]</f>
        <v>1912.79</v>
      </c>
      <c r="G344" s="2">
        <f>SUM(tbl_raw[[#This Row],[storage_cost]:[freight_cost]])</f>
        <v>180.72</v>
      </c>
      <c r="H344" s="2">
        <f>tbl_profitability[[#This Row],[net_revenue_after_returns]]-tbl_profitability[[#This Row],[cogs]]-tbl_profitability[[#This Row],[operating_costs]]</f>
        <v>2458.94</v>
      </c>
      <c r="I344" s="10">
        <f>(tbl_profitability[[#This Row],[gross_revenue]]-tbl_profitability[[#This Row],[cogs]])/tbl_profitability[[#This Row],[gross_revenue]]</f>
        <v>0.57999890212438932</v>
      </c>
      <c r="J344" s="10">
        <f>tbl_profitability[[#This Row],[net_profit]]/tbl_profitability[[#This Row],[gross_revenue]]</f>
        <v>0.5399220508316408</v>
      </c>
      <c r="K344" s="2">
        <f>(tbl_profitability[[#This Row],[cogs]]+tbl_profitability[[#This Row],[return_loss]]+tbl_profitability[[#This Row],[operating_costs]])/tbl_raw[[#This Row],[units_sold]]</f>
        <v>419.06200000000001</v>
      </c>
      <c r="L344" s="8" t="str">
        <f>tbl_raw[[#This Row],[decision]]</f>
        <v>SCALE</v>
      </c>
    </row>
    <row r="345" spans="1:12" x14ac:dyDescent="0.35">
      <c r="A345" s="3" t="str">
        <f>tbl_raw[[#This Row],[product_id]]</f>
        <v>5f19455f0c3902e89f16a6042bd4221d</v>
      </c>
      <c r="B345" s="4" t="str">
        <f>tbl_raw[[#This Row],[category]]</f>
        <v>health_beauty</v>
      </c>
      <c r="C345" s="2">
        <f>tbl_raw[[#This Row],[gross_revenue]]</f>
        <v>4543.3599999999997</v>
      </c>
      <c r="D345" s="2">
        <f>tbl_raw[[#This Row],[return_loss]]</f>
        <v>3.96</v>
      </c>
      <c r="E345" s="2">
        <f t="shared" si="5"/>
        <v>4539.3999999999996</v>
      </c>
      <c r="F345" s="2">
        <f>tbl_raw[[#This Row],[cogs]]</f>
        <v>1908.21</v>
      </c>
      <c r="G345" s="2">
        <f>SUM(tbl_raw[[#This Row],[storage_cost]:[freight_cost]])</f>
        <v>339.03</v>
      </c>
      <c r="H345" s="2">
        <f>tbl_profitability[[#This Row],[net_revenue_after_returns]]-tbl_profitability[[#This Row],[cogs]]-tbl_profitability[[#This Row],[operating_costs]]</f>
        <v>2292.16</v>
      </c>
      <c r="I345" s="10">
        <f>(tbl_profitability[[#This Row],[gross_revenue]]-tbl_profitability[[#This Row],[cogs]])/tbl_profitability[[#This Row],[gross_revenue]]</f>
        <v>0.58000026412170724</v>
      </c>
      <c r="J345" s="10">
        <f>tbl_profitability[[#This Row],[net_profit]]/tbl_profitability[[#This Row],[gross_revenue]]</f>
        <v>0.50450767713762501</v>
      </c>
      <c r="K345" s="2">
        <f>(tbl_profitability[[#This Row],[cogs]]+tbl_profitability[[#This Row],[return_loss]]+tbl_profitability[[#This Row],[operating_costs]])/tbl_raw[[#This Row],[units_sold]]</f>
        <v>204.65454545454543</v>
      </c>
      <c r="L345" s="8" t="str">
        <f>tbl_raw[[#This Row],[decision]]</f>
        <v>SCALE</v>
      </c>
    </row>
    <row r="346" spans="1:12" x14ac:dyDescent="0.35">
      <c r="A346" s="3" t="str">
        <f>tbl_raw[[#This Row],[product_id]]</f>
        <v>628b17449083fb34688b2959b80bdecd</v>
      </c>
      <c r="B346" s="4" t="str">
        <f>tbl_raw[[#This Row],[category]]</f>
        <v>auto</v>
      </c>
      <c r="C346" s="2">
        <f>tbl_raw[[#This Row],[gross_revenue]]</f>
        <v>4516</v>
      </c>
      <c r="D346" s="2">
        <f>tbl_raw[[#This Row],[return_loss]]</f>
        <v>0.72</v>
      </c>
      <c r="E346" s="2">
        <f t="shared" si="5"/>
        <v>4515.28</v>
      </c>
      <c r="F346" s="2">
        <f>tbl_raw[[#This Row],[cogs]]</f>
        <v>2032.2</v>
      </c>
      <c r="G346" s="2">
        <f>SUM(tbl_raw[[#This Row],[storage_cost]:[freight_cost]])</f>
        <v>128.5</v>
      </c>
      <c r="H346" s="2">
        <f>tbl_profitability[[#This Row],[net_revenue_after_returns]]-tbl_profitability[[#This Row],[cogs]]-tbl_profitability[[#This Row],[operating_costs]]</f>
        <v>2354.58</v>
      </c>
      <c r="I346" s="10">
        <f>(tbl_profitability[[#This Row],[gross_revenue]]-tbl_profitability[[#This Row],[cogs]])/tbl_profitability[[#This Row],[gross_revenue]]</f>
        <v>0.55000000000000004</v>
      </c>
      <c r="J346" s="10">
        <f>tbl_profitability[[#This Row],[net_profit]]/tbl_profitability[[#This Row],[gross_revenue]]</f>
        <v>0.52138618246235602</v>
      </c>
      <c r="K346" s="2">
        <f>(tbl_profitability[[#This Row],[cogs]]+tbl_profitability[[#This Row],[return_loss]]+tbl_profitability[[#This Row],[operating_costs]])/tbl_raw[[#This Row],[units_sold]]</f>
        <v>1080.71</v>
      </c>
      <c r="L346" s="8" t="str">
        <f>tbl_raw[[#This Row],[decision]]</f>
        <v>OPTIMIZE</v>
      </c>
    </row>
    <row r="347" spans="1:12" x14ac:dyDescent="0.35">
      <c r="A347" s="3" t="str">
        <f>tbl_raw[[#This Row],[product_id]]</f>
        <v>fe077ec80df6b4ee60bb4498d5ab1962</v>
      </c>
      <c r="B347" s="4" t="str">
        <f>tbl_raw[[#This Row],[category]]</f>
        <v>computers_accessories</v>
      </c>
      <c r="C347" s="2">
        <f>tbl_raw[[#This Row],[gross_revenue]]</f>
        <v>4497</v>
      </c>
      <c r="D347" s="2">
        <f>tbl_raw[[#This Row],[return_loss]]</f>
        <v>29.7</v>
      </c>
      <c r="E347" s="2">
        <f t="shared" si="5"/>
        <v>4467.3</v>
      </c>
      <c r="F347" s="2">
        <f>tbl_raw[[#This Row],[cogs]]</f>
        <v>2563.29</v>
      </c>
      <c r="G347" s="2">
        <f>SUM(tbl_raw[[#This Row],[storage_cost]:[freight_cost]])</f>
        <v>976.68</v>
      </c>
      <c r="H347" s="2">
        <f>tbl_profitability[[#This Row],[net_revenue_after_returns]]-tbl_profitability[[#This Row],[cogs]]-tbl_profitability[[#This Row],[operating_costs]]</f>
        <v>927.33000000000027</v>
      </c>
      <c r="I347" s="10">
        <f>(tbl_profitability[[#This Row],[gross_revenue]]-tbl_profitability[[#This Row],[cogs]])/tbl_profitability[[#This Row],[gross_revenue]]</f>
        <v>0.43</v>
      </c>
      <c r="J347" s="10">
        <f>tbl_profitability[[#This Row],[net_profit]]/tbl_profitability[[#This Row],[gross_revenue]]</f>
        <v>0.20621080720480325</v>
      </c>
      <c r="K347" s="2">
        <f>(tbl_profitability[[#This Row],[cogs]]+tbl_profitability[[#This Row],[return_loss]]+tbl_profitability[[#This Row],[operating_costs]])/tbl_raw[[#This Row],[units_sold]]</f>
        <v>108.17181818181817</v>
      </c>
      <c r="L347" s="8" t="str">
        <f>tbl_raw[[#This Row],[decision]]</f>
        <v>OPTIMIZE</v>
      </c>
    </row>
    <row r="348" spans="1:12" x14ac:dyDescent="0.35">
      <c r="A348" s="3" t="str">
        <f>tbl_raw[[#This Row],[product_id]]</f>
        <v>06fb87866499b0e65992b2d88aca8282</v>
      </c>
      <c r="B348" s="4" t="str">
        <f>tbl_raw[[#This Row],[category]]</f>
        <v>watches_gifts</v>
      </c>
      <c r="C348" s="2">
        <f>tbl_raw[[#This Row],[gross_revenue]]</f>
        <v>4495</v>
      </c>
      <c r="D348" s="2">
        <f>tbl_raw[[#This Row],[return_loss]]</f>
        <v>1.8</v>
      </c>
      <c r="E348" s="2">
        <f t="shared" si="5"/>
        <v>4493.2</v>
      </c>
      <c r="F348" s="2">
        <f>tbl_raw[[#This Row],[cogs]]</f>
        <v>1887.9</v>
      </c>
      <c r="G348" s="2">
        <f>SUM(tbl_raw[[#This Row],[storage_cost]:[freight_cost]])</f>
        <v>129.62</v>
      </c>
      <c r="H348" s="2">
        <f>tbl_profitability[[#This Row],[net_revenue_after_returns]]-tbl_profitability[[#This Row],[cogs]]-tbl_profitability[[#This Row],[operating_costs]]</f>
        <v>2475.6799999999998</v>
      </c>
      <c r="I348" s="10">
        <f>(tbl_profitability[[#This Row],[gross_revenue]]-tbl_profitability[[#This Row],[cogs]])/tbl_profitability[[#This Row],[gross_revenue]]</f>
        <v>0.57999999999999996</v>
      </c>
      <c r="J348" s="10">
        <f>tbl_profitability[[#This Row],[net_profit]]/tbl_profitability[[#This Row],[gross_revenue]]</f>
        <v>0.55076307007786429</v>
      </c>
      <c r="K348" s="2">
        <f>(tbl_profitability[[#This Row],[cogs]]+tbl_profitability[[#This Row],[return_loss]]+tbl_profitability[[#This Row],[operating_costs]])/tbl_raw[[#This Row],[units_sold]]</f>
        <v>403.86400000000003</v>
      </c>
      <c r="L348" s="8" t="str">
        <f>tbl_raw[[#This Row],[decision]]</f>
        <v>SCALE</v>
      </c>
    </row>
    <row r="349" spans="1:12" x14ac:dyDescent="0.35">
      <c r="A349" s="3" t="str">
        <f>tbl_raw[[#This Row],[product_id]]</f>
        <v>f6a84928571f68635beb0f5c9333c6f3</v>
      </c>
      <c r="B349" s="4" t="str">
        <f>tbl_raw[[#This Row],[category]]</f>
        <v>sports_leisure</v>
      </c>
      <c r="C349" s="2">
        <f>tbl_raw[[#This Row],[gross_revenue]]</f>
        <v>4495</v>
      </c>
      <c r="D349" s="2">
        <f>tbl_raw[[#This Row],[return_loss]]</f>
        <v>1.8</v>
      </c>
      <c r="E349" s="2">
        <f t="shared" si="5"/>
        <v>4493.2</v>
      </c>
      <c r="F349" s="2">
        <f>tbl_raw[[#This Row],[cogs]]</f>
        <v>1887.9</v>
      </c>
      <c r="G349" s="2">
        <f>SUM(tbl_raw[[#This Row],[storage_cost]:[freight_cost]])</f>
        <v>857.85</v>
      </c>
      <c r="H349" s="2">
        <f>tbl_profitability[[#This Row],[net_revenue_after_returns]]-tbl_profitability[[#This Row],[cogs]]-tbl_profitability[[#This Row],[operating_costs]]</f>
        <v>1747.4499999999998</v>
      </c>
      <c r="I349" s="10">
        <f>(tbl_profitability[[#This Row],[gross_revenue]]-tbl_profitability[[#This Row],[cogs]])/tbl_profitability[[#This Row],[gross_revenue]]</f>
        <v>0.57999999999999996</v>
      </c>
      <c r="J349" s="10">
        <f>tbl_profitability[[#This Row],[net_profit]]/tbl_profitability[[#This Row],[gross_revenue]]</f>
        <v>0.38875417130144602</v>
      </c>
      <c r="K349" s="2">
        <f>(tbl_profitability[[#This Row],[cogs]]+tbl_profitability[[#This Row],[return_loss]]+tbl_profitability[[#This Row],[operating_costs]])/tbl_raw[[#This Row],[units_sold]]</f>
        <v>549.51</v>
      </c>
      <c r="L349" s="8" t="str">
        <f>tbl_raw[[#This Row],[decision]]</f>
        <v>SCALE</v>
      </c>
    </row>
    <row r="350" spans="1:12" x14ac:dyDescent="0.35">
      <c r="A350" s="3" t="str">
        <f>tbl_raw[[#This Row],[product_id]]</f>
        <v>37b99aa22bbac19b2a4afc4b2a958a53</v>
      </c>
      <c r="B350" s="4" t="str">
        <f>tbl_raw[[#This Row],[category]]</f>
        <v>garden_tools</v>
      </c>
      <c r="C350" s="2">
        <f>tbl_raw[[#This Row],[gross_revenue]]</f>
        <v>4490.92</v>
      </c>
      <c r="D350" s="2">
        <f>tbl_raw[[#This Row],[return_loss]]</f>
        <v>6.12</v>
      </c>
      <c r="E350" s="2">
        <f t="shared" si="5"/>
        <v>4484.8</v>
      </c>
      <c r="F350" s="2">
        <f>tbl_raw[[#This Row],[cogs]]</f>
        <v>2020.91</v>
      </c>
      <c r="G350" s="2">
        <f>SUM(tbl_raw[[#This Row],[storage_cost]:[freight_cost]])</f>
        <v>1402.03</v>
      </c>
      <c r="H350" s="2">
        <f>tbl_profitability[[#This Row],[net_revenue_after_returns]]-tbl_profitability[[#This Row],[cogs]]-tbl_profitability[[#This Row],[operating_costs]]</f>
        <v>1061.8600000000004</v>
      </c>
      <c r="I350" s="10">
        <f>(tbl_profitability[[#This Row],[gross_revenue]]-tbl_profitability[[#This Row],[cogs]])/tbl_profitability[[#This Row],[gross_revenue]]</f>
        <v>0.55000089068609559</v>
      </c>
      <c r="J350" s="10">
        <f>tbl_profitability[[#This Row],[net_profit]]/tbl_profitability[[#This Row],[gross_revenue]]</f>
        <v>0.23644598434173852</v>
      </c>
      <c r="K350" s="2">
        <f>(tbl_profitability[[#This Row],[cogs]]+tbl_profitability[[#This Row],[return_loss]]+tbl_profitability[[#This Row],[operating_costs]])/tbl_raw[[#This Row],[units_sold]]</f>
        <v>201.70941176470589</v>
      </c>
      <c r="L350" s="8" t="str">
        <f>tbl_raw[[#This Row],[decision]]</f>
        <v>OPTIMIZE</v>
      </c>
    </row>
    <row r="351" spans="1:12" x14ac:dyDescent="0.35">
      <c r="A351" s="3" t="str">
        <f>tbl_raw[[#This Row],[product_id]]</f>
        <v>ba74c6b75d2ad7503175809688d5a03c</v>
      </c>
      <c r="B351" s="4" t="str">
        <f>tbl_raw[[#This Row],[category]]</f>
        <v>watches_gifts</v>
      </c>
      <c r="C351" s="2">
        <f>tbl_raw[[#This Row],[gross_revenue]]</f>
        <v>4488.25</v>
      </c>
      <c r="D351" s="2">
        <f>tbl_raw[[#This Row],[return_loss]]</f>
        <v>9</v>
      </c>
      <c r="E351" s="2">
        <f t="shared" si="5"/>
        <v>4479.25</v>
      </c>
      <c r="F351" s="2">
        <f>tbl_raw[[#This Row],[cogs]]</f>
        <v>1885.07</v>
      </c>
      <c r="G351" s="2">
        <f>SUM(tbl_raw[[#This Row],[storage_cost]:[freight_cost]])</f>
        <v>592.42000000000007</v>
      </c>
      <c r="H351" s="2">
        <f>tbl_profitability[[#This Row],[net_revenue_after_returns]]-tbl_profitability[[#This Row],[cogs]]-tbl_profitability[[#This Row],[operating_costs]]</f>
        <v>2001.7600000000002</v>
      </c>
      <c r="I351" s="10">
        <f>(tbl_profitability[[#This Row],[gross_revenue]]-tbl_profitability[[#This Row],[cogs]])/tbl_profitability[[#This Row],[gross_revenue]]</f>
        <v>0.57999888598005911</v>
      </c>
      <c r="J351" s="10">
        <f>tbl_profitability[[#This Row],[net_profit]]/tbl_profitability[[#This Row],[gross_revenue]]</f>
        <v>0.44600011140199414</v>
      </c>
      <c r="K351" s="2">
        <f>(tbl_profitability[[#This Row],[cogs]]+tbl_profitability[[#This Row],[return_loss]]+tbl_profitability[[#This Row],[operating_costs]])/tbl_raw[[#This Row],[units_sold]]</f>
        <v>99.459599999999995</v>
      </c>
      <c r="L351" s="8" t="str">
        <f>tbl_raw[[#This Row],[decision]]</f>
        <v>SCALE</v>
      </c>
    </row>
    <row r="352" spans="1:12" x14ac:dyDescent="0.35">
      <c r="A352" s="3" t="str">
        <f>tbl_raw[[#This Row],[product_id]]</f>
        <v>bef6177f54efb9a6218e124b629fc152</v>
      </c>
      <c r="B352" s="4" t="str">
        <f>tbl_raw[[#This Row],[category]]</f>
        <v>perfumery</v>
      </c>
      <c r="C352" s="2">
        <f>tbl_raw[[#This Row],[gross_revenue]]</f>
        <v>4478.79</v>
      </c>
      <c r="D352" s="2">
        <f>tbl_raw[[#This Row],[return_loss]]</f>
        <v>4.68</v>
      </c>
      <c r="E352" s="2">
        <f t="shared" si="5"/>
        <v>4474.1099999999997</v>
      </c>
      <c r="F352" s="2">
        <f>tbl_raw[[#This Row],[cogs]]</f>
        <v>1881.09</v>
      </c>
      <c r="G352" s="2">
        <f>SUM(tbl_raw[[#This Row],[storage_cost]:[freight_cost]])</f>
        <v>301.62</v>
      </c>
      <c r="H352" s="2">
        <f>tbl_profitability[[#This Row],[net_revenue_after_returns]]-tbl_profitability[[#This Row],[cogs]]-tbl_profitability[[#This Row],[operating_costs]]</f>
        <v>2291.3999999999996</v>
      </c>
      <c r="I352" s="10">
        <f>(tbl_profitability[[#This Row],[gross_revenue]]-tbl_profitability[[#This Row],[cogs]])/tbl_profitability[[#This Row],[gross_revenue]]</f>
        <v>0.58000040189426161</v>
      </c>
      <c r="J352" s="10">
        <f>tbl_profitability[[#This Row],[net_profit]]/tbl_profitability[[#This Row],[gross_revenue]]</f>
        <v>0.5116113950419644</v>
      </c>
      <c r="K352" s="2">
        <f>(tbl_profitability[[#This Row],[cogs]]+tbl_profitability[[#This Row],[return_loss]]+tbl_profitability[[#This Row],[operating_costs]])/tbl_raw[[#This Row],[units_sold]]</f>
        <v>168.26076923076923</v>
      </c>
      <c r="L352" s="8" t="str">
        <f>tbl_raw[[#This Row],[decision]]</f>
        <v>SCALE</v>
      </c>
    </row>
    <row r="353" spans="1:12" x14ac:dyDescent="0.35">
      <c r="A353" s="3" t="str">
        <f>tbl_raw[[#This Row],[product_id]]</f>
        <v>9ad75bd7267e5c724cb42c71ac56ca72</v>
      </c>
      <c r="B353" s="4" t="str">
        <f>tbl_raw[[#This Row],[category]]</f>
        <v>bed_bath_table</v>
      </c>
      <c r="C353" s="2">
        <f>tbl_raw[[#This Row],[gross_revenue]]</f>
        <v>4465.7</v>
      </c>
      <c r="D353" s="2">
        <f>tbl_raw[[#This Row],[return_loss]]</f>
        <v>15.48</v>
      </c>
      <c r="E353" s="2">
        <f t="shared" si="5"/>
        <v>4450.22</v>
      </c>
      <c r="F353" s="2">
        <f>tbl_raw[[#This Row],[cogs]]</f>
        <v>2009.57</v>
      </c>
      <c r="G353" s="2">
        <f>SUM(tbl_raw[[#This Row],[storage_cost]:[freight_cost]])</f>
        <v>1145.29</v>
      </c>
      <c r="H353" s="2">
        <f>tbl_profitability[[#This Row],[net_revenue_after_returns]]-tbl_profitability[[#This Row],[cogs]]-tbl_profitability[[#This Row],[operating_costs]]</f>
        <v>1295.3600000000006</v>
      </c>
      <c r="I353" s="10">
        <f>(tbl_profitability[[#This Row],[gross_revenue]]-tbl_profitability[[#This Row],[cogs]])/tbl_profitability[[#This Row],[gross_revenue]]</f>
        <v>0.54999888035470368</v>
      </c>
      <c r="J353" s="10">
        <f>tbl_profitability[[#This Row],[net_profit]]/tbl_profitability[[#This Row],[gross_revenue]]</f>
        <v>0.29006874622119727</v>
      </c>
      <c r="K353" s="2">
        <f>(tbl_profitability[[#This Row],[cogs]]+tbl_profitability[[#This Row],[return_loss]]+tbl_profitability[[#This Row],[operating_costs]])/tbl_raw[[#This Row],[units_sold]]</f>
        <v>73.728837209302327</v>
      </c>
      <c r="L353" s="8" t="str">
        <f>tbl_raw[[#This Row],[decision]]</f>
        <v>EXIT</v>
      </c>
    </row>
    <row r="354" spans="1:12" x14ac:dyDescent="0.35">
      <c r="A354" s="3" t="str">
        <f>tbl_raw[[#This Row],[product_id]]</f>
        <v>73326828aa5efe1ba096223de496f596</v>
      </c>
      <c r="B354" s="4" t="str">
        <f>tbl_raw[[#This Row],[category]]</f>
        <v>food</v>
      </c>
      <c r="C354" s="2">
        <f>tbl_raw[[#This Row],[gross_revenue]]</f>
        <v>4461.0200000000004</v>
      </c>
      <c r="D354" s="2">
        <f>tbl_raw[[#This Row],[return_loss]]</f>
        <v>5.4</v>
      </c>
      <c r="E354" s="2">
        <f t="shared" si="5"/>
        <v>4455.6200000000008</v>
      </c>
      <c r="F354" s="2">
        <f>tbl_raw[[#This Row],[cogs]]</f>
        <v>2007.46</v>
      </c>
      <c r="G354" s="2">
        <f>SUM(tbl_raw[[#This Row],[storage_cost]:[freight_cost]])</f>
        <v>1097.3200000000002</v>
      </c>
      <c r="H354" s="2">
        <f>tbl_profitability[[#This Row],[net_revenue_after_returns]]-tbl_profitability[[#This Row],[cogs]]-tbl_profitability[[#This Row],[operating_costs]]</f>
        <v>1350.8400000000006</v>
      </c>
      <c r="I354" s="10">
        <f>(tbl_profitability[[#This Row],[gross_revenue]]-tbl_profitability[[#This Row],[cogs]])/tbl_profitability[[#This Row],[gross_revenue]]</f>
        <v>0.54999977583601956</v>
      </c>
      <c r="J354" s="10">
        <f>tbl_profitability[[#This Row],[net_profit]]/tbl_profitability[[#This Row],[gross_revenue]]</f>
        <v>0.30280967133077197</v>
      </c>
      <c r="K354" s="2">
        <f>(tbl_profitability[[#This Row],[cogs]]+tbl_profitability[[#This Row],[return_loss]]+tbl_profitability[[#This Row],[operating_costs]])/tbl_raw[[#This Row],[units_sold]]</f>
        <v>57.595925925925933</v>
      </c>
      <c r="L354" s="8" t="str">
        <f>tbl_raw[[#This Row],[decision]]</f>
        <v>SCALE</v>
      </c>
    </row>
    <row r="355" spans="1:12" x14ac:dyDescent="0.35">
      <c r="A355" s="3" t="str">
        <f>tbl_raw[[#This Row],[product_id]]</f>
        <v>62d41a80c366aa2d8644e3270adf8440</v>
      </c>
      <c r="B355" s="4" t="str">
        <f>tbl_raw[[#This Row],[category]]</f>
        <v>computers_accessories</v>
      </c>
      <c r="C355" s="2">
        <f>tbl_raw[[#This Row],[gross_revenue]]</f>
        <v>4402.04</v>
      </c>
      <c r="D355" s="2">
        <f>tbl_raw[[#This Row],[return_loss]]</f>
        <v>16.2</v>
      </c>
      <c r="E355" s="2">
        <f t="shared" si="5"/>
        <v>4385.84</v>
      </c>
      <c r="F355" s="2">
        <f>tbl_raw[[#This Row],[cogs]]</f>
        <v>2509.16</v>
      </c>
      <c r="G355" s="2">
        <f>SUM(tbl_raw[[#This Row],[storage_cost]:[freight_cost]])</f>
        <v>505.56</v>
      </c>
      <c r="H355" s="2">
        <f>tbl_profitability[[#This Row],[net_revenue_after_returns]]-tbl_profitability[[#This Row],[cogs]]-tbl_profitability[[#This Row],[operating_costs]]</f>
        <v>1371.1200000000003</v>
      </c>
      <c r="I355" s="10">
        <f>(tbl_profitability[[#This Row],[gross_revenue]]-tbl_profitability[[#This Row],[cogs]])/tbl_profitability[[#This Row],[gross_revenue]]</f>
        <v>0.43000063606873179</v>
      </c>
      <c r="J355" s="10">
        <f>tbl_profitability[[#This Row],[net_profit]]/tbl_profitability[[#This Row],[gross_revenue]]</f>
        <v>0.31147377125151077</v>
      </c>
      <c r="K355" s="2">
        <f>(tbl_profitability[[#This Row],[cogs]]+tbl_profitability[[#This Row],[return_loss]]+tbl_profitability[[#This Row],[operating_costs]])/tbl_raw[[#This Row],[units_sold]]</f>
        <v>168.38444444444443</v>
      </c>
      <c r="L355" s="8" t="str">
        <f>tbl_raw[[#This Row],[decision]]</f>
        <v>OPTIMIZE</v>
      </c>
    </row>
    <row r="356" spans="1:12" x14ac:dyDescent="0.35">
      <c r="A356" s="3" t="str">
        <f>tbl_raw[[#This Row],[product_id]]</f>
        <v>a1beef8f3992dbd4cd8726796aa69c53</v>
      </c>
      <c r="B356" s="4" t="str">
        <f>tbl_raw[[#This Row],[category]]</f>
        <v>musical_instruments</v>
      </c>
      <c r="C356" s="2">
        <f>tbl_raw[[#This Row],[gross_revenue]]</f>
        <v>4399.87</v>
      </c>
      <c r="D356" s="2">
        <f>tbl_raw[[#This Row],[return_loss]]</f>
        <v>0.1</v>
      </c>
      <c r="E356" s="2">
        <f t="shared" si="5"/>
        <v>4399.7699999999995</v>
      </c>
      <c r="F356" s="2">
        <f>tbl_raw[[#This Row],[cogs]]</f>
        <v>1759.95</v>
      </c>
      <c r="G356" s="2">
        <f>SUM(tbl_raw[[#This Row],[storage_cost]:[freight_cost]])</f>
        <v>122.2</v>
      </c>
      <c r="H356" s="2">
        <f>tbl_profitability[[#This Row],[net_revenue_after_returns]]-tbl_profitability[[#This Row],[cogs]]-tbl_profitability[[#This Row],[operating_costs]]</f>
        <v>2517.62</v>
      </c>
      <c r="I356" s="10">
        <f>(tbl_profitability[[#This Row],[gross_revenue]]-tbl_profitability[[#This Row],[cogs]])/tbl_profitability[[#This Row],[gross_revenue]]</f>
        <v>0.59999954544111533</v>
      </c>
      <c r="J356" s="10">
        <f>tbl_profitability[[#This Row],[net_profit]]/tbl_profitability[[#This Row],[gross_revenue]]</f>
        <v>0.57220326964205759</v>
      </c>
      <c r="K356" s="2">
        <f>(tbl_profitability[[#This Row],[cogs]]+tbl_profitability[[#This Row],[return_loss]]+tbl_profitability[[#This Row],[operating_costs]])/tbl_raw[[#This Row],[units_sold]]</f>
        <v>1882.25</v>
      </c>
      <c r="L356" s="8" t="str">
        <f>tbl_raw[[#This Row],[decision]]</f>
        <v>SCALE</v>
      </c>
    </row>
    <row r="357" spans="1:12" x14ac:dyDescent="0.35">
      <c r="A357" s="3" t="str">
        <f>tbl_raw[[#This Row],[product_id]]</f>
        <v>78b7b1ff2d3f06a589354ddf2f4f9db3</v>
      </c>
      <c r="B357" s="4" t="str">
        <f>tbl_raw[[#This Row],[category]]</f>
        <v>perfumery</v>
      </c>
      <c r="C357" s="2">
        <f>tbl_raw[[#This Row],[gross_revenue]]</f>
        <v>4393.5</v>
      </c>
      <c r="D357" s="2">
        <f>tbl_raw[[#This Row],[return_loss]]</f>
        <v>5.4</v>
      </c>
      <c r="E357" s="2">
        <f t="shared" si="5"/>
        <v>4388.1000000000004</v>
      </c>
      <c r="F357" s="2">
        <f>tbl_raw[[#This Row],[cogs]]</f>
        <v>1845.27</v>
      </c>
      <c r="G357" s="2">
        <f>SUM(tbl_raw[[#This Row],[storage_cost]:[freight_cost]])</f>
        <v>349.21</v>
      </c>
      <c r="H357" s="2">
        <f>tbl_profitability[[#This Row],[net_revenue_after_returns]]-tbl_profitability[[#This Row],[cogs]]-tbl_profitability[[#This Row],[operating_costs]]</f>
        <v>2193.6200000000003</v>
      </c>
      <c r="I357" s="10">
        <f>(tbl_profitability[[#This Row],[gross_revenue]]-tbl_profitability[[#This Row],[cogs]])/tbl_profitability[[#This Row],[gross_revenue]]</f>
        <v>0.57999999999999996</v>
      </c>
      <c r="J357" s="10">
        <f>tbl_profitability[[#This Row],[net_profit]]/tbl_profitability[[#This Row],[gross_revenue]]</f>
        <v>0.49928758393080697</v>
      </c>
      <c r="K357" s="2">
        <f>(tbl_profitability[[#This Row],[cogs]]+tbl_profitability[[#This Row],[return_loss]]+tbl_profitability[[#This Row],[operating_costs]])/tbl_raw[[#This Row],[units_sold]]</f>
        <v>146.65866666666668</v>
      </c>
      <c r="L357" s="8" t="str">
        <f>tbl_raw[[#This Row],[decision]]</f>
        <v>SCALE</v>
      </c>
    </row>
    <row r="358" spans="1:12" x14ac:dyDescent="0.35">
      <c r="A358" s="3" t="str">
        <f>tbl_raw[[#This Row],[product_id]]</f>
        <v>f69581741831e1dcd24e28e299ad36ff</v>
      </c>
      <c r="B358" s="4" t="str">
        <f>tbl_raw[[#This Row],[category]]</f>
        <v>small_appliances</v>
      </c>
      <c r="C358" s="2">
        <f>tbl_raw[[#This Row],[gross_revenue]]</f>
        <v>4392</v>
      </c>
      <c r="D358" s="2">
        <f>tbl_raw[[#This Row],[return_loss]]</f>
        <v>1.44</v>
      </c>
      <c r="E358" s="2">
        <f t="shared" si="5"/>
        <v>4390.5600000000004</v>
      </c>
      <c r="F358" s="2">
        <f>tbl_raw[[#This Row],[cogs]]</f>
        <v>2503.44</v>
      </c>
      <c r="G358" s="2">
        <f>SUM(tbl_raw[[#This Row],[storage_cost]:[freight_cost]])</f>
        <v>293</v>
      </c>
      <c r="H358" s="2">
        <f>tbl_profitability[[#This Row],[net_revenue_after_returns]]-tbl_profitability[[#This Row],[cogs]]-tbl_profitability[[#This Row],[operating_costs]]</f>
        <v>1594.1200000000003</v>
      </c>
      <c r="I358" s="10">
        <f>(tbl_profitability[[#This Row],[gross_revenue]]-tbl_profitability[[#This Row],[cogs]])/tbl_profitability[[#This Row],[gross_revenue]]</f>
        <v>0.43</v>
      </c>
      <c r="J358" s="10">
        <f>tbl_profitability[[#This Row],[net_profit]]/tbl_profitability[[#This Row],[gross_revenue]]</f>
        <v>0.3629599271402551</v>
      </c>
      <c r="K358" s="2">
        <f>(tbl_profitability[[#This Row],[cogs]]+tbl_profitability[[#This Row],[return_loss]]+tbl_profitability[[#This Row],[operating_costs]])/tbl_raw[[#This Row],[units_sold]]</f>
        <v>699.47</v>
      </c>
      <c r="L358" s="8" t="str">
        <f>tbl_raw[[#This Row],[decision]]</f>
        <v>SCALE</v>
      </c>
    </row>
    <row r="359" spans="1:12" x14ac:dyDescent="0.35">
      <c r="A359" s="3" t="str">
        <f>tbl_raw[[#This Row],[product_id]]</f>
        <v>880be32f4db1d9f6e2bec38fb6ac23ab</v>
      </c>
      <c r="B359" s="4" t="str">
        <f>tbl_raw[[#This Row],[category]]</f>
        <v>toys</v>
      </c>
      <c r="C359" s="2">
        <f>tbl_raw[[#This Row],[gross_revenue]]</f>
        <v>4353.42</v>
      </c>
      <c r="D359" s="2">
        <f>tbl_raw[[#This Row],[return_loss]]</f>
        <v>35.64</v>
      </c>
      <c r="E359" s="2">
        <f t="shared" si="5"/>
        <v>4317.78</v>
      </c>
      <c r="F359" s="2">
        <f>tbl_raw[[#This Row],[cogs]]</f>
        <v>1828.44</v>
      </c>
      <c r="G359" s="2">
        <f>SUM(tbl_raw[[#This Row],[storage_cost]:[freight_cost]])</f>
        <v>1897.84</v>
      </c>
      <c r="H359" s="2">
        <f>tbl_profitability[[#This Row],[net_revenue_after_returns]]-tbl_profitability[[#This Row],[cogs]]-tbl_profitability[[#This Row],[operating_costs]]</f>
        <v>591.49999999999977</v>
      </c>
      <c r="I359" s="10">
        <f>(tbl_profitability[[#This Row],[gross_revenue]]-tbl_profitability[[#This Row],[cogs]])/tbl_profitability[[#This Row],[gross_revenue]]</f>
        <v>0.57999917306393589</v>
      </c>
      <c r="J359" s="10">
        <f>tbl_profitability[[#This Row],[net_profit]]/tbl_profitability[[#This Row],[gross_revenue]]</f>
        <v>0.13587018941429951</v>
      </c>
      <c r="K359" s="2">
        <f>(tbl_profitability[[#This Row],[cogs]]+tbl_profitability[[#This Row],[return_loss]]+tbl_profitability[[#This Row],[operating_costs]])/tbl_raw[[#This Row],[units_sold]]</f>
        <v>37.999191919191922</v>
      </c>
      <c r="L359" s="8" t="str">
        <f>tbl_raw[[#This Row],[decision]]</f>
        <v>OPTIMIZE</v>
      </c>
    </row>
    <row r="360" spans="1:12" x14ac:dyDescent="0.35">
      <c r="A360" s="3" t="str">
        <f>tbl_raw[[#This Row],[product_id]]</f>
        <v>20f160a9cf2e856ee5eba259e9ae33f9</v>
      </c>
      <c r="B360" s="4" t="str">
        <f>tbl_raw[[#This Row],[category]]</f>
        <v>perfumery</v>
      </c>
      <c r="C360" s="2">
        <f>tbl_raw[[#This Row],[gross_revenue]]</f>
        <v>4350.7700000000004</v>
      </c>
      <c r="D360" s="2">
        <f>tbl_raw[[#This Row],[return_loss]]</f>
        <v>8.64</v>
      </c>
      <c r="E360" s="2">
        <f t="shared" si="5"/>
        <v>4342.13</v>
      </c>
      <c r="F360" s="2">
        <f>tbl_raw[[#This Row],[cogs]]</f>
        <v>1827.32</v>
      </c>
      <c r="G360" s="2">
        <f>SUM(tbl_raw[[#This Row],[storage_cost]:[freight_cost]])</f>
        <v>537.01</v>
      </c>
      <c r="H360" s="2">
        <f>tbl_profitability[[#This Row],[net_revenue_after_returns]]-tbl_profitability[[#This Row],[cogs]]-tbl_profitability[[#This Row],[operating_costs]]</f>
        <v>1977.8000000000004</v>
      </c>
      <c r="I360" s="10">
        <f>(tbl_profitability[[#This Row],[gross_revenue]]-tbl_profitability[[#This Row],[cogs]])/tbl_profitability[[#This Row],[gross_revenue]]</f>
        <v>0.5800007814708662</v>
      </c>
      <c r="J360" s="10">
        <f>tbl_profitability[[#This Row],[net_profit]]/tbl_profitability[[#This Row],[gross_revenue]]</f>
        <v>0.45458619968419389</v>
      </c>
      <c r="K360" s="2">
        <f>(tbl_profitability[[#This Row],[cogs]]+tbl_profitability[[#This Row],[return_loss]]+tbl_profitability[[#This Row],[operating_costs]])/tbl_raw[[#This Row],[units_sold]]</f>
        <v>98.873750000000015</v>
      </c>
      <c r="L360" s="8" t="str">
        <f>tbl_raw[[#This Row],[decision]]</f>
        <v>SCALE</v>
      </c>
    </row>
    <row r="361" spans="1:12" x14ac:dyDescent="0.35">
      <c r="A361" s="3" t="str">
        <f>tbl_raw[[#This Row],[product_id]]</f>
        <v>705affd495e328b5af6d73bc403c6bcf</v>
      </c>
      <c r="B361" s="4" t="str">
        <f>tbl_raw[[#This Row],[category]]</f>
        <v>small_appliances</v>
      </c>
      <c r="C361" s="2">
        <f>tbl_raw[[#This Row],[gross_revenue]]</f>
        <v>4347</v>
      </c>
      <c r="D361" s="2">
        <f>tbl_raw[[#This Row],[return_loss]]</f>
        <v>1.08</v>
      </c>
      <c r="E361" s="2">
        <f t="shared" si="5"/>
        <v>4345.92</v>
      </c>
      <c r="F361" s="2">
        <f>tbl_raw[[#This Row],[cogs]]</f>
        <v>2477.79</v>
      </c>
      <c r="G361" s="2">
        <f>SUM(tbl_raw[[#This Row],[storage_cost]:[freight_cost]])</f>
        <v>124.3</v>
      </c>
      <c r="H361" s="2">
        <f>tbl_profitability[[#This Row],[net_revenue_after_returns]]-tbl_profitability[[#This Row],[cogs]]-tbl_profitability[[#This Row],[operating_costs]]</f>
        <v>1743.8300000000002</v>
      </c>
      <c r="I361" s="10">
        <f>(tbl_profitability[[#This Row],[gross_revenue]]-tbl_profitability[[#This Row],[cogs]])/tbl_profitability[[#This Row],[gross_revenue]]</f>
        <v>0.43</v>
      </c>
      <c r="J361" s="10">
        <f>tbl_profitability[[#This Row],[net_profit]]/tbl_profitability[[#This Row],[gross_revenue]]</f>
        <v>0.40115711985277208</v>
      </c>
      <c r="K361" s="2">
        <f>(tbl_profitability[[#This Row],[cogs]]+tbl_profitability[[#This Row],[return_loss]]+tbl_profitability[[#This Row],[operating_costs]])/tbl_raw[[#This Row],[units_sold]]</f>
        <v>867.72333333333336</v>
      </c>
      <c r="L361" s="8" t="str">
        <f>tbl_raw[[#This Row],[decision]]</f>
        <v>SCALE</v>
      </c>
    </row>
    <row r="362" spans="1:12" x14ac:dyDescent="0.35">
      <c r="A362" s="3" t="str">
        <f>tbl_raw[[#This Row],[product_id]]</f>
        <v>159dc4423e5092c3baa443379a458fa9</v>
      </c>
      <c r="B362" s="4" t="str">
        <f>tbl_raw[[#This Row],[category]]</f>
        <v>health_beauty</v>
      </c>
      <c r="C362" s="2">
        <f>tbl_raw[[#This Row],[gross_revenue]]</f>
        <v>4329.96</v>
      </c>
      <c r="D362" s="2">
        <f>tbl_raw[[#This Row],[return_loss]]</f>
        <v>3.24</v>
      </c>
      <c r="E362" s="2">
        <f t="shared" si="5"/>
        <v>4326.72</v>
      </c>
      <c r="F362" s="2">
        <f>tbl_raw[[#This Row],[cogs]]</f>
        <v>1818.58</v>
      </c>
      <c r="G362" s="2">
        <f>SUM(tbl_raw[[#This Row],[storage_cost]:[freight_cost]])</f>
        <v>214.49</v>
      </c>
      <c r="H362" s="2">
        <f>tbl_profitability[[#This Row],[net_revenue_after_returns]]-tbl_profitability[[#This Row],[cogs]]-tbl_profitability[[#This Row],[operating_costs]]</f>
        <v>2293.6500000000005</v>
      </c>
      <c r="I362" s="10">
        <f>(tbl_profitability[[#This Row],[gross_revenue]]-tbl_profitability[[#This Row],[cogs]])/tbl_profitability[[#This Row],[gross_revenue]]</f>
        <v>0.58000073903685023</v>
      </c>
      <c r="J362" s="10">
        <f>tbl_profitability[[#This Row],[net_profit]]/tbl_profitability[[#This Row],[gross_revenue]]</f>
        <v>0.52971620984951373</v>
      </c>
      <c r="K362" s="2">
        <f>(tbl_profitability[[#This Row],[cogs]]+tbl_profitability[[#This Row],[return_loss]]+tbl_profitability[[#This Row],[operating_costs]])/tbl_raw[[#This Row],[units_sold]]</f>
        <v>226.25666666666666</v>
      </c>
      <c r="L362" s="8" t="str">
        <f>tbl_raw[[#This Row],[decision]]</f>
        <v>OPTIMIZE</v>
      </c>
    </row>
    <row r="363" spans="1:12" x14ac:dyDescent="0.35">
      <c r="A363" s="3" t="str">
        <f>tbl_raw[[#This Row],[product_id]]</f>
        <v>11875b30b49585209e608f40e8082e65</v>
      </c>
      <c r="B363" s="4" t="str">
        <f>tbl_raw[[#This Row],[category]]</f>
        <v>sports_leisure</v>
      </c>
      <c r="C363" s="2">
        <f>tbl_raw[[#This Row],[gross_revenue]]</f>
        <v>4329.8</v>
      </c>
      <c r="D363" s="2">
        <f>tbl_raw[[#This Row],[return_loss]]</f>
        <v>23.76</v>
      </c>
      <c r="E363" s="2">
        <f t="shared" si="5"/>
        <v>4306.04</v>
      </c>
      <c r="F363" s="2">
        <f>tbl_raw[[#This Row],[cogs]]</f>
        <v>1818.52</v>
      </c>
      <c r="G363" s="2">
        <f>SUM(tbl_raw[[#This Row],[storage_cost]:[freight_cost]])</f>
        <v>1713.28</v>
      </c>
      <c r="H363" s="2">
        <f>tbl_profitability[[#This Row],[net_revenue_after_returns]]-tbl_profitability[[#This Row],[cogs]]-tbl_profitability[[#This Row],[operating_costs]]</f>
        <v>774.24</v>
      </c>
      <c r="I363" s="10">
        <f>(tbl_profitability[[#This Row],[gross_revenue]]-tbl_profitability[[#This Row],[cogs]])/tbl_profitability[[#This Row],[gross_revenue]]</f>
        <v>0.57999907616980007</v>
      </c>
      <c r="J363" s="10">
        <f>tbl_profitability[[#This Row],[net_profit]]/tbl_profitability[[#This Row],[gross_revenue]]</f>
        <v>0.17881657351378816</v>
      </c>
      <c r="K363" s="2">
        <f>(tbl_profitability[[#This Row],[cogs]]+tbl_profitability[[#This Row],[return_loss]]+tbl_profitability[[#This Row],[operating_costs]])/tbl_raw[[#This Row],[units_sold]]</f>
        <v>53.872121212121215</v>
      </c>
      <c r="L363" s="8" t="str">
        <f>tbl_raw[[#This Row],[decision]]</f>
        <v>OPTIMIZE</v>
      </c>
    </row>
    <row r="364" spans="1:12" x14ac:dyDescent="0.35">
      <c r="A364" s="3" t="str">
        <f>tbl_raw[[#This Row],[product_id]]</f>
        <v>f4d450a6163f21cf9db8bcdf8c7e50f8</v>
      </c>
      <c r="B364" s="4" t="str">
        <f>tbl_raw[[#This Row],[category]]</f>
        <v>office_furniture</v>
      </c>
      <c r="C364" s="2">
        <f>tbl_raw[[#This Row],[gross_revenue]]</f>
        <v>4317</v>
      </c>
      <c r="D364" s="2">
        <f>tbl_raw[[#This Row],[return_loss]]</f>
        <v>5.4</v>
      </c>
      <c r="E364" s="2">
        <f t="shared" si="5"/>
        <v>4311.6000000000004</v>
      </c>
      <c r="F364" s="2">
        <f>tbl_raw[[#This Row],[cogs]]</f>
        <v>1942.65</v>
      </c>
      <c r="G364" s="2">
        <f>SUM(tbl_raw[[#This Row],[storage_cost]:[freight_cost]])</f>
        <v>1363.98</v>
      </c>
      <c r="H364" s="2">
        <f>tbl_profitability[[#This Row],[net_revenue_after_returns]]-tbl_profitability[[#This Row],[cogs]]-tbl_profitability[[#This Row],[operating_costs]]</f>
        <v>1004.9700000000003</v>
      </c>
      <c r="I364" s="10">
        <f>(tbl_profitability[[#This Row],[gross_revenue]]-tbl_profitability[[#This Row],[cogs]])/tbl_profitability[[#This Row],[gross_revenue]]</f>
        <v>0.54999999999999993</v>
      </c>
      <c r="J364" s="10">
        <f>tbl_profitability[[#This Row],[net_profit]]/tbl_profitability[[#This Row],[gross_revenue]]</f>
        <v>0.23279360667129959</v>
      </c>
      <c r="K364" s="2">
        <f>(tbl_profitability[[#This Row],[cogs]]+tbl_profitability[[#This Row],[return_loss]]+tbl_profitability[[#This Row],[operating_costs]])/tbl_raw[[#This Row],[units_sold]]</f>
        <v>220.80200000000002</v>
      </c>
      <c r="L364" s="8" t="str">
        <f>tbl_raw[[#This Row],[decision]]</f>
        <v>OPTIMIZE</v>
      </c>
    </row>
    <row r="365" spans="1:12" x14ac:dyDescent="0.35">
      <c r="A365" s="3" t="str">
        <f>tbl_raw[[#This Row],[product_id]]</f>
        <v>cc3181a81384b6fc34602d49cb6068a6</v>
      </c>
      <c r="B365" s="4" t="str">
        <f>tbl_raw[[#This Row],[category]]</f>
        <v>home_appliances_2</v>
      </c>
      <c r="C365" s="2">
        <f>tbl_raw[[#This Row],[gross_revenue]]</f>
        <v>4310</v>
      </c>
      <c r="D365" s="2">
        <f>tbl_raw[[#This Row],[return_loss]]</f>
        <v>1.44</v>
      </c>
      <c r="E365" s="2">
        <f t="shared" si="5"/>
        <v>4308.5600000000004</v>
      </c>
      <c r="F365" s="2">
        <f>tbl_raw[[#This Row],[cogs]]</f>
        <v>2456.6999999999998</v>
      </c>
      <c r="G365" s="2">
        <f>SUM(tbl_raw[[#This Row],[storage_cost]:[freight_cost]])</f>
        <v>359.58</v>
      </c>
      <c r="H365" s="2">
        <f>tbl_profitability[[#This Row],[net_revenue_after_returns]]-tbl_profitability[[#This Row],[cogs]]-tbl_profitability[[#This Row],[operating_costs]]</f>
        <v>1492.2800000000007</v>
      </c>
      <c r="I365" s="10">
        <f>(tbl_profitability[[#This Row],[gross_revenue]]-tbl_profitability[[#This Row],[cogs]])/tbl_profitability[[#This Row],[gross_revenue]]</f>
        <v>0.43000000000000005</v>
      </c>
      <c r="J365" s="10">
        <f>tbl_profitability[[#This Row],[net_profit]]/tbl_profitability[[#This Row],[gross_revenue]]</f>
        <v>0.34623665893271477</v>
      </c>
      <c r="K365" s="2">
        <f>(tbl_profitability[[#This Row],[cogs]]+tbl_profitability[[#This Row],[return_loss]]+tbl_profitability[[#This Row],[operating_costs]])/tbl_raw[[#This Row],[units_sold]]</f>
        <v>704.43</v>
      </c>
      <c r="L365" s="8" t="str">
        <f>tbl_raw[[#This Row],[decision]]</f>
        <v>SCALE</v>
      </c>
    </row>
    <row r="366" spans="1:12" x14ac:dyDescent="0.35">
      <c r="A366" s="3" t="str">
        <f>tbl_raw[[#This Row],[product_id]]</f>
        <v>34742604f6cd1e891726b849b6890f81</v>
      </c>
      <c r="B366" s="4" t="str">
        <f>tbl_raw[[#This Row],[category]]</f>
        <v>sports_leisure</v>
      </c>
      <c r="C366" s="2">
        <f>tbl_raw[[#This Row],[gross_revenue]]</f>
        <v>4295</v>
      </c>
      <c r="D366" s="2">
        <f>tbl_raw[[#This Row],[return_loss]]</f>
        <v>1.8</v>
      </c>
      <c r="E366" s="2">
        <f t="shared" si="5"/>
        <v>4293.2</v>
      </c>
      <c r="F366" s="2">
        <f>tbl_raw[[#This Row],[cogs]]</f>
        <v>1803.9</v>
      </c>
      <c r="G366" s="2">
        <f>SUM(tbl_raw[[#This Row],[storage_cost]:[freight_cost]])</f>
        <v>452.99</v>
      </c>
      <c r="H366" s="2">
        <f>tbl_profitability[[#This Row],[net_revenue_after_returns]]-tbl_profitability[[#This Row],[cogs]]-tbl_profitability[[#This Row],[operating_costs]]</f>
        <v>2036.3099999999997</v>
      </c>
      <c r="I366" s="10">
        <f>(tbl_profitability[[#This Row],[gross_revenue]]-tbl_profitability[[#This Row],[cogs]])/tbl_profitability[[#This Row],[gross_revenue]]</f>
        <v>0.57999999999999996</v>
      </c>
      <c r="J366" s="10">
        <f>tbl_profitability[[#This Row],[net_profit]]/tbl_profitability[[#This Row],[gross_revenue]]</f>
        <v>0.47411175785797433</v>
      </c>
      <c r="K366" s="2">
        <f>(tbl_profitability[[#This Row],[cogs]]+tbl_profitability[[#This Row],[return_loss]]+tbl_profitability[[#This Row],[operating_costs]])/tbl_raw[[#This Row],[units_sold]]</f>
        <v>451.738</v>
      </c>
      <c r="L366" s="8" t="str">
        <f>tbl_raw[[#This Row],[decision]]</f>
        <v>SCALE</v>
      </c>
    </row>
    <row r="367" spans="1:12" x14ac:dyDescent="0.35">
      <c r="A367" s="3" t="str">
        <f>tbl_raw[[#This Row],[product_id]]</f>
        <v>d04bbac48960ecb7ea311b00ca6e1cb7</v>
      </c>
      <c r="B367" s="4" t="str">
        <f>tbl_raw[[#This Row],[category]]</f>
        <v>industry_commerce_and_business</v>
      </c>
      <c r="C367" s="2">
        <f>tbl_raw[[#This Row],[gross_revenue]]</f>
        <v>4293</v>
      </c>
      <c r="D367" s="2">
        <f>tbl_raw[[#This Row],[return_loss]]</f>
        <v>14.76</v>
      </c>
      <c r="E367" s="2">
        <f t="shared" si="5"/>
        <v>4278.24</v>
      </c>
      <c r="F367" s="2">
        <f>tbl_raw[[#This Row],[cogs]]</f>
        <v>1931.85</v>
      </c>
      <c r="G367" s="2">
        <f>SUM(tbl_raw[[#This Row],[storage_cost]:[freight_cost]])</f>
        <v>1257.1300000000001</v>
      </c>
      <c r="H367" s="2">
        <f>tbl_profitability[[#This Row],[net_revenue_after_returns]]-tbl_profitability[[#This Row],[cogs]]-tbl_profitability[[#This Row],[operating_costs]]</f>
        <v>1089.2599999999998</v>
      </c>
      <c r="I367" s="10">
        <f>(tbl_profitability[[#This Row],[gross_revenue]]-tbl_profitability[[#This Row],[cogs]])/tbl_profitability[[#This Row],[gross_revenue]]</f>
        <v>0.55000000000000004</v>
      </c>
      <c r="J367" s="10">
        <f>tbl_profitability[[#This Row],[net_profit]]/tbl_profitability[[#This Row],[gross_revenue]]</f>
        <v>0.25372932681108779</v>
      </c>
      <c r="K367" s="2">
        <f>(tbl_profitability[[#This Row],[cogs]]+tbl_profitability[[#This Row],[return_loss]]+tbl_profitability[[#This Row],[operating_costs]])/tbl_raw[[#This Row],[units_sold]]</f>
        <v>78.14</v>
      </c>
      <c r="L367" s="8" t="str">
        <f>tbl_raw[[#This Row],[decision]]</f>
        <v>SCALE</v>
      </c>
    </row>
    <row r="368" spans="1:12" x14ac:dyDescent="0.35">
      <c r="A368" s="3" t="str">
        <f>tbl_raw[[#This Row],[product_id]]</f>
        <v>fa381a4a9af65ea5fc8f3829214045f9</v>
      </c>
      <c r="B368" s="4" t="str">
        <f>tbl_raw[[#This Row],[category]]</f>
        <v>sports_leisure</v>
      </c>
      <c r="C368" s="2">
        <f>tbl_raw[[#This Row],[gross_revenue]]</f>
        <v>4288.7</v>
      </c>
      <c r="D368" s="2">
        <f>tbl_raw[[#This Row],[return_loss]]</f>
        <v>5.76</v>
      </c>
      <c r="E368" s="2">
        <f t="shared" si="5"/>
        <v>4282.9399999999996</v>
      </c>
      <c r="F368" s="2">
        <f>tbl_raw[[#This Row],[cogs]]</f>
        <v>1801.25</v>
      </c>
      <c r="G368" s="2">
        <f>SUM(tbl_raw[[#This Row],[storage_cost]:[freight_cost]])</f>
        <v>515.41000000000008</v>
      </c>
      <c r="H368" s="2">
        <f>tbl_profitability[[#This Row],[net_revenue_after_returns]]-tbl_profitability[[#This Row],[cogs]]-tbl_profitability[[#This Row],[operating_costs]]</f>
        <v>1966.2799999999995</v>
      </c>
      <c r="I368" s="10">
        <f>(tbl_profitability[[#This Row],[gross_revenue]]-tbl_profitability[[#This Row],[cogs]])/tbl_profitability[[#This Row],[gross_revenue]]</f>
        <v>0.58000093268356379</v>
      </c>
      <c r="J368" s="10">
        <f>tbl_profitability[[#This Row],[net_profit]]/tbl_profitability[[#This Row],[gross_revenue]]</f>
        <v>0.45847925944925028</v>
      </c>
      <c r="K368" s="2">
        <f>(tbl_profitability[[#This Row],[cogs]]+tbl_profitability[[#This Row],[return_loss]]+tbl_profitability[[#This Row],[operating_costs]])/tbl_raw[[#This Row],[units_sold]]</f>
        <v>145.15125</v>
      </c>
      <c r="L368" s="8" t="str">
        <f>tbl_raw[[#This Row],[decision]]</f>
        <v>SCALE</v>
      </c>
    </row>
    <row r="369" spans="1:12" x14ac:dyDescent="0.35">
      <c r="A369" s="3" t="str">
        <f>tbl_raw[[#This Row],[product_id]]</f>
        <v>bebd360fe73dc670fd6439e9b943ceb7</v>
      </c>
      <c r="B369" s="4" t="str">
        <f>tbl_raw[[#This Row],[category]]</f>
        <v>watches_gifts</v>
      </c>
      <c r="C369" s="2">
        <f>tbl_raw[[#This Row],[gross_revenue]]</f>
        <v>4280</v>
      </c>
      <c r="D369" s="2">
        <f>tbl_raw[[#This Row],[return_loss]]</f>
        <v>1.8</v>
      </c>
      <c r="E369" s="2">
        <f t="shared" si="5"/>
        <v>4278.2</v>
      </c>
      <c r="F369" s="2">
        <f>tbl_raw[[#This Row],[cogs]]</f>
        <v>1797.6</v>
      </c>
      <c r="G369" s="2">
        <f>SUM(tbl_raw[[#This Row],[storage_cost]:[freight_cost]])</f>
        <v>150.6</v>
      </c>
      <c r="H369" s="2">
        <f>tbl_profitability[[#This Row],[net_revenue_after_returns]]-tbl_profitability[[#This Row],[cogs]]-tbl_profitability[[#This Row],[operating_costs]]</f>
        <v>2330</v>
      </c>
      <c r="I369" s="10">
        <f>(tbl_profitability[[#This Row],[gross_revenue]]-tbl_profitability[[#This Row],[cogs]])/tbl_profitability[[#This Row],[gross_revenue]]</f>
        <v>0.58000000000000007</v>
      </c>
      <c r="J369" s="10">
        <f>tbl_profitability[[#This Row],[net_profit]]/tbl_profitability[[#This Row],[gross_revenue]]</f>
        <v>0.54439252336448596</v>
      </c>
      <c r="K369" s="2">
        <f>(tbl_profitability[[#This Row],[cogs]]+tbl_profitability[[#This Row],[return_loss]]+tbl_profitability[[#This Row],[operating_costs]])/tbl_raw[[#This Row],[units_sold]]</f>
        <v>389.99999999999994</v>
      </c>
      <c r="L369" s="8" t="str">
        <f>tbl_raw[[#This Row],[decision]]</f>
        <v>SCALE</v>
      </c>
    </row>
    <row r="370" spans="1:12" x14ac:dyDescent="0.35">
      <c r="A370" s="3" t="str">
        <f>tbl_raw[[#This Row],[product_id]]</f>
        <v>a4aa7c1427c31344e5f7cc3d839fe562</v>
      </c>
      <c r="B370" s="4" t="str">
        <f>tbl_raw[[#This Row],[category]]</f>
        <v>pet_shop</v>
      </c>
      <c r="C370" s="2">
        <f>tbl_raw[[#This Row],[gross_revenue]]</f>
        <v>4279</v>
      </c>
      <c r="D370" s="2">
        <f>tbl_raw[[#This Row],[return_loss]]</f>
        <v>15.12</v>
      </c>
      <c r="E370" s="2">
        <f t="shared" si="5"/>
        <v>4263.88</v>
      </c>
      <c r="F370" s="2">
        <f>tbl_raw[[#This Row],[cogs]]</f>
        <v>1925.55</v>
      </c>
      <c r="G370" s="2">
        <f>SUM(tbl_raw[[#This Row],[storage_cost]:[freight_cost]])</f>
        <v>1253.8800000000001</v>
      </c>
      <c r="H370" s="2">
        <f>tbl_profitability[[#This Row],[net_revenue_after_returns]]-tbl_profitability[[#This Row],[cogs]]-tbl_profitability[[#This Row],[operating_costs]]</f>
        <v>1084.4499999999998</v>
      </c>
      <c r="I370" s="10">
        <f>(tbl_profitability[[#This Row],[gross_revenue]]-tbl_profitability[[#This Row],[cogs]])/tbl_profitability[[#This Row],[gross_revenue]]</f>
        <v>0.54999999999999993</v>
      </c>
      <c r="J370" s="10">
        <f>tbl_profitability[[#This Row],[net_profit]]/tbl_profitability[[#This Row],[gross_revenue]]</f>
        <v>0.25343538209862115</v>
      </c>
      <c r="K370" s="2">
        <f>(tbl_profitability[[#This Row],[cogs]]+tbl_profitability[[#This Row],[return_loss]]+tbl_profitability[[#This Row],[operating_costs]])/tbl_raw[[#This Row],[units_sold]]</f>
        <v>76.060714285714283</v>
      </c>
      <c r="L370" s="8" t="str">
        <f>tbl_raw[[#This Row],[decision]]</f>
        <v>SCALE</v>
      </c>
    </row>
    <row r="371" spans="1:12" x14ac:dyDescent="0.35">
      <c r="A371" s="3" t="str">
        <f>tbl_raw[[#This Row],[product_id]]</f>
        <v>06c950c36d589b39b34f5dc1d4a75e29</v>
      </c>
      <c r="B371" s="4" t="str">
        <f>tbl_raw[[#This Row],[category]]</f>
        <v>health_beauty</v>
      </c>
      <c r="C371" s="2">
        <f>tbl_raw[[#This Row],[gross_revenue]]</f>
        <v>4276.45</v>
      </c>
      <c r="D371" s="2">
        <f>tbl_raw[[#This Row],[return_loss]]</f>
        <v>2.88</v>
      </c>
      <c r="E371" s="2">
        <f t="shared" si="5"/>
        <v>4273.57</v>
      </c>
      <c r="F371" s="2">
        <f>tbl_raw[[#This Row],[cogs]]</f>
        <v>1796.11</v>
      </c>
      <c r="G371" s="2">
        <f>SUM(tbl_raw[[#This Row],[storage_cost]:[freight_cost]])</f>
        <v>251.94</v>
      </c>
      <c r="H371" s="2">
        <f>tbl_profitability[[#This Row],[net_revenue_after_returns]]-tbl_profitability[[#This Row],[cogs]]-tbl_profitability[[#This Row],[operating_costs]]</f>
        <v>2225.52</v>
      </c>
      <c r="I371" s="10">
        <f>(tbl_profitability[[#This Row],[gross_revenue]]-tbl_profitability[[#This Row],[cogs]])/tbl_profitability[[#This Row],[gross_revenue]]</f>
        <v>0.5799997661611852</v>
      </c>
      <c r="J371" s="10">
        <f>tbl_profitability[[#This Row],[net_profit]]/tbl_profitability[[#This Row],[gross_revenue]]</f>
        <v>0.52041295934712206</v>
      </c>
      <c r="K371" s="2">
        <f>(tbl_profitability[[#This Row],[cogs]]+tbl_profitability[[#This Row],[return_loss]]+tbl_profitability[[#This Row],[operating_costs]])/tbl_raw[[#This Row],[units_sold]]</f>
        <v>256.36624999999998</v>
      </c>
      <c r="L371" s="8" t="str">
        <f>tbl_raw[[#This Row],[decision]]</f>
        <v>SCALE</v>
      </c>
    </row>
    <row r="372" spans="1:12" x14ac:dyDescent="0.35">
      <c r="A372" s="3" t="str">
        <f>tbl_raw[[#This Row],[product_id]]</f>
        <v>bb90206fa281c20f0b4c42a2393b54dd</v>
      </c>
      <c r="B372" s="4" t="str">
        <f>tbl_raw[[#This Row],[category]]</f>
        <v>computers_accessories</v>
      </c>
      <c r="C372" s="2">
        <f>tbl_raw[[#This Row],[gross_revenue]]</f>
        <v>4253.66</v>
      </c>
      <c r="D372" s="2">
        <f>tbl_raw[[#This Row],[return_loss]]</f>
        <v>20.7</v>
      </c>
      <c r="E372" s="2">
        <f t="shared" si="5"/>
        <v>4232.96</v>
      </c>
      <c r="F372" s="2">
        <f>tbl_raw[[#This Row],[cogs]]</f>
        <v>2424.59</v>
      </c>
      <c r="G372" s="2">
        <f>SUM(tbl_raw[[#This Row],[storage_cost]:[freight_cost]])</f>
        <v>566.19000000000005</v>
      </c>
      <c r="H372" s="2">
        <f>tbl_profitability[[#This Row],[net_revenue_after_returns]]-tbl_profitability[[#This Row],[cogs]]-tbl_profitability[[#This Row],[operating_costs]]</f>
        <v>1242.1799999999998</v>
      </c>
      <c r="I372" s="10">
        <f>(tbl_profitability[[#This Row],[gross_revenue]]-tbl_profitability[[#This Row],[cogs]])/tbl_profitability[[#This Row],[gross_revenue]]</f>
        <v>0.42999910665168345</v>
      </c>
      <c r="J372" s="10">
        <f>tbl_profitability[[#This Row],[net_profit]]/tbl_profitability[[#This Row],[gross_revenue]]</f>
        <v>0.29202616100017392</v>
      </c>
      <c r="K372" s="2">
        <f>(tbl_profitability[[#This Row],[cogs]]+tbl_profitability[[#This Row],[return_loss]]+tbl_profitability[[#This Row],[operating_costs]])/tbl_raw[[#This Row],[units_sold]]</f>
        <v>130.93391304347827</v>
      </c>
      <c r="L372" s="8" t="str">
        <f>tbl_raw[[#This Row],[decision]]</f>
        <v>SCALE</v>
      </c>
    </row>
    <row r="373" spans="1:12" x14ac:dyDescent="0.35">
      <c r="A373" s="3" t="str">
        <f>tbl_raw[[#This Row],[product_id]]</f>
        <v>167b4b8c4bd0c401bea62f5e050d70a4</v>
      </c>
      <c r="B373" s="4" t="str">
        <f>tbl_raw[[#This Row],[category]]</f>
        <v>computers_accessories</v>
      </c>
      <c r="C373" s="2">
        <f>tbl_raw[[#This Row],[gross_revenue]]</f>
        <v>4238.8</v>
      </c>
      <c r="D373" s="2">
        <f>tbl_raw[[#This Row],[return_loss]]</f>
        <v>25.2</v>
      </c>
      <c r="E373" s="2">
        <f t="shared" si="5"/>
        <v>4213.6000000000004</v>
      </c>
      <c r="F373" s="2">
        <f>tbl_raw[[#This Row],[cogs]]</f>
        <v>2416.12</v>
      </c>
      <c r="G373" s="2">
        <f>SUM(tbl_raw[[#This Row],[storage_cost]:[freight_cost]])</f>
        <v>806.21</v>
      </c>
      <c r="H373" s="2">
        <f>tbl_profitability[[#This Row],[net_revenue_after_returns]]-tbl_profitability[[#This Row],[cogs]]-tbl_profitability[[#This Row],[operating_costs]]</f>
        <v>991.27000000000044</v>
      </c>
      <c r="I373" s="10">
        <f>(tbl_profitability[[#This Row],[gross_revenue]]-tbl_profitability[[#This Row],[cogs]])/tbl_profitability[[#This Row],[gross_revenue]]</f>
        <v>0.4299990563366991</v>
      </c>
      <c r="J373" s="10">
        <f>tbl_profitability[[#This Row],[net_profit]]/tbl_profitability[[#This Row],[gross_revenue]]</f>
        <v>0.23385628007926781</v>
      </c>
      <c r="K373" s="2">
        <f>(tbl_profitability[[#This Row],[cogs]]+tbl_profitability[[#This Row],[return_loss]]+tbl_profitability[[#This Row],[operating_costs]])/tbl_raw[[#This Row],[units_sold]]</f>
        <v>115.98321428571428</v>
      </c>
      <c r="L373" s="8" t="str">
        <f>tbl_raw[[#This Row],[decision]]</f>
        <v>OPTIMIZE</v>
      </c>
    </row>
    <row r="374" spans="1:12" x14ac:dyDescent="0.35">
      <c r="A374" s="3" t="str">
        <f>tbl_raw[[#This Row],[product_id]]</f>
        <v>b92a7304ebad1ca5b393b53b2de5c70a</v>
      </c>
      <c r="B374" s="4" t="str">
        <f>tbl_raw[[#This Row],[category]]</f>
        <v>office_furniture</v>
      </c>
      <c r="C374" s="2">
        <f>tbl_raw[[#This Row],[gross_revenue]]</f>
        <v>4238.66</v>
      </c>
      <c r="D374" s="2">
        <f>tbl_raw[[#This Row],[return_loss]]</f>
        <v>10.8</v>
      </c>
      <c r="E374" s="2">
        <f t="shared" si="5"/>
        <v>4227.8599999999997</v>
      </c>
      <c r="F374" s="2">
        <f>tbl_raw[[#This Row],[cogs]]</f>
        <v>1907.4</v>
      </c>
      <c r="G374" s="2">
        <f>SUM(tbl_raw[[#This Row],[storage_cost]:[freight_cost]])</f>
        <v>1368.1599999999999</v>
      </c>
      <c r="H374" s="2">
        <f>tbl_profitability[[#This Row],[net_revenue_after_returns]]-tbl_profitability[[#This Row],[cogs]]-tbl_profitability[[#This Row],[operating_costs]]</f>
        <v>952.29999999999973</v>
      </c>
      <c r="I374" s="10">
        <f>(tbl_profitability[[#This Row],[gross_revenue]]-tbl_profitability[[#This Row],[cogs]])/tbl_profitability[[#This Row],[gross_revenue]]</f>
        <v>0.5499992922291479</v>
      </c>
      <c r="J374" s="10">
        <f>tbl_profitability[[#This Row],[net_profit]]/tbl_profitability[[#This Row],[gross_revenue]]</f>
        <v>0.22467006082110849</v>
      </c>
      <c r="K374" s="2">
        <f>(tbl_profitability[[#This Row],[cogs]]+tbl_profitability[[#This Row],[return_loss]]+tbl_profitability[[#This Row],[operating_costs]])/tbl_raw[[#This Row],[units_sold]]</f>
        <v>109.54533333333332</v>
      </c>
      <c r="L374" s="8" t="str">
        <f>tbl_raw[[#This Row],[decision]]</f>
        <v>OPTIMIZE</v>
      </c>
    </row>
    <row r="375" spans="1:12" x14ac:dyDescent="0.35">
      <c r="A375" s="3" t="str">
        <f>tbl_raw[[#This Row],[product_id]]</f>
        <v>194e74feac1f84a8ee5a517d4b3e107a</v>
      </c>
      <c r="B375" s="4" t="str">
        <f>tbl_raw[[#This Row],[category]]</f>
        <v>computers</v>
      </c>
      <c r="C375" s="2">
        <f>tbl_raw[[#This Row],[gross_revenue]]</f>
        <v>4237</v>
      </c>
      <c r="D375" s="2">
        <f>tbl_raw[[#This Row],[return_loss]]</f>
        <v>4.5</v>
      </c>
      <c r="E375" s="2">
        <f t="shared" si="5"/>
        <v>4232.5</v>
      </c>
      <c r="F375" s="2">
        <f>tbl_raw[[#This Row],[cogs]]</f>
        <v>2415.09</v>
      </c>
      <c r="G375" s="2">
        <f>SUM(tbl_raw[[#This Row],[storage_cost]:[freight_cost]])</f>
        <v>416.55</v>
      </c>
      <c r="H375" s="2">
        <f>tbl_profitability[[#This Row],[net_revenue_after_returns]]-tbl_profitability[[#This Row],[cogs]]-tbl_profitability[[#This Row],[operating_costs]]</f>
        <v>1400.86</v>
      </c>
      <c r="I375" s="10">
        <f>(tbl_profitability[[#This Row],[gross_revenue]]-tbl_profitability[[#This Row],[cogs]])/tbl_profitability[[#This Row],[gross_revenue]]</f>
        <v>0.43</v>
      </c>
      <c r="J375" s="10">
        <f>tbl_profitability[[#This Row],[net_profit]]/tbl_profitability[[#This Row],[gross_revenue]]</f>
        <v>0.33062544253009202</v>
      </c>
      <c r="K375" s="2">
        <f>(tbl_profitability[[#This Row],[cogs]]+tbl_profitability[[#This Row],[return_loss]]+tbl_profitability[[#This Row],[operating_costs]])/tbl_raw[[#This Row],[units_sold]]</f>
        <v>567.22800000000007</v>
      </c>
      <c r="L375" s="8" t="str">
        <f>tbl_raw[[#This Row],[decision]]</f>
        <v>OPTIMIZE</v>
      </c>
    </row>
    <row r="376" spans="1:12" x14ac:dyDescent="0.35">
      <c r="A376" s="3" t="str">
        <f>tbl_raw[[#This Row],[product_id]]</f>
        <v>a56af7192032f295ac582a2d70e4caba</v>
      </c>
      <c r="B376" s="4" t="str">
        <f>tbl_raw[[#This Row],[category]]</f>
        <v>telephony</v>
      </c>
      <c r="C376" s="2">
        <f>tbl_raw[[#This Row],[gross_revenue]]</f>
        <v>4227</v>
      </c>
      <c r="D376" s="2">
        <f>tbl_raw[[#This Row],[return_loss]]</f>
        <v>5.4</v>
      </c>
      <c r="E376" s="2">
        <f t="shared" si="5"/>
        <v>4221.6000000000004</v>
      </c>
      <c r="F376" s="2">
        <f>tbl_raw[[#This Row],[cogs]]</f>
        <v>2409.39</v>
      </c>
      <c r="G376" s="2">
        <f>SUM(tbl_raw[[#This Row],[storage_cost]:[freight_cost]])</f>
        <v>124.28</v>
      </c>
      <c r="H376" s="2">
        <f>tbl_profitability[[#This Row],[net_revenue_after_returns]]-tbl_profitability[[#This Row],[cogs]]-tbl_profitability[[#This Row],[operating_costs]]</f>
        <v>1687.9300000000005</v>
      </c>
      <c r="I376" s="10">
        <f>(tbl_profitability[[#This Row],[gross_revenue]]-tbl_profitability[[#This Row],[cogs]])/tbl_profitability[[#This Row],[gross_revenue]]</f>
        <v>0.43000000000000005</v>
      </c>
      <c r="J376" s="10">
        <f>tbl_profitability[[#This Row],[net_profit]]/tbl_profitability[[#This Row],[gross_revenue]]</f>
        <v>0.39932103146439568</v>
      </c>
      <c r="K376" s="2">
        <f>(tbl_profitability[[#This Row],[cogs]]+tbl_profitability[[#This Row],[return_loss]]+tbl_profitability[[#This Row],[operating_costs]])/tbl_raw[[#This Row],[units_sold]]</f>
        <v>423.17833333333334</v>
      </c>
      <c r="L376" s="8" t="str">
        <f>tbl_raw[[#This Row],[decision]]</f>
        <v>EXIT</v>
      </c>
    </row>
    <row r="377" spans="1:12" x14ac:dyDescent="0.35">
      <c r="A377" s="3" t="str">
        <f>tbl_raw[[#This Row],[product_id]]</f>
        <v>cda8b19a05af621d957a97a979b6fa9a</v>
      </c>
      <c r="B377" s="4" t="str">
        <f>tbl_raw[[#This Row],[category]]</f>
        <v>baby</v>
      </c>
      <c r="C377" s="2">
        <f>tbl_raw[[#This Row],[gross_revenue]]</f>
        <v>4220</v>
      </c>
      <c r="D377" s="2">
        <f>tbl_raw[[#This Row],[return_loss]]</f>
        <v>0.72</v>
      </c>
      <c r="E377" s="2">
        <f t="shared" si="5"/>
        <v>4219.28</v>
      </c>
      <c r="F377" s="2">
        <f>tbl_raw[[#This Row],[cogs]]</f>
        <v>1772.4</v>
      </c>
      <c r="G377" s="2">
        <f>SUM(tbl_raw[[#This Row],[storage_cost]:[freight_cost]])</f>
        <v>415.32</v>
      </c>
      <c r="H377" s="2">
        <f>tbl_profitability[[#This Row],[net_revenue_after_returns]]-tbl_profitability[[#This Row],[cogs]]-tbl_profitability[[#This Row],[operating_costs]]</f>
        <v>2031.5599999999997</v>
      </c>
      <c r="I377" s="10">
        <f>(tbl_profitability[[#This Row],[gross_revenue]]-tbl_profitability[[#This Row],[cogs]])/tbl_profitability[[#This Row],[gross_revenue]]</f>
        <v>0.57999999999999996</v>
      </c>
      <c r="J377" s="10">
        <f>tbl_profitability[[#This Row],[net_profit]]/tbl_profitability[[#This Row],[gross_revenue]]</f>
        <v>0.48141232227488145</v>
      </c>
      <c r="K377" s="2">
        <f>(tbl_profitability[[#This Row],[cogs]]+tbl_profitability[[#This Row],[return_loss]]+tbl_profitability[[#This Row],[operating_costs]])/tbl_raw[[#This Row],[units_sold]]</f>
        <v>1094.22</v>
      </c>
      <c r="L377" s="8" t="str">
        <f>tbl_raw[[#This Row],[decision]]</f>
        <v>EXIT</v>
      </c>
    </row>
    <row r="378" spans="1:12" x14ac:dyDescent="0.35">
      <c r="A378" s="3" t="str">
        <f>tbl_raw[[#This Row],[product_id]]</f>
        <v>16d928f7b23b3d30bd5a9ff281eed9b8</v>
      </c>
      <c r="B378" s="4" t="str">
        <f>tbl_raw[[#This Row],[category]]</f>
        <v>telephony</v>
      </c>
      <c r="C378" s="2">
        <f>tbl_raw[[#This Row],[gross_revenue]]</f>
        <v>4201</v>
      </c>
      <c r="D378" s="2">
        <f>tbl_raw[[#This Row],[return_loss]]</f>
        <v>4.5</v>
      </c>
      <c r="E378" s="2">
        <f t="shared" si="5"/>
        <v>4196.5</v>
      </c>
      <c r="F378" s="2">
        <f>tbl_raw[[#This Row],[cogs]]</f>
        <v>2394.5700000000002</v>
      </c>
      <c r="G378" s="2">
        <f>SUM(tbl_raw[[#This Row],[storage_cost]:[freight_cost]])</f>
        <v>154.41999999999999</v>
      </c>
      <c r="H378" s="2">
        <f>tbl_profitability[[#This Row],[net_revenue_after_returns]]-tbl_profitability[[#This Row],[cogs]]-tbl_profitability[[#This Row],[operating_costs]]</f>
        <v>1647.5099999999998</v>
      </c>
      <c r="I378" s="10">
        <f>(tbl_profitability[[#This Row],[gross_revenue]]-tbl_profitability[[#This Row],[cogs]])/tbl_profitability[[#This Row],[gross_revenue]]</f>
        <v>0.42999999999999994</v>
      </c>
      <c r="J378" s="10">
        <f>tbl_profitability[[#This Row],[net_profit]]/tbl_profitability[[#This Row],[gross_revenue]]</f>
        <v>0.39217091168769336</v>
      </c>
      <c r="K378" s="2">
        <f>(tbl_profitability[[#This Row],[cogs]]+tbl_profitability[[#This Row],[return_loss]]+tbl_profitability[[#This Row],[operating_costs]])/tbl_raw[[#This Row],[units_sold]]</f>
        <v>510.69800000000004</v>
      </c>
      <c r="L378" s="8" t="str">
        <f>tbl_raw[[#This Row],[decision]]</f>
        <v>OPTIMIZE</v>
      </c>
    </row>
    <row r="379" spans="1:12" x14ac:dyDescent="0.35">
      <c r="A379" s="3" t="str">
        <f>tbl_raw[[#This Row],[product_id]]</f>
        <v>bbff7e0ea95dd990ce461d8104ee9173</v>
      </c>
      <c r="B379" s="4" t="str">
        <f>tbl_raw[[#This Row],[category]]</f>
        <v>home_appliances_2</v>
      </c>
      <c r="C379" s="2">
        <f>tbl_raw[[#This Row],[gross_revenue]]</f>
        <v>4199.9799999999996</v>
      </c>
      <c r="D379" s="2">
        <f>tbl_raw[[#This Row],[return_loss]]</f>
        <v>0.72</v>
      </c>
      <c r="E379" s="2">
        <f t="shared" si="5"/>
        <v>4199.2599999999993</v>
      </c>
      <c r="F379" s="2">
        <f>tbl_raw[[#This Row],[cogs]]</f>
        <v>2393.9899999999998</v>
      </c>
      <c r="G379" s="2">
        <f>SUM(tbl_raw[[#This Row],[storage_cost]:[freight_cost]])</f>
        <v>179.56</v>
      </c>
      <c r="H379" s="2">
        <f>tbl_profitability[[#This Row],[net_revenue_after_returns]]-tbl_profitability[[#This Row],[cogs]]-tbl_profitability[[#This Row],[operating_costs]]</f>
        <v>1625.7099999999996</v>
      </c>
      <c r="I379" s="10">
        <f>(tbl_profitability[[#This Row],[gross_revenue]]-tbl_profitability[[#This Row],[cogs]])/tbl_profitability[[#This Row],[gross_revenue]]</f>
        <v>0.42999966666507933</v>
      </c>
      <c r="J379" s="10">
        <f>tbl_profitability[[#This Row],[net_profit]]/tbl_profitability[[#This Row],[gross_revenue]]</f>
        <v>0.38707565274120348</v>
      </c>
      <c r="K379" s="2">
        <f>(tbl_profitability[[#This Row],[cogs]]+tbl_profitability[[#This Row],[return_loss]]+tbl_profitability[[#This Row],[operating_costs]])/tbl_raw[[#This Row],[units_sold]]</f>
        <v>1287.1349999999998</v>
      </c>
      <c r="L379" s="8" t="str">
        <f>tbl_raw[[#This Row],[decision]]</f>
        <v>SCALE</v>
      </c>
    </row>
    <row r="380" spans="1:12" x14ac:dyDescent="0.35">
      <c r="A380" s="3" t="str">
        <f>tbl_raw[[#This Row],[product_id]]</f>
        <v>6767719f80aabbbf16ab2491899c32d9</v>
      </c>
      <c r="B380" s="4" t="str">
        <f>tbl_raw[[#This Row],[category]]</f>
        <v>telephony</v>
      </c>
      <c r="C380" s="2">
        <f>tbl_raw[[#This Row],[gross_revenue]]</f>
        <v>4199.95</v>
      </c>
      <c r="D380" s="2">
        <f>tbl_raw[[#This Row],[return_loss]]</f>
        <v>4.5</v>
      </c>
      <c r="E380" s="2">
        <f t="shared" si="5"/>
        <v>4195.45</v>
      </c>
      <c r="F380" s="2">
        <f>tbl_raw[[#This Row],[cogs]]</f>
        <v>2393.9699999999998</v>
      </c>
      <c r="G380" s="2">
        <f>SUM(tbl_raw[[#This Row],[storage_cost]:[freight_cost]])</f>
        <v>213.16</v>
      </c>
      <c r="H380" s="2">
        <f>tbl_profitability[[#This Row],[net_revenue_after_returns]]-tbl_profitability[[#This Row],[cogs]]-tbl_profitability[[#This Row],[operating_costs]]</f>
        <v>1588.32</v>
      </c>
      <c r="I380" s="10">
        <f>(tbl_profitability[[#This Row],[gross_revenue]]-tbl_profitability[[#This Row],[cogs]])/tbl_profitability[[#This Row],[gross_revenue]]</f>
        <v>0.43000035714710894</v>
      </c>
      <c r="J380" s="10">
        <f>tbl_profitability[[#This Row],[net_profit]]/tbl_profitability[[#This Row],[gross_revenue]]</f>
        <v>0.37817593066584126</v>
      </c>
      <c r="K380" s="2">
        <f>(tbl_profitability[[#This Row],[cogs]]+tbl_profitability[[#This Row],[return_loss]]+tbl_profitability[[#This Row],[operating_costs]])/tbl_raw[[#This Row],[units_sold]]</f>
        <v>522.32599999999991</v>
      </c>
      <c r="L380" s="8" t="str">
        <f>tbl_raw[[#This Row],[decision]]</f>
        <v>SCALE</v>
      </c>
    </row>
    <row r="381" spans="1:12" x14ac:dyDescent="0.35">
      <c r="A381" s="3" t="str">
        <f>tbl_raw[[#This Row],[product_id]]</f>
        <v>5fb1e24560c31b0eaa1911d4247187ed</v>
      </c>
      <c r="B381" s="4" t="str">
        <f>tbl_raw[[#This Row],[category]]</f>
        <v>toys</v>
      </c>
      <c r="C381" s="2">
        <f>tbl_raw[[#This Row],[gross_revenue]]</f>
        <v>4197.5</v>
      </c>
      <c r="D381" s="2">
        <f>tbl_raw[[#This Row],[return_loss]]</f>
        <v>5.76</v>
      </c>
      <c r="E381" s="2">
        <f t="shared" si="5"/>
        <v>4191.74</v>
      </c>
      <c r="F381" s="2">
        <f>tbl_raw[[#This Row],[cogs]]</f>
        <v>1762.95</v>
      </c>
      <c r="G381" s="2">
        <f>SUM(tbl_raw[[#This Row],[storage_cost]:[freight_cost]])</f>
        <v>420.46</v>
      </c>
      <c r="H381" s="2">
        <f>tbl_profitability[[#This Row],[net_revenue_after_returns]]-tbl_profitability[[#This Row],[cogs]]-tbl_profitability[[#This Row],[operating_costs]]</f>
        <v>2008.33</v>
      </c>
      <c r="I381" s="10">
        <f>(tbl_profitability[[#This Row],[gross_revenue]]-tbl_profitability[[#This Row],[cogs]])/tbl_profitability[[#This Row],[gross_revenue]]</f>
        <v>0.58000000000000007</v>
      </c>
      <c r="J381" s="10">
        <f>tbl_profitability[[#This Row],[net_profit]]/tbl_profitability[[#This Row],[gross_revenue]]</f>
        <v>0.47845860631328169</v>
      </c>
      <c r="K381" s="2">
        <f>(tbl_profitability[[#This Row],[cogs]]+tbl_profitability[[#This Row],[return_loss]]+tbl_profitability[[#This Row],[operating_costs]])/tbl_raw[[#This Row],[units_sold]]</f>
        <v>136.823125</v>
      </c>
      <c r="L381" s="8" t="str">
        <f>tbl_raw[[#This Row],[decision]]</f>
        <v>OPTIMIZE</v>
      </c>
    </row>
    <row r="382" spans="1:12" x14ac:dyDescent="0.35">
      <c r="A382" s="3" t="str">
        <f>tbl_raw[[#This Row],[product_id]]</f>
        <v>4a90b44b456e79e7a33435fdd36e551f</v>
      </c>
      <c r="B382" s="4" t="str">
        <f>tbl_raw[[#This Row],[category]]</f>
        <v>garden_tools</v>
      </c>
      <c r="C382" s="2">
        <f>tbl_raw[[#This Row],[gross_revenue]]</f>
        <v>4180</v>
      </c>
      <c r="D382" s="2">
        <f>tbl_raw[[#This Row],[return_loss]]</f>
        <v>3.96</v>
      </c>
      <c r="E382" s="2">
        <f t="shared" si="5"/>
        <v>4176.04</v>
      </c>
      <c r="F382" s="2">
        <f>tbl_raw[[#This Row],[cogs]]</f>
        <v>1881</v>
      </c>
      <c r="G382" s="2">
        <f>SUM(tbl_raw[[#This Row],[storage_cost]:[freight_cost]])</f>
        <v>627.28</v>
      </c>
      <c r="H382" s="2">
        <f>tbl_profitability[[#This Row],[net_revenue_after_returns]]-tbl_profitability[[#This Row],[cogs]]-tbl_profitability[[#This Row],[operating_costs]]</f>
        <v>1667.76</v>
      </c>
      <c r="I382" s="10">
        <f>(tbl_profitability[[#This Row],[gross_revenue]]-tbl_profitability[[#This Row],[cogs]])/tbl_profitability[[#This Row],[gross_revenue]]</f>
        <v>0.55000000000000004</v>
      </c>
      <c r="J382" s="10">
        <f>tbl_profitability[[#This Row],[net_profit]]/tbl_profitability[[#This Row],[gross_revenue]]</f>
        <v>0.39898564593301433</v>
      </c>
      <c r="K382" s="2">
        <f>(tbl_profitability[[#This Row],[cogs]]+tbl_profitability[[#This Row],[return_loss]]+tbl_profitability[[#This Row],[operating_costs]])/tbl_raw[[#This Row],[units_sold]]</f>
        <v>228.38545454545454</v>
      </c>
      <c r="L382" s="8" t="str">
        <f>tbl_raw[[#This Row],[decision]]</f>
        <v>OPTIMIZE</v>
      </c>
    </row>
    <row r="383" spans="1:12" x14ac:dyDescent="0.35">
      <c r="A383" s="3" t="str">
        <f>tbl_raw[[#This Row],[product_id]]</f>
        <v>fa4e8255202fd921350a6fc716710dae</v>
      </c>
      <c r="B383" s="4" t="str">
        <f>tbl_raw[[#This Row],[category]]</f>
        <v>computers_accessories</v>
      </c>
      <c r="C383" s="2">
        <f>tbl_raw[[#This Row],[gross_revenue]]</f>
        <v>4162.8599999999997</v>
      </c>
      <c r="D383" s="2">
        <f>tbl_raw[[#This Row],[return_loss]]</f>
        <v>14.4</v>
      </c>
      <c r="E383" s="2">
        <f t="shared" si="5"/>
        <v>4148.46</v>
      </c>
      <c r="F383" s="2">
        <f>tbl_raw[[#This Row],[cogs]]</f>
        <v>2372.83</v>
      </c>
      <c r="G383" s="2">
        <f>SUM(tbl_raw[[#This Row],[storage_cost]:[freight_cost]])</f>
        <v>414.65</v>
      </c>
      <c r="H383" s="2">
        <f>tbl_profitability[[#This Row],[net_revenue_after_returns]]-tbl_profitability[[#This Row],[cogs]]-tbl_profitability[[#This Row],[operating_costs]]</f>
        <v>1360.98</v>
      </c>
      <c r="I383" s="10">
        <f>(tbl_profitability[[#This Row],[gross_revenue]]-tbl_profitability[[#This Row],[cogs]])/tbl_profitability[[#This Row],[gross_revenue]]</f>
        <v>0.43000004804389286</v>
      </c>
      <c r="J383" s="10">
        <f>tbl_profitability[[#This Row],[net_profit]]/tbl_profitability[[#This Row],[gross_revenue]]</f>
        <v>0.32693388679897956</v>
      </c>
      <c r="K383" s="2">
        <f>(tbl_profitability[[#This Row],[cogs]]+tbl_profitability[[#This Row],[return_loss]]+tbl_profitability[[#This Row],[operating_costs]])/tbl_raw[[#This Row],[units_sold]]</f>
        <v>175.11750000000001</v>
      </c>
      <c r="L383" s="8" t="str">
        <f>tbl_raw[[#This Row],[decision]]</f>
        <v>SCALE</v>
      </c>
    </row>
    <row r="384" spans="1:12" x14ac:dyDescent="0.35">
      <c r="A384" s="3" t="str">
        <f>tbl_raw[[#This Row],[product_id]]</f>
        <v>7af541d714ea3db608971a40b8f507cb</v>
      </c>
      <c r="B384" s="4" t="str">
        <f>tbl_raw[[#This Row],[category]]</f>
        <v>baby</v>
      </c>
      <c r="C384" s="2">
        <f>tbl_raw[[#This Row],[gross_revenue]]</f>
        <v>4159</v>
      </c>
      <c r="D384" s="2">
        <f>tbl_raw[[#This Row],[return_loss]]</f>
        <v>3.6</v>
      </c>
      <c r="E384" s="2">
        <f t="shared" si="5"/>
        <v>4155.3999999999996</v>
      </c>
      <c r="F384" s="2">
        <f>tbl_raw[[#This Row],[cogs]]</f>
        <v>1746.78</v>
      </c>
      <c r="G384" s="2">
        <f>SUM(tbl_raw[[#This Row],[storage_cost]:[freight_cost]])</f>
        <v>504.77</v>
      </c>
      <c r="H384" s="2">
        <f>tbl_profitability[[#This Row],[net_revenue_after_returns]]-tbl_profitability[[#This Row],[cogs]]-tbl_profitability[[#This Row],[operating_costs]]</f>
        <v>1903.85</v>
      </c>
      <c r="I384" s="10">
        <f>(tbl_profitability[[#This Row],[gross_revenue]]-tbl_profitability[[#This Row],[cogs]])/tbl_profitability[[#This Row],[gross_revenue]]</f>
        <v>0.58000000000000007</v>
      </c>
      <c r="J384" s="10">
        <f>tbl_profitability[[#This Row],[net_profit]]/tbl_profitability[[#This Row],[gross_revenue]]</f>
        <v>0.45776628997355129</v>
      </c>
      <c r="K384" s="2">
        <f>(tbl_profitability[[#This Row],[cogs]]+tbl_profitability[[#This Row],[return_loss]]+tbl_profitability[[#This Row],[operating_costs]])/tbl_raw[[#This Row],[units_sold]]</f>
        <v>225.51499999999996</v>
      </c>
      <c r="L384" s="8" t="str">
        <f>tbl_raw[[#This Row],[decision]]</f>
        <v>OPTIMIZE</v>
      </c>
    </row>
    <row r="385" spans="1:12" x14ac:dyDescent="0.35">
      <c r="A385" s="3" t="str">
        <f>tbl_raw[[#This Row],[product_id]]</f>
        <v>6e1b14d3cbb5fb3a2c00351007127dfd</v>
      </c>
      <c r="B385" s="4" t="str">
        <f>tbl_raw[[#This Row],[category]]</f>
        <v>cool_stuff</v>
      </c>
      <c r="C385" s="2">
        <f>tbl_raw[[#This Row],[gross_revenue]]</f>
        <v>4149.82</v>
      </c>
      <c r="D385" s="2">
        <f>tbl_raw[[#This Row],[return_loss]]</f>
        <v>6.48</v>
      </c>
      <c r="E385" s="2">
        <f t="shared" si="5"/>
        <v>4143.34</v>
      </c>
      <c r="F385" s="2">
        <f>tbl_raw[[#This Row],[cogs]]</f>
        <v>1867.42</v>
      </c>
      <c r="G385" s="2">
        <f>SUM(tbl_raw[[#This Row],[storage_cost]:[freight_cost]])</f>
        <v>424.17</v>
      </c>
      <c r="H385" s="2">
        <f>tbl_profitability[[#This Row],[net_revenue_after_returns]]-tbl_profitability[[#This Row],[cogs]]-tbl_profitability[[#This Row],[operating_costs]]</f>
        <v>1851.75</v>
      </c>
      <c r="I385" s="10">
        <f>(tbl_profitability[[#This Row],[gross_revenue]]-tbl_profitability[[#This Row],[cogs]])/tbl_profitability[[#This Row],[gross_revenue]]</f>
        <v>0.54999975902569265</v>
      </c>
      <c r="J385" s="10">
        <f>tbl_profitability[[#This Row],[net_profit]]/tbl_profitability[[#This Row],[gross_revenue]]</f>
        <v>0.4462241735786131</v>
      </c>
      <c r="K385" s="2">
        <f>(tbl_profitability[[#This Row],[cogs]]+tbl_profitability[[#This Row],[return_loss]]+tbl_profitability[[#This Row],[operating_costs]])/tbl_raw[[#This Row],[units_sold]]</f>
        <v>127.67055555555557</v>
      </c>
      <c r="L385" s="8" t="str">
        <f>tbl_raw[[#This Row],[decision]]</f>
        <v>SCALE</v>
      </c>
    </row>
    <row r="386" spans="1:12" x14ac:dyDescent="0.35">
      <c r="A386" s="3" t="str">
        <f>tbl_raw[[#This Row],[product_id]]</f>
        <v>864413ca56c2bcea359a213956a922c0</v>
      </c>
      <c r="B386" s="4" t="str">
        <f>tbl_raw[[#This Row],[category]]</f>
        <v>auto</v>
      </c>
      <c r="C386" s="2">
        <f>tbl_raw[[#This Row],[gross_revenue]]</f>
        <v>4149.7</v>
      </c>
      <c r="D386" s="2">
        <f>tbl_raw[[#This Row],[return_loss]]</f>
        <v>1.08</v>
      </c>
      <c r="E386" s="2">
        <f t="shared" si="5"/>
        <v>4148.62</v>
      </c>
      <c r="F386" s="2">
        <f>tbl_raw[[#This Row],[cogs]]</f>
        <v>1867.37</v>
      </c>
      <c r="G386" s="2">
        <f>SUM(tbl_raw[[#This Row],[storage_cost]:[freight_cost]])</f>
        <v>153.80000000000001</v>
      </c>
      <c r="H386" s="2">
        <f>tbl_profitability[[#This Row],[net_revenue_after_returns]]-tbl_profitability[[#This Row],[cogs]]-tbl_profitability[[#This Row],[operating_costs]]</f>
        <v>2127.4499999999998</v>
      </c>
      <c r="I386" s="10">
        <f>(tbl_profitability[[#This Row],[gross_revenue]]-tbl_profitability[[#This Row],[cogs]])/tbl_profitability[[#This Row],[gross_revenue]]</f>
        <v>0.54999879509362126</v>
      </c>
      <c r="J386" s="10">
        <f>tbl_profitability[[#This Row],[net_profit]]/tbl_profitability[[#This Row],[gross_revenue]]</f>
        <v>0.51267561510470638</v>
      </c>
      <c r="K386" s="2">
        <f>(tbl_profitability[[#This Row],[cogs]]+tbl_profitability[[#This Row],[return_loss]]+tbl_profitability[[#This Row],[operating_costs]])/tbl_raw[[#This Row],[units_sold]]</f>
        <v>674.08333333333326</v>
      </c>
      <c r="L386" s="8" t="str">
        <f>tbl_raw[[#This Row],[decision]]</f>
        <v>SCALE</v>
      </c>
    </row>
    <row r="387" spans="1:12" x14ac:dyDescent="0.35">
      <c r="A387" s="3" t="str">
        <f>tbl_raw[[#This Row],[product_id]]</f>
        <v>6d426dd1336e5a7d34470ae65bc68abf</v>
      </c>
      <c r="B387" s="4" t="str">
        <f>tbl_raw[[#This Row],[category]]</f>
        <v>fixed_telephony</v>
      </c>
      <c r="C387" s="2">
        <f>tbl_raw[[#This Row],[gross_revenue]]</f>
        <v>4140</v>
      </c>
      <c r="D387" s="2">
        <f>tbl_raw[[#This Row],[return_loss]]</f>
        <v>2.7</v>
      </c>
      <c r="E387" s="2">
        <f t="shared" si="5"/>
        <v>4137.3</v>
      </c>
      <c r="F387" s="2">
        <f>tbl_raw[[#This Row],[cogs]]</f>
        <v>2359.8000000000002</v>
      </c>
      <c r="G387" s="2">
        <f>SUM(tbl_raw[[#This Row],[storage_cost]:[freight_cost]])</f>
        <v>132.31</v>
      </c>
      <c r="H387" s="2">
        <f>tbl_profitability[[#This Row],[net_revenue_after_returns]]-tbl_profitability[[#This Row],[cogs]]-tbl_profitability[[#This Row],[operating_costs]]</f>
        <v>1645.19</v>
      </c>
      <c r="I387" s="10">
        <f>(tbl_profitability[[#This Row],[gross_revenue]]-tbl_profitability[[#This Row],[cogs]])/tbl_profitability[[#This Row],[gross_revenue]]</f>
        <v>0.42999999999999994</v>
      </c>
      <c r="J387" s="10">
        <f>tbl_profitability[[#This Row],[net_profit]]/tbl_profitability[[#This Row],[gross_revenue]]</f>
        <v>0.3973888888888889</v>
      </c>
      <c r="K387" s="2">
        <f>(tbl_profitability[[#This Row],[cogs]]+tbl_profitability[[#This Row],[return_loss]]+tbl_profitability[[#This Row],[operating_costs]])/tbl_raw[[#This Row],[units_sold]]</f>
        <v>831.60333333333335</v>
      </c>
      <c r="L387" s="8" t="str">
        <f>tbl_raw[[#This Row],[decision]]</f>
        <v>SCALE</v>
      </c>
    </row>
    <row r="388" spans="1:12" x14ac:dyDescent="0.35">
      <c r="A388" s="3" t="str">
        <f>tbl_raw[[#This Row],[product_id]]</f>
        <v>bb3542bf40cc975720ee44d03fcf0cd8</v>
      </c>
      <c r="B388" s="4" t="str">
        <f>tbl_raw[[#This Row],[category]]</f>
        <v>home_appliances_2</v>
      </c>
      <c r="C388" s="2">
        <f>tbl_raw[[#This Row],[gross_revenue]]</f>
        <v>4140</v>
      </c>
      <c r="D388" s="2">
        <f>tbl_raw[[#This Row],[return_loss]]</f>
        <v>0.72</v>
      </c>
      <c r="E388" s="2">
        <f t="shared" ref="E388:E402" si="6">C388-D388</f>
        <v>4139.28</v>
      </c>
      <c r="F388" s="2">
        <f>tbl_raw[[#This Row],[cogs]]</f>
        <v>2359.8000000000002</v>
      </c>
      <c r="G388" s="2">
        <f>SUM(tbl_raw[[#This Row],[storage_cost]:[freight_cost]])</f>
        <v>106.14</v>
      </c>
      <c r="H388" s="2">
        <f>tbl_profitability[[#This Row],[net_revenue_after_returns]]-tbl_profitability[[#This Row],[cogs]]-tbl_profitability[[#This Row],[operating_costs]]</f>
        <v>1673.3399999999995</v>
      </c>
      <c r="I388" s="10">
        <f>(tbl_profitability[[#This Row],[gross_revenue]]-tbl_profitability[[#This Row],[cogs]])/tbl_profitability[[#This Row],[gross_revenue]]</f>
        <v>0.42999999999999994</v>
      </c>
      <c r="J388" s="10">
        <f>tbl_profitability[[#This Row],[net_profit]]/tbl_profitability[[#This Row],[gross_revenue]]</f>
        <v>0.4041884057971013</v>
      </c>
      <c r="K388" s="2">
        <f>(tbl_profitability[[#This Row],[cogs]]+tbl_profitability[[#This Row],[return_loss]]+tbl_profitability[[#This Row],[operating_costs]])/tbl_raw[[#This Row],[units_sold]]</f>
        <v>1233.33</v>
      </c>
      <c r="L388" s="8" t="str">
        <f>tbl_raw[[#This Row],[decision]]</f>
        <v>SCALE</v>
      </c>
    </row>
    <row r="389" spans="1:12" x14ac:dyDescent="0.35">
      <c r="A389" s="3" t="str">
        <f>tbl_raw[[#This Row],[product_id]]</f>
        <v>4cce3fa9fee9eb2361e0b9bd32516958</v>
      </c>
      <c r="B389" s="4" t="str">
        <f>tbl_raw[[#This Row],[category]]</f>
        <v>construction_tools_construction</v>
      </c>
      <c r="C389" s="2">
        <f>tbl_raw[[#This Row],[gross_revenue]]</f>
        <v>4118</v>
      </c>
      <c r="D389" s="2">
        <f>tbl_raw[[#This Row],[return_loss]]</f>
        <v>1.44</v>
      </c>
      <c r="E389" s="2">
        <f t="shared" si="6"/>
        <v>4116.5600000000004</v>
      </c>
      <c r="F389" s="2">
        <f>tbl_raw[[#This Row],[cogs]]</f>
        <v>1853.1</v>
      </c>
      <c r="G389" s="2">
        <f>SUM(tbl_raw[[#This Row],[storage_cost]:[freight_cost]])</f>
        <v>145.47</v>
      </c>
      <c r="H389" s="2">
        <f>tbl_profitability[[#This Row],[net_revenue_after_returns]]-tbl_profitability[[#This Row],[cogs]]-tbl_profitability[[#This Row],[operating_costs]]</f>
        <v>2117.9900000000007</v>
      </c>
      <c r="I389" s="10">
        <f>(tbl_profitability[[#This Row],[gross_revenue]]-tbl_profitability[[#This Row],[cogs]])/tbl_profitability[[#This Row],[gross_revenue]]</f>
        <v>0.55000000000000004</v>
      </c>
      <c r="J389" s="10">
        <f>tbl_profitability[[#This Row],[net_profit]]/tbl_profitability[[#This Row],[gross_revenue]]</f>
        <v>0.51432491500728528</v>
      </c>
      <c r="K389" s="2">
        <f>(tbl_profitability[[#This Row],[cogs]]+tbl_profitability[[#This Row],[return_loss]]+tbl_profitability[[#This Row],[operating_costs]])/tbl_raw[[#This Row],[units_sold]]</f>
        <v>500.0025</v>
      </c>
      <c r="L389" s="8" t="str">
        <f>tbl_raw[[#This Row],[decision]]</f>
        <v>OPTIMIZE</v>
      </c>
    </row>
    <row r="390" spans="1:12" x14ac:dyDescent="0.35">
      <c r="A390" s="3" t="str">
        <f>tbl_raw[[#This Row],[product_id]]</f>
        <v>b8b426747049f2d3d6e00b486d47dedb</v>
      </c>
      <c r="B390" s="4" t="str">
        <f>tbl_raw[[#This Row],[category]]</f>
        <v>health_beauty</v>
      </c>
      <c r="C390" s="2">
        <f>tbl_raw[[#This Row],[gross_revenue]]</f>
        <v>4111.6099999999997</v>
      </c>
      <c r="D390" s="2">
        <f>tbl_raw[[#This Row],[return_loss]]</f>
        <v>15.12</v>
      </c>
      <c r="E390" s="2">
        <f t="shared" si="6"/>
        <v>4096.49</v>
      </c>
      <c r="F390" s="2">
        <f>tbl_raw[[#This Row],[cogs]]</f>
        <v>1726.88</v>
      </c>
      <c r="G390" s="2">
        <f>SUM(tbl_raw[[#This Row],[storage_cost]:[freight_cost]])</f>
        <v>996.52</v>
      </c>
      <c r="H390" s="2">
        <f>tbl_profitability[[#This Row],[net_revenue_after_returns]]-tbl_profitability[[#This Row],[cogs]]-tbl_profitability[[#This Row],[operating_costs]]</f>
        <v>1373.0899999999997</v>
      </c>
      <c r="I390" s="10">
        <f>(tbl_profitability[[#This Row],[gross_revenue]]-tbl_profitability[[#This Row],[cogs]])/tbl_profitability[[#This Row],[gross_revenue]]</f>
        <v>0.57999907578783005</v>
      </c>
      <c r="J390" s="10">
        <f>tbl_profitability[[#This Row],[net_profit]]/tbl_profitability[[#This Row],[gross_revenue]]</f>
        <v>0.33395433905453092</v>
      </c>
      <c r="K390" s="2">
        <f>(tbl_profitability[[#This Row],[cogs]]+tbl_profitability[[#This Row],[return_loss]]+tbl_profitability[[#This Row],[operating_costs]])/tbl_raw[[#This Row],[units_sold]]</f>
        <v>65.202857142857141</v>
      </c>
      <c r="L390" s="8" t="str">
        <f>tbl_raw[[#This Row],[decision]]</f>
        <v>SCALE</v>
      </c>
    </row>
    <row r="391" spans="1:12" x14ac:dyDescent="0.35">
      <c r="A391" s="3" t="str">
        <f>tbl_raw[[#This Row],[product_id]]</f>
        <v>c6336fa91fbd87c359e44f5dca5a90ed</v>
      </c>
      <c r="B391" s="4" t="str">
        <f>tbl_raw[[#This Row],[category]]</f>
        <v>sports_leisure</v>
      </c>
      <c r="C391" s="2">
        <f>tbl_raw[[#This Row],[gross_revenue]]</f>
        <v>4111.2</v>
      </c>
      <c r="D391" s="2">
        <f>tbl_raw[[#This Row],[return_loss]]</f>
        <v>33.840000000000003</v>
      </c>
      <c r="E391" s="2">
        <f t="shared" si="6"/>
        <v>4077.3599999999997</v>
      </c>
      <c r="F391" s="2">
        <f>tbl_raw[[#This Row],[cogs]]</f>
        <v>1726.7</v>
      </c>
      <c r="G391" s="2">
        <f>SUM(tbl_raw[[#This Row],[storage_cost]:[freight_cost]])</f>
        <v>1918.94</v>
      </c>
      <c r="H391" s="2">
        <f>tbl_profitability[[#This Row],[net_revenue_after_returns]]-tbl_profitability[[#This Row],[cogs]]-tbl_profitability[[#This Row],[operating_costs]]</f>
        <v>431.7199999999998</v>
      </c>
      <c r="I391" s="10">
        <f>(tbl_profitability[[#This Row],[gross_revenue]]-tbl_profitability[[#This Row],[cogs]])/tbl_profitability[[#This Row],[gross_revenue]]</f>
        <v>0.5800009729519362</v>
      </c>
      <c r="J391" s="10">
        <f>tbl_profitability[[#This Row],[net_profit]]/tbl_profitability[[#This Row],[gross_revenue]]</f>
        <v>0.10501070247129787</v>
      </c>
      <c r="K391" s="2">
        <f>(tbl_profitability[[#This Row],[cogs]]+tbl_profitability[[#This Row],[return_loss]]+tbl_profitability[[#This Row],[operating_costs]])/tbl_raw[[#This Row],[units_sold]]</f>
        <v>39.143404255319147</v>
      </c>
      <c r="L391" s="8" t="str">
        <f>tbl_raw[[#This Row],[decision]]</f>
        <v>OPTIMIZE</v>
      </c>
    </row>
    <row r="392" spans="1:12" x14ac:dyDescent="0.35">
      <c r="A392" s="3" t="str">
        <f>tbl_raw[[#This Row],[product_id]]</f>
        <v>6cdf8fc1d741c76586d8b6b15e9eef30</v>
      </c>
      <c r="B392" s="4" t="str">
        <f>tbl_raw[[#This Row],[category]]</f>
        <v>consoles_games</v>
      </c>
      <c r="C392" s="2">
        <f>tbl_raw[[#This Row],[gross_revenue]]</f>
        <v>4099.99</v>
      </c>
      <c r="D392" s="2">
        <f>tbl_raw[[#This Row],[return_loss]]</f>
        <v>0.36</v>
      </c>
      <c r="E392" s="2">
        <f t="shared" si="6"/>
        <v>4099.63</v>
      </c>
      <c r="F392" s="2">
        <f>tbl_raw[[#This Row],[cogs]]</f>
        <v>2336.9899999999998</v>
      </c>
      <c r="G392" s="2">
        <f>SUM(tbl_raw[[#This Row],[storage_cost]:[freight_cost]])</f>
        <v>80.27</v>
      </c>
      <c r="H392" s="2">
        <f>tbl_profitability[[#This Row],[net_revenue_after_returns]]-tbl_profitability[[#This Row],[cogs]]-tbl_profitability[[#This Row],[operating_costs]]</f>
        <v>1682.3700000000003</v>
      </c>
      <c r="I392" s="10">
        <f>(tbl_profitability[[#This Row],[gross_revenue]]-tbl_profitability[[#This Row],[cogs]])/tbl_profitability[[#This Row],[gross_revenue]]</f>
        <v>0.43000104878304585</v>
      </c>
      <c r="J392" s="10">
        <f>tbl_profitability[[#This Row],[net_profit]]/tbl_profitability[[#This Row],[gross_revenue]]</f>
        <v>0.41033514715889563</v>
      </c>
      <c r="K392" s="2">
        <f>(tbl_profitability[[#This Row],[cogs]]+tbl_profitability[[#This Row],[return_loss]]+tbl_profitability[[#This Row],[operating_costs]])/tbl_raw[[#This Row],[units_sold]]</f>
        <v>2417.62</v>
      </c>
      <c r="L392" s="8" t="str">
        <f>tbl_raw[[#This Row],[decision]]</f>
        <v>SCALE</v>
      </c>
    </row>
    <row r="393" spans="1:12" x14ac:dyDescent="0.35">
      <c r="A393" s="3" t="str">
        <f>tbl_raw[[#This Row],[product_id]]</f>
        <v>e0cf79767c5b016251fe139915c59a26</v>
      </c>
      <c r="B393" s="4" t="str">
        <f>tbl_raw[[#This Row],[category]]</f>
        <v>health_beauty</v>
      </c>
      <c r="C393" s="2">
        <f>tbl_raw[[#This Row],[gross_revenue]]</f>
        <v>4096.3</v>
      </c>
      <c r="D393" s="2">
        <f>tbl_raw[[#This Row],[return_loss]]</f>
        <v>49.32</v>
      </c>
      <c r="E393" s="2">
        <f t="shared" si="6"/>
        <v>4046.98</v>
      </c>
      <c r="F393" s="2">
        <f>tbl_raw[[#This Row],[cogs]]</f>
        <v>1720.45</v>
      </c>
      <c r="G393" s="2">
        <f>SUM(tbl_raw[[#This Row],[storage_cost]:[freight_cost]])</f>
        <v>2049.67</v>
      </c>
      <c r="H393" s="2">
        <f>tbl_profitability[[#This Row],[net_revenue_after_returns]]-tbl_profitability[[#This Row],[cogs]]-tbl_profitability[[#This Row],[operating_costs]]</f>
        <v>276.85999999999967</v>
      </c>
      <c r="I393" s="10">
        <f>(tbl_profitability[[#This Row],[gross_revenue]]-tbl_profitability[[#This Row],[cogs]])/tbl_profitability[[#This Row],[gross_revenue]]</f>
        <v>0.57999902350902044</v>
      </c>
      <c r="J393" s="10">
        <f>tbl_profitability[[#This Row],[net_profit]]/tbl_profitability[[#This Row],[gross_revenue]]</f>
        <v>6.7587823157483504E-2</v>
      </c>
      <c r="K393" s="2">
        <f>(tbl_profitability[[#This Row],[cogs]]+tbl_profitability[[#This Row],[return_loss]]+tbl_profitability[[#This Row],[operating_costs]])/tbl_raw[[#This Row],[units_sold]]</f>
        <v>27.87912408759124</v>
      </c>
      <c r="L393" s="8" t="str">
        <f>tbl_raw[[#This Row],[decision]]</f>
        <v>EXIT</v>
      </c>
    </row>
    <row r="394" spans="1:12" x14ac:dyDescent="0.35">
      <c r="A394" s="3" t="str">
        <f>tbl_raw[[#This Row],[product_id]]</f>
        <v>71f2ce4ae5dfdd3b55a51c7a2d3c4da8</v>
      </c>
      <c r="B394" s="4" t="str">
        <f>tbl_raw[[#This Row],[category]]</f>
        <v>construction_tools_construction</v>
      </c>
      <c r="C394" s="2">
        <f>tbl_raw[[#This Row],[gross_revenue]]</f>
        <v>4059.93</v>
      </c>
      <c r="D394" s="2">
        <f>tbl_raw[[#This Row],[return_loss]]</f>
        <v>2.52</v>
      </c>
      <c r="E394" s="2">
        <f t="shared" si="6"/>
        <v>4057.41</v>
      </c>
      <c r="F394" s="2">
        <f>tbl_raw[[#This Row],[cogs]]</f>
        <v>1826.97</v>
      </c>
      <c r="G394" s="2">
        <f>SUM(tbl_raw[[#This Row],[storage_cost]:[freight_cost]])</f>
        <v>315.07</v>
      </c>
      <c r="H394" s="2">
        <f>tbl_profitability[[#This Row],[net_revenue_after_returns]]-tbl_profitability[[#This Row],[cogs]]-tbl_profitability[[#This Row],[operating_costs]]</f>
        <v>1915.3699999999997</v>
      </c>
      <c r="I394" s="10">
        <f>(tbl_profitability[[#This Row],[gross_revenue]]-tbl_profitability[[#This Row],[cogs]])/tbl_profitability[[#This Row],[gross_revenue]]</f>
        <v>0.54999963053550183</v>
      </c>
      <c r="J394" s="10">
        <f>tbl_profitability[[#This Row],[net_profit]]/tbl_profitability[[#This Row],[gross_revenue]]</f>
        <v>0.47177414388918026</v>
      </c>
      <c r="K394" s="2">
        <f>(tbl_profitability[[#This Row],[cogs]]+tbl_profitability[[#This Row],[return_loss]]+tbl_profitability[[#This Row],[operating_costs]])/tbl_raw[[#This Row],[units_sold]]</f>
        <v>306.36571428571426</v>
      </c>
      <c r="L394" s="8" t="str">
        <f>tbl_raw[[#This Row],[decision]]</f>
        <v>SCALE</v>
      </c>
    </row>
    <row r="395" spans="1:12" x14ac:dyDescent="0.35">
      <c r="A395" s="3" t="str">
        <f>tbl_raw[[#This Row],[product_id]]</f>
        <v>df480c7d3f979093ac4c2d1109e78289</v>
      </c>
      <c r="B395" s="4" t="str">
        <f>tbl_raw[[#This Row],[category]]</f>
        <v>watches_gifts</v>
      </c>
      <c r="C395" s="2">
        <f>tbl_raw[[#This Row],[gross_revenue]]</f>
        <v>4055.85</v>
      </c>
      <c r="D395" s="2">
        <f>tbl_raw[[#This Row],[return_loss]]</f>
        <v>2.16</v>
      </c>
      <c r="E395" s="2">
        <f t="shared" si="6"/>
        <v>4053.69</v>
      </c>
      <c r="F395" s="2">
        <f>tbl_raw[[#This Row],[cogs]]</f>
        <v>1703.46</v>
      </c>
      <c r="G395" s="2">
        <f>SUM(tbl_raw[[#This Row],[storage_cost]:[freight_cost]])</f>
        <v>158.86000000000001</v>
      </c>
      <c r="H395" s="2">
        <f>tbl_profitability[[#This Row],[net_revenue_after_returns]]-tbl_profitability[[#This Row],[cogs]]-tbl_profitability[[#This Row],[operating_costs]]</f>
        <v>2191.37</v>
      </c>
      <c r="I395" s="10">
        <f>(tbl_profitability[[#This Row],[gross_revenue]]-tbl_profitability[[#This Row],[cogs]])/tbl_profitability[[#This Row],[gross_revenue]]</f>
        <v>0.57999926032767479</v>
      </c>
      <c r="J395" s="10">
        <f>tbl_profitability[[#This Row],[net_profit]]/tbl_profitability[[#This Row],[gross_revenue]]</f>
        <v>0.54029858106192286</v>
      </c>
      <c r="K395" s="2">
        <f>(tbl_profitability[[#This Row],[cogs]]+tbl_profitability[[#This Row],[return_loss]]+tbl_profitability[[#This Row],[operating_costs]])/tbl_raw[[#This Row],[units_sold]]</f>
        <v>310.74666666666667</v>
      </c>
      <c r="L395" s="8" t="str">
        <f>tbl_raw[[#This Row],[decision]]</f>
        <v>SCALE</v>
      </c>
    </row>
    <row r="396" spans="1:12" x14ac:dyDescent="0.35">
      <c r="A396" s="3" t="str">
        <f>tbl_raw[[#This Row],[product_id]]</f>
        <v>813e0977846de5206007de2bb18e44ba</v>
      </c>
      <c r="B396" s="4" t="str">
        <f>tbl_raw[[#This Row],[category]]</f>
        <v>toys</v>
      </c>
      <c r="C396" s="2">
        <f>tbl_raw[[#This Row],[gross_revenue]]</f>
        <v>4050</v>
      </c>
      <c r="D396" s="2">
        <f>tbl_raw[[#This Row],[return_loss]]</f>
        <v>1.08</v>
      </c>
      <c r="E396" s="2">
        <f t="shared" si="6"/>
        <v>4048.92</v>
      </c>
      <c r="F396" s="2">
        <f>tbl_raw[[#This Row],[cogs]]</f>
        <v>1701</v>
      </c>
      <c r="G396" s="2">
        <f>SUM(tbl_raw[[#This Row],[storage_cost]:[freight_cost]])</f>
        <v>414.48</v>
      </c>
      <c r="H396" s="2">
        <f>tbl_profitability[[#This Row],[net_revenue_after_returns]]-tbl_profitability[[#This Row],[cogs]]-tbl_profitability[[#This Row],[operating_costs]]</f>
        <v>1933.44</v>
      </c>
      <c r="I396" s="10">
        <f>(tbl_profitability[[#This Row],[gross_revenue]]-tbl_profitability[[#This Row],[cogs]])/tbl_profitability[[#This Row],[gross_revenue]]</f>
        <v>0.57999999999999996</v>
      </c>
      <c r="J396" s="10">
        <f>tbl_profitability[[#This Row],[net_profit]]/tbl_profitability[[#This Row],[gross_revenue]]</f>
        <v>0.47739259259259259</v>
      </c>
      <c r="K396" s="2">
        <f>(tbl_profitability[[#This Row],[cogs]]+tbl_profitability[[#This Row],[return_loss]]+tbl_profitability[[#This Row],[operating_costs]])/tbl_raw[[#This Row],[units_sold]]</f>
        <v>705.52</v>
      </c>
      <c r="L396" s="8" t="str">
        <f>tbl_raw[[#This Row],[decision]]</f>
        <v>OPTIMIZE</v>
      </c>
    </row>
    <row r="397" spans="1:12" x14ac:dyDescent="0.35">
      <c r="A397" s="3" t="str">
        <f>tbl_raw[[#This Row],[product_id]]</f>
        <v>e5841e5f87a255ec40d170b4177d03ce</v>
      </c>
      <c r="B397" s="4" t="str">
        <f>tbl_raw[[#This Row],[category]]</f>
        <v>watches_gifts</v>
      </c>
      <c r="C397" s="2">
        <f>tbl_raw[[#This Row],[gross_revenue]]</f>
        <v>4044.31</v>
      </c>
      <c r="D397" s="2">
        <f>tbl_raw[[#This Row],[return_loss]]</f>
        <v>2.16</v>
      </c>
      <c r="E397" s="2">
        <f t="shared" si="6"/>
        <v>4042.15</v>
      </c>
      <c r="F397" s="2">
        <f>tbl_raw[[#This Row],[cogs]]</f>
        <v>1698.61</v>
      </c>
      <c r="G397" s="2">
        <f>SUM(tbl_raw[[#This Row],[storage_cost]:[freight_cost]])</f>
        <v>127.51</v>
      </c>
      <c r="H397" s="2">
        <f>tbl_profitability[[#This Row],[net_revenue_after_returns]]-tbl_profitability[[#This Row],[cogs]]-tbl_profitability[[#This Row],[operating_costs]]</f>
        <v>2216.0299999999997</v>
      </c>
      <c r="I397" s="10">
        <f>(tbl_profitability[[#This Row],[gross_revenue]]-tbl_profitability[[#This Row],[cogs]])/tbl_profitability[[#This Row],[gross_revenue]]</f>
        <v>0.5800000494521933</v>
      </c>
      <c r="J397" s="10">
        <f>tbl_profitability[[#This Row],[net_profit]]/tbl_profitability[[#This Row],[gross_revenue]]</f>
        <v>0.54793771990772211</v>
      </c>
      <c r="K397" s="2">
        <f>(tbl_profitability[[#This Row],[cogs]]+tbl_profitability[[#This Row],[return_loss]]+tbl_profitability[[#This Row],[operating_costs]])/tbl_raw[[#This Row],[units_sold]]</f>
        <v>304.71333333333331</v>
      </c>
      <c r="L397" s="8" t="str">
        <f>tbl_raw[[#This Row],[decision]]</f>
        <v>SCALE</v>
      </c>
    </row>
    <row r="398" spans="1:12" x14ac:dyDescent="0.35">
      <c r="A398" s="3" t="str">
        <f>tbl_raw[[#This Row],[product_id]]</f>
        <v>0296dd002a346e3bbdda4e0bc48a5073</v>
      </c>
      <c r="B398" s="4" t="str">
        <f>tbl_raw[[#This Row],[category]]</f>
        <v>furniture_bedroom</v>
      </c>
      <c r="C398" s="2">
        <f>tbl_raw[[#This Row],[gross_revenue]]</f>
        <v>4040</v>
      </c>
      <c r="D398" s="2">
        <f>tbl_raw[[#This Row],[return_loss]]</f>
        <v>2.88</v>
      </c>
      <c r="E398" s="2">
        <f t="shared" si="6"/>
        <v>4037.12</v>
      </c>
      <c r="F398" s="2">
        <f>tbl_raw[[#This Row],[cogs]]</f>
        <v>1818</v>
      </c>
      <c r="G398" s="2">
        <f>SUM(tbl_raw[[#This Row],[storage_cost]:[freight_cost]])</f>
        <v>501.14</v>
      </c>
      <c r="H398" s="2">
        <f>tbl_profitability[[#This Row],[net_revenue_after_returns]]-tbl_profitability[[#This Row],[cogs]]-tbl_profitability[[#This Row],[operating_costs]]</f>
        <v>1717.98</v>
      </c>
      <c r="I398" s="10">
        <f>(tbl_profitability[[#This Row],[gross_revenue]]-tbl_profitability[[#This Row],[cogs]])/tbl_profitability[[#This Row],[gross_revenue]]</f>
        <v>0.55000000000000004</v>
      </c>
      <c r="J398" s="10">
        <f>tbl_profitability[[#This Row],[net_profit]]/tbl_profitability[[#This Row],[gross_revenue]]</f>
        <v>0.42524257425742573</v>
      </c>
      <c r="K398" s="2">
        <f>(tbl_profitability[[#This Row],[cogs]]+tbl_profitability[[#This Row],[return_loss]]+tbl_profitability[[#This Row],[operating_costs]])/tbl_raw[[#This Row],[units_sold]]</f>
        <v>290.2525</v>
      </c>
      <c r="L398" s="8" t="str">
        <f>tbl_raw[[#This Row],[decision]]</f>
        <v>SCALE</v>
      </c>
    </row>
    <row r="399" spans="1:12" x14ac:dyDescent="0.35">
      <c r="A399" s="3" t="str">
        <f>tbl_raw[[#This Row],[product_id]]</f>
        <v>91c82ace62e0ca1b69b1a45bcc214b45</v>
      </c>
      <c r="B399" s="4" t="str">
        <f>tbl_raw[[#This Row],[category]]</f>
        <v>watches_gifts</v>
      </c>
      <c r="C399" s="2">
        <f>tbl_raw[[#This Row],[gross_revenue]]</f>
        <v>4034.53</v>
      </c>
      <c r="D399" s="2">
        <f>tbl_raw[[#This Row],[return_loss]]</f>
        <v>7.92</v>
      </c>
      <c r="E399" s="2">
        <f t="shared" si="6"/>
        <v>4026.61</v>
      </c>
      <c r="F399" s="2">
        <f>tbl_raw[[#This Row],[cogs]]</f>
        <v>1694.5</v>
      </c>
      <c r="G399" s="2">
        <f>SUM(tbl_raw[[#This Row],[storage_cost]:[freight_cost]])</f>
        <v>551.29</v>
      </c>
      <c r="H399" s="2">
        <f>tbl_profitability[[#This Row],[net_revenue_after_returns]]-tbl_profitability[[#This Row],[cogs]]-tbl_profitability[[#This Row],[operating_costs]]</f>
        <v>1780.8200000000002</v>
      </c>
      <c r="I399" s="10">
        <f>(tbl_profitability[[#This Row],[gross_revenue]]-tbl_profitability[[#This Row],[cogs]])/tbl_profitability[[#This Row],[gross_revenue]]</f>
        <v>0.58000064443689847</v>
      </c>
      <c r="J399" s="10">
        <f>tbl_profitability[[#This Row],[net_profit]]/tbl_profitability[[#This Row],[gross_revenue]]</f>
        <v>0.44139466059243582</v>
      </c>
      <c r="K399" s="2">
        <f>(tbl_profitability[[#This Row],[cogs]]+tbl_profitability[[#This Row],[return_loss]]+tbl_profitability[[#This Row],[operating_costs]])/tbl_raw[[#This Row],[units_sold]]</f>
        <v>102.44136363636363</v>
      </c>
      <c r="L399" s="8" t="str">
        <f>tbl_raw[[#This Row],[decision]]</f>
        <v>SCALE</v>
      </c>
    </row>
    <row r="400" spans="1:12" x14ac:dyDescent="0.35">
      <c r="A400" s="3" t="str">
        <f>tbl_raw[[#This Row],[product_id]]</f>
        <v>33fca9d59532dd4c191217a979346ab9</v>
      </c>
      <c r="B400" s="4" t="str">
        <f>tbl_raw[[#This Row],[category]]</f>
        <v>perfumery</v>
      </c>
      <c r="C400" s="2">
        <f>tbl_raw[[#This Row],[gross_revenue]]</f>
        <v>4018.29</v>
      </c>
      <c r="D400" s="2">
        <f>tbl_raw[[#This Row],[return_loss]]</f>
        <v>5.76</v>
      </c>
      <c r="E400" s="2">
        <f t="shared" si="6"/>
        <v>4012.5299999999997</v>
      </c>
      <c r="F400" s="2">
        <f>tbl_raw[[#This Row],[cogs]]</f>
        <v>1687.68</v>
      </c>
      <c r="G400" s="2">
        <f>SUM(tbl_raw[[#This Row],[storage_cost]:[freight_cost]])</f>
        <v>303.48</v>
      </c>
      <c r="H400" s="2">
        <f>tbl_profitability[[#This Row],[net_revenue_after_returns]]-tbl_profitability[[#This Row],[cogs]]-tbl_profitability[[#This Row],[operating_costs]]</f>
        <v>2021.3699999999994</v>
      </c>
      <c r="I400" s="10">
        <f>(tbl_profitability[[#This Row],[gross_revenue]]-tbl_profitability[[#This Row],[cogs]])/tbl_profitability[[#This Row],[gross_revenue]]</f>
        <v>0.58000044795174055</v>
      </c>
      <c r="J400" s="10">
        <f>tbl_profitability[[#This Row],[net_profit]]/tbl_profitability[[#This Row],[gross_revenue]]</f>
        <v>0.5030423389053551</v>
      </c>
      <c r="K400" s="2">
        <f>(tbl_profitability[[#This Row],[cogs]]+tbl_profitability[[#This Row],[return_loss]]+tbl_profitability[[#This Row],[operating_costs]])/tbl_raw[[#This Row],[units_sold]]</f>
        <v>124.8075</v>
      </c>
      <c r="L400" s="8" t="str">
        <f>tbl_raw[[#This Row],[decision]]</f>
        <v>OPTIMIZE</v>
      </c>
    </row>
    <row r="401" spans="1:12" x14ac:dyDescent="0.35">
      <c r="A401" s="3" t="str">
        <f>tbl_raw[[#This Row],[product_id]]</f>
        <v>ca5c923962558430573f83661dbe36d6</v>
      </c>
      <c r="B401" s="4" t="str">
        <f>tbl_raw[[#This Row],[category]]</f>
        <v>pet_shop</v>
      </c>
      <c r="C401" s="2">
        <f>tbl_raw[[#This Row],[gross_revenue]]</f>
        <v>4004</v>
      </c>
      <c r="D401" s="2">
        <f>tbl_raw[[#This Row],[return_loss]]</f>
        <v>13.32</v>
      </c>
      <c r="E401" s="2">
        <f t="shared" si="6"/>
        <v>3990.68</v>
      </c>
      <c r="F401" s="2">
        <f>tbl_raw[[#This Row],[cogs]]</f>
        <v>1801.8</v>
      </c>
      <c r="G401" s="2">
        <f>SUM(tbl_raw[[#This Row],[storage_cost]:[freight_cost]])</f>
        <v>934.1</v>
      </c>
      <c r="H401" s="2">
        <f>tbl_profitability[[#This Row],[net_revenue_after_returns]]-tbl_profitability[[#This Row],[cogs]]-tbl_profitability[[#This Row],[operating_costs]]</f>
        <v>1254.7800000000002</v>
      </c>
      <c r="I401" s="10">
        <f>(tbl_profitability[[#This Row],[gross_revenue]]-tbl_profitability[[#This Row],[cogs]])/tbl_profitability[[#This Row],[gross_revenue]]</f>
        <v>0.54999999999999993</v>
      </c>
      <c r="J401" s="10">
        <f>tbl_profitability[[#This Row],[net_profit]]/tbl_profitability[[#This Row],[gross_revenue]]</f>
        <v>0.31338161838161843</v>
      </c>
      <c r="K401" s="2">
        <f>(tbl_profitability[[#This Row],[cogs]]+tbl_profitability[[#This Row],[return_loss]]+tbl_profitability[[#This Row],[operating_costs]])/tbl_raw[[#This Row],[units_sold]]</f>
        <v>74.303243243243244</v>
      </c>
      <c r="L401" s="8" t="str">
        <f>tbl_raw[[#This Row],[decision]]</f>
        <v>SCALE</v>
      </c>
    </row>
    <row r="402" spans="1:12" x14ac:dyDescent="0.35">
      <c r="A402" s="3" t="str">
        <f>tbl_raw[[#This Row],[product_id]]</f>
        <v>6902c1962dd19d540807d0ab8fade5c6</v>
      </c>
      <c r="B402" s="4" t="str">
        <f>tbl_raw[[#This Row],[category]]</f>
        <v>watches_gifts</v>
      </c>
      <c r="C402" s="2">
        <f>tbl_raw[[#This Row],[gross_revenue]]</f>
        <v>3999.9</v>
      </c>
      <c r="D402" s="2">
        <f>tbl_raw[[#This Row],[return_loss]]</f>
        <v>0.36</v>
      </c>
      <c r="E402" s="2">
        <f t="shared" si="6"/>
        <v>3999.54</v>
      </c>
      <c r="F402" s="2">
        <f>tbl_raw[[#This Row],[cogs]]</f>
        <v>1679.96</v>
      </c>
      <c r="G402" s="2">
        <f>SUM(tbl_raw[[#This Row],[storage_cost]:[freight_cost]])</f>
        <v>22.01</v>
      </c>
      <c r="H402" s="2">
        <f>tbl_profitability[[#This Row],[net_revenue_after_returns]]-tbl_profitability[[#This Row],[cogs]]-tbl_profitability[[#This Row],[operating_costs]]</f>
        <v>2297.5699999999997</v>
      </c>
      <c r="I402" s="10">
        <f>(tbl_profitability[[#This Row],[gross_revenue]]-tbl_profitability[[#This Row],[cogs]])/tbl_profitability[[#This Row],[gross_revenue]]</f>
        <v>0.57999949998749967</v>
      </c>
      <c r="J402" s="10">
        <f>tbl_profitability[[#This Row],[net_profit]]/tbl_profitability[[#This Row],[gross_revenue]]</f>
        <v>0.57440686017150422</v>
      </c>
      <c r="K402" s="2">
        <f>(tbl_profitability[[#This Row],[cogs]]+tbl_profitability[[#This Row],[return_loss]]+tbl_profitability[[#This Row],[operating_costs]])/tbl_raw[[#This Row],[units_sold]]</f>
        <v>1702.33</v>
      </c>
      <c r="L402" s="8" t="str">
        <f>tbl_raw[[#This Row],[decision]]</f>
        <v>SCALE</v>
      </c>
    </row>
    <row r="403" spans="1:12" x14ac:dyDescent="0.35">
      <c r="A403" s="3"/>
      <c r="B403" s="4"/>
      <c r="C403" s="2"/>
      <c r="D403" s="2"/>
      <c r="E403" s="2"/>
      <c r="F403" s="2"/>
      <c r="G403" s="2"/>
      <c r="H403" s="2"/>
      <c r="K403" s="2"/>
      <c r="L403" s="8"/>
    </row>
    <row r="404" spans="1:12" ht="15" thickBot="1" x14ac:dyDescent="0.4"/>
    <row r="405" spans="1:12" ht="29" customHeight="1" x14ac:dyDescent="0.35">
      <c r="A405" s="231" t="s">
        <v>475</v>
      </c>
      <c r="B405" s="232"/>
      <c r="C405" s="232"/>
      <c r="D405" s="233"/>
    </row>
    <row r="406" spans="1:12" x14ac:dyDescent="0.35">
      <c r="A406" s="13"/>
      <c r="D406" s="14"/>
    </row>
    <row r="407" spans="1:12" x14ac:dyDescent="0.35">
      <c r="A407" s="15" t="s">
        <v>466</v>
      </c>
      <c r="B407" s="12" t="s">
        <v>467</v>
      </c>
      <c r="C407" s="12" t="s">
        <v>468</v>
      </c>
      <c r="D407" s="16" t="s">
        <v>469</v>
      </c>
    </row>
    <row r="408" spans="1:12" x14ac:dyDescent="0.35">
      <c r="A408" s="17" t="s">
        <v>470</v>
      </c>
      <c r="B408" s="11" t="s">
        <v>471</v>
      </c>
      <c r="C408" s="18" cm="1">
        <f t="array" ref="C408">MAX(ABS(tbl_profitability[net_profit]-tbl_raw[net_profit_sql_check]))</f>
        <v>7.2759576141834259E-12</v>
      </c>
      <c r="D408" s="14" t="str">
        <f>IF(C408&lt;0.01,"✓ Pass","✗ Fail")</f>
        <v>✓ Pass</v>
      </c>
    </row>
    <row r="409" spans="1:12" x14ac:dyDescent="0.35">
      <c r="A409" s="17" t="s">
        <v>472</v>
      </c>
      <c r="B409" s="11" t="s">
        <v>473</v>
      </c>
      <c r="C409" s="19" cm="1">
        <f t="array" ref="C409">MAX(ABS(tbl_profitability[net_margin_pct]-tbl_raw[net_margin_pct_sql_check]))</f>
        <v>4.9999999999883471E-5</v>
      </c>
      <c r="D409" s="14" t="str">
        <f>IF(C409&lt;0.0001,"✓ Pass","✗ Fail")</f>
        <v>✓ Pass</v>
      </c>
    </row>
    <row r="410" spans="1:12" x14ac:dyDescent="0.35">
      <c r="A410" s="17" t="s">
        <v>474</v>
      </c>
      <c r="B410" s="11">
        <f xml:space="preserve"> 400</f>
        <v>400</v>
      </c>
      <c r="C410" s="20">
        <f>ROWS(tbl_profitability[])</f>
        <v>400</v>
      </c>
      <c r="D410" s="14" t="str">
        <f>IF(C410=400,"✓ Pass","✗ Fail")</f>
        <v>✓ Pass</v>
      </c>
    </row>
    <row r="411" spans="1:12" ht="15" thickBot="1" x14ac:dyDescent="0.4">
      <c r="A411" s="17"/>
      <c r="D411" s="14"/>
    </row>
    <row r="412" spans="1:12" ht="15" thickBot="1" x14ac:dyDescent="0.4">
      <c r="A412" s="234" t="str">
        <f>IF(COUNTIF(D408:D410,"✓ Pass")=3,"✓ RECONCILED - Model ties to SQL source within tolerance.","✗ INVESTIGATE — One or more checks failed. Do not rely on downstream tabs until resolved.")</f>
        <v>✓ RECONCILED - Model ties to SQL source within tolerance.</v>
      </c>
      <c r="B412" s="235"/>
      <c r="C412" s="235"/>
      <c r="D412" s="236"/>
    </row>
  </sheetData>
  <mergeCells count="2">
    <mergeCell ref="A405:D405"/>
    <mergeCell ref="A412:D412"/>
  </mergeCells>
  <conditionalFormatting sqref="A412">
    <cfRule type="cellIs" dxfId="22" priority="4" operator="equal">
      <formula>"✗ INVESTIGATE — One or more checks failed. Do not rely on downstream tabs until resolved."</formula>
    </cfRule>
    <cfRule type="cellIs" dxfId="21" priority="5" operator="equal">
      <formula>"✓ RECONCILED - Model ties to SQL source within tolerance."</formula>
    </cfRule>
  </conditionalFormatting>
  <conditionalFormatting sqref="D408:D410">
    <cfRule type="cellIs" dxfId="20" priority="6" operator="equal">
      <formula>"✓ Pass"</formula>
    </cfRule>
    <cfRule type="cellIs" dxfId="19" priority="7" operator="equal">
      <formula>"✗ Fail"</formula>
    </cfRule>
  </conditionalFormatting>
  <conditionalFormatting sqref="L1:L1048576">
    <cfRule type="cellIs" dxfId="18" priority="8" operator="equal">
      <formula>"EXIT"</formula>
    </cfRule>
    <cfRule type="cellIs" dxfId="17" priority="9" operator="equal">
      <formula>"OPTIMIZE"</formula>
    </cfRule>
    <cfRule type="cellIs" dxfId="16" priority="10" operator="equal">
      <formula>"SCALE"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E3E5-895E-4613-BE8E-79798AFC3A26}">
  <dimension ref="A1:AA402"/>
  <sheetViews>
    <sheetView zoomScale="66" zoomScaleNormal="3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V14" sqref="V14"/>
    </sheetView>
  </sheetViews>
  <sheetFormatPr defaultRowHeight="14.5" x14ac:dyDescent="0.35"/>
  <cols>
    <col min="1" max="1" width="33.36328125" bestFit="1" customWidth="1"/>
    <col min="2" max="2" width="35.08984375" bestFit="1" customWidth="1"/>
    <col min="3" max="3" width="20.453125" style="2" customWidth="1"/>
    <col min="4" max="4" width="14.81640625" style="42" customWidth="1"/>
    <col min="5" max="5" width="9.08984375" style="11" customWidth="1"/>
    <col min="6" max="6" width="12.54296875" style="2" customWidth="1"/>
    <col min="7" max="7" width="13.54296875" style="42" customWidth="1"/>
    <col min="8" max="8" width="14.90625" style="42" customWidth="1"/>
    <col min="9" max="9" width="11.08984375" style="11" customWidth="1"/>
    <col min="10" max="10" width="12.453125" style="2" customWidth="1"/>
    <col min="11" max="11" width="13.453125" style="42" customWidth="1"/>
    <col min="12" max="12" width="14.81640625" style="42" customWidth="1"/>
    <col min="13" max="13" width="14.36328125" style="11" bestFit="1" customWidth="1"/>
    <col min="14" max="14" width="12.453125" style="2" customWidth="1"/>
    <col min="15" max="15" width="13.453125" style="42" customWidth="1"/>
    <col min="16" max="16" width="14.81640625" style="42" customWidth="1"/>
    <col min="17" max="17" width="11" style="11" customWidth="1"/>
    <col min="18" max="18" width="15.1796875" style="11" bestFit="1" customWidth="1"/>
    <col min="24" max="24" width="18.81640625" customWidth="1"/>
  </cols>
  <sheetData>
    <row r="1" spans="1:27" ht="15" customHeight="1" thickBot="1" x14ac:dyDescent="0.4">
      <c r="A1" s="39"/>
      <c r="B1" s="40"/>
      <c r="C1" s="220" t="s">
        <v>481</v>
      </c>
      <c r="D1" s="221"/>
      <c r="E1" s="221"/>
      <c r="F1" s="222" t="s">
        <v>482</v>
      </c>
      <c r="G1" s="223"/>
      <c r="H1" s="223"/>
      <c r="I1" s="223"/>
      <c r="J1" s="224" t="s">
        <v>483</v>
      </c>
      <c r="K1" s="225"/>
      <c r="L1" s="225"/>
      <c r="M1" s="225"/>
      <c r="N1" s="226" t="s">
        <v>484</v>
      </c>
      <c r="O1" s="227"/>
      <c r="P1" s="227"/>
      <c r="Q1" s="227"/>
      <c r="R1" s="51" t="s">
        <v>485</v>
      </c>
      <c r="T1" s="25" t="s">
        <v>476</v>
      </c>
      <c r="U1" s="228" t="s">
        <v>477</v>
      </c>
      <c r="V1" s="229"/>
      <c r="W1" s="229"/>
      <c r="X1" s="230"/>
      <c r="Y1" s="26"/>
    </row>
    <row r="2" spans="1:27" ht="15" thickBot="1" x14ac:dyDescent="0.4">
      <c r="A2" s="41" t="s">
        <v>1</v>
      </c>
      <c r="B2" s="22" t="s">
        <v>2</v>
      </c>
      <c r="C2" s="66" t="s">
        <v>462</v>
      </c>
      <c r="D2" s="67" t="s">
        <v>464</v>
      </c>
      <c r="E2" s="68" t="s">
        <v>15</v>
      </c>
      <c r="F2" s="59" t="s">
        <v>486</v>
      </c>
      <c r="G2" s="60" t="s">
        <v>487</v>
      </c>
      <c r="H2" s="60" t="s">
        <v>488</v>
      </c>
      <c r="I2" s="61" t="s">
        <v>489</v>
      </c>
      <c r="J2" s="69" t="s">
        <v>490</v>
      </c>
      <c r="K2" s="70" t="s">
        <v>491</v>
      </c>
      <c r="L2" s="70" t="s">
        <v>492</v>
      </c>
      <c r="M2" s="71" t="s">
        <v>493</v>
      </c>
      <c r="N2" s="62" t="s">
        <v>494</v>
      </c>
      <c r="O2" s="63" t="s">
        <v>495</v>
      </c>
      <c r="P2" s="64" t="s">
        <v>496</v>
      </c>
      <c r="Q2" s="65" t="s">
        <v>497</v>
      </c>
      <c r="R2" s="52" t="s">
        <v>498</v>
      </c>
      <c r="T2" s="27" t="s">
        <v>478</v>
      </c>
      <c r="U2" s="24" t="s">
        <v>499</v>
      </c>
      <c r="V2" s="24"/>
      <c r="W2" s="24"/>
      <c r="X2" s="24"/>
      <c r="Y2" s="38">
        <v>0.1</v>
      </c>
    </row>
    <row r="3" spans="1:27" ht="15" thickBot="1" x14ac:dyDescent="0.4">
      <c r="A3" s="17" t="str">
        <f>tbl_raw[[#This Row],[product_id]]</f>
        <v>bb50f2e236e5eea0100680137654686c</v>
      </c>
      <c r="B3" t="str">
        <f>tbl_raw[[#This Row],[category]]</f>
        <v>health_beauty</v>
      </c>
      <c r="C3" s="2">
        <f>tbl_profitability[[#This Row],[net_profit]]</f>
        <v>32319.000000000007</v>
      </c>
      <c r="D3" s="42">
        <f>tbl_profitability[[#This Row],[net_margin_pct]]</f>
        <v>0.505893402207091</v>
      </c>
      <c r="E3" s="49" t="str">
        <f>tbl_profitability[[#This Row],[decision]]</f>
        <v>SCALE</v>
      </c>
      <c r="F3" s="2">
        <f>tbl_raw[[#This Row],[gross_revenue]]-tbl_raw[[#This Row],[return_loss]]-tbl_raw[[#This Row],[cogs]]*(1+scn_A_cogs_up)-(tbl_raw[[#This Row],[storage_cost]]+tbl_raw[[#This Row],[fulfillment_cost]]+tbl_raw[[#This Row],[freight_cost]])</f>
        <v>29635.83</v>
      </c>
      <c r="G3" s="42">
        <f>tbl_scenarios[[#This Row],[net_profit_A]]/tbl_raw[[#This Row],[gross_revenue]]</f>
        <v>0.46389340220709091</v>
      </c>
      <c r="H3" s="43">
        <f>tbl_scenarios[[#This Row],[net_margin_A]]-tbl_scenarios[[#This Row],[net_margin_pct]]</f>
        <v>-4.2000000000000093E-2</v>
      </c>
      <c r="I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" s="2">
        <f>tbl_raw[[#This Row],[gross_revenue]]-tbl_raw[[#This Row],[return_loss]]*(1+scn_B_returns_up/0.05)-tbl_raw[[#This Row],[cogs]]-(tbl_raw[[#This Row],[storage_cost]]+tbl_raw[[#This Row],[fulfillment_cost]]+tbl_raw[[#This Row],[freight_cost]])</f>
        <v>32248.799999999996</v>
      </c>
      <c r="K3" s="42">
        <f>tbl_scenarios[[#This Row],[net_profit_B]]/tbl_raw[[#This Row],[gross_revenue]]</f>
        <v>0.5047945527119041</v>
      </c>
      <c r="L3" s="43">
        <f>tbl_scenarios[[#This Row],[net_margin_B]]-tbl_scenarios[[#This Row],[net_margin_pct]]</f>
        <v>-1.0988494951869043E-3</v>
      </c>
      <c r="M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" s="2">
        <f>tbl_raw[[#This Row],[gross_revenue]]*(1-scn_C_price_down)-tbl_raw[[#This Row],[return_loss]]-tbl_raw[[#This Row],[cogs]]-(tbl_raw[[#This Row],[storage_cost]]+tbl_raw[[#This Row],[fulfillment_cost]]+tbl_raw[[#This Row],[freight_cost]])</f>
        <v>29124.750000000007</v>
      </c>
      <c r="O3" s="42">
        <f>tbl_scenarios[[#This Row],[net_profit_C]]/(tbl_raw[[#This Row],[gross_revenue]]*(1-scn_C_price_down))</f>
        <v>0.47988779179693786</v>
      </c>
      <c r="P3" s="43">
        <f>tbl_scenarios[[#This Row],[net_margin_C]]-tbl_scenarios[[#This Row],[net_margin_pct]]</f>
        <v>-2.6005610410153146E-2</v>
      </c>
      <c r="Q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  <c r="T3" s="27" t="s">
        <v>479</v>
      </c>
      <c r="U3" s="24" t="s">
        <v>500</v>
      </c>
      <c r="V3" s="24"/>
      <c r="W3" s="24"/>
      <c r="X3" s="24"/>
      <c r="Y3" s="38">
        <v>0.05</v>
      </c>
    </row>
    <row r="4" spans="1:27" ht="15" thickBot="1" x14ac:dyDescent="0.4">
      <c r="A4" s="17" t="str">
        <f>tbl_raw[[#This Row],[product_id]]</f>
        <v>6cdd53843498f92890544667809f1595</v>
      </c>
      <c r="B4" t="str">
        <f>tbl_raw[[#This Row],[category]]</f>
        <v>health_beauty</v>
      </c>
      <c r="C4" s="2">
        <f>tbl_profitability[[#This Row],[net_profit]]</f>
        <v>26563.569999999992</v>
      </c>
      <c r="D4" s="42">
        <f>tbl_profitability[[#This Row],[net_margin_pct]]</f>
        <v>0.48535488633332224</v>
      </c>
      <c r="E4" s="49" t="str">
        <f>tbl_profitability[[#This Row],[decision]]</f>
        <v>SCALE</v>
      </c>
      <c r="F4" s="2">
        <f>tbl_raw[[#This Row],[gross_revenue]]-tbl_raw[[#This Row],[return_loss]]-tbl_raw[[#This Row],[cogs]]*(1+scn_A_cogs_up)-(tbl_raw[[#This Row],[storage_cost]]+tbl_raw[[#This Row],[fulfillment_cost]]+tbl_raw[[#This Row],[freight_cost]])</f>
        <v>24264.901999999991</v>
      </c>
      <c r="G4" s="42">
        <f>tbl_scenarios[[#This Row],[net_profit_A]]/tbl_raw[[#This Row],[gross_revenue]]</f>
        <v>0.44335489364190139</v>
      </c>
      <c r="H4" s="43">
        <f>tbl_scenarios[[#This Row],[net_margin_A]]-tbl_scenarios[[#This Row],[net_margin_pct]]</f>
        <v>-4.1999992691420851E-2</v>
      </c>
      <c r="I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4" s="2">
        <f>tbl_raw[[#This Row],[gross_revenue]]-tbl_raw[[#This Row],[return_loss]]*(1+scn_B_returns_up/0.05)-tbl_raw[[#This Row],[cogs]]-(tbl_raw[[#This Row],[storage_cost]]+tbl_raw[[#This Row],[fulfillment_cost]]+tbl_raw[[#This Row],[freight_cost]])</f>
        <v>26507.409999999996</v>
      </c>
      <c r="K4" s="42">
        <f>tbl_scenarios[[#This Row],[net_profit_B]]/tbl_raw[[#This Row],[gross_revenue]]</f>
        <v>0.48432876181705892</v>
      </c>
      <c r="L4" s="43">
        <f>tbl_scenarios[[#This Row],[net_margin_B]]-tbl_scenarios[[#This Row],[net_margin_pct]]</f>
        <v>-1.026124516263327E-3</v>
      </c>
      <c r="M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4" s="2">
        <f>tbl_raw[[#This Row],[gross_revenue]]*(1-scn_C_price_down)-tbl_raw[[#This Row],[return_loss]]-tbl_raw[[#This Row],[cogs]]-(tbl_raw[[#This Row],[storage_cost]]+tbl_raw[[#This Row],[fulfillment_cost]]+tbl_raw[[#This Row],[freight_cost]])</f>
        <v>23827.05999999999</v>
      </c>
      <c r="O4" s="42">
        <f>tbl_scenarios[[#This Row],[net_profit_C]]/(tbl_raw[[#This Row],[gross_revenue]]*(1-scn_C_price_down))</f>
        <v>0.45826830140349711</v>
      </c>
      <c r="P4" s="43">
        <f>tbl_scenarios[[#This Row],[net_margin_C]]-tbl_scenarios[[#This Row],[net_margin_pct]]</f>
        <v>-2.708658492982513E-2</v>
      </c>
      <c r="Q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  <c r="T4" s="28" t="s">
        <v>480</v>
      </c>
      <c r="U4" s="29" t="s">
        <v>501</v>
      </c>
      <c r="V4" s="29"/>
      <c r="W4" s="29"/>
      <c r="X4" s="29"/>
      <c r="Y4" s="38">
        <v>0.05</v>
      </c>
    </row>
    <row r="5" spans="1:27" x14ac:dyDescent="0.35">
      <c r="A5" s="17" t="str">
        <f>tbl_raw[[#This Row],[product_id]]</f>
        <v>d6160fb7873f184099d9bc95e30376af</v>
      </c>
      <c r="B5" t="str">
        <f>tbl_raw[[#This Row],[category]]</f>
        <v>computers</v>
      </c>
      <c r="C5" s="2">
        <f>tbl_profitability[[#This Row],[net_profit]]</f>
        <v>19139.629999999997</v>
      </c>
      <c r="D5" s="42">
        <f>tbl_profitability[[#This Row],[net_margin_pct]]</f>
        <v>0.39140875930022773</v>
      </c>
      <c r="E5" s="49" t="str">
        <f>tbl_profitability[[#This Row],[decision]]</f>
        <v>SCALE</v>
      </c>
      <c r="F5" s="2">
        <f>tbl_raw[[#This Row],[gross_revenue]]-tbl_raw[[#This Row],[return_loss]]-tbl_raw[[#This Row],[cogs]]*(1+scn_A_cogs_up)-(tbl_raw[[#This Row],[storage_cost]]+tbl_raw[[#This Row],[fulfillment_cost]]+tbl_raw[[#This Row],[freight_cost]])</f>
        <v>16352.367999999995</v>
      </c>
      <c r="G5" s="42">
        <f>tbl_scenarios[[#This Row],[net_profit_A]]/tbl_raw[[#This Row],[gross_revenue]]</f>
        <v>0.33440876707129374</v>
      </c>
      <c r="H5" s="43">
        <f>tbl_scenarios[[#This Row],[net_margin_A]]-tbl_scenarios[[#This Row],[net_margin_pct]]</f>
        <v>-5.6999992228933982E-2</v>
      </c>
      <c r="I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5" s="2">
        <f>tbl_raw[[#This Row],[gross_revenue]]-tbl_raw[[#This Row],[return_loss]]*(1+scn_B_returns_up/0.05)-tbl_raw[[#This Row],[cogs]]-(tbl_raw[[#This Row],[storage_cost]]+tbl_raw[[#This Row],[fulfillment_cost]]+tbl_raw[[#This Row],[freight_cost]])</f>
        <v>19108.129999999997</v>
      </c>
      <c r="K5" s="42">
        <f>tbl_scenarios[[#This Row],[net_profit_B]]/tbl_raw[[#This Row],[gross_revenue]]</f>
        <v>0.39076457882662624</v>
      </c>
      <c r="L5" s="43">
        <f>tbl_scenarios[[#This Row],[net_margin_B]]-tbl_scenarios[[#This Row],[net_margin_pct]]</f>
        <v>-6.4418047360148556E-4</v>
      </c>
      <c r="M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5" s="2">
        <f>tbl_raw[[#This Row],[gross_revenue]]*(1-scn_C_price_down)-tbl_raw[[#This Row],[return_loss]]-tbl_raw[[#This Row],[cogs]]-(tbl_raw[[#This Row],[storage_cost]]+tbl_raw[[#This Row],[fulfillment_cost]]+tbl_raw[[#This Row],[freight_cost]])</f>
        <v>16694.662999999993</v>
      </c>
      <c r="O5" s="42">
        <f>tbl_scenarios[[#This Row],[net_profit_C]]/(tbl_raw[[#This Row],[gross_revenue]]*(1-scn_C_price_down))</f>
        <v>0.35937764136866074</v>
      </c>
      <c r="P5" s="43">
        <f>tbl_scenarios[[#This Row],[net_margin_C]]-tbl_scenarios[[#This Row],[net_margin_pct]]</f>
        <v>-3.2031117931566988E-2</v>
      </c>
      <c r="Q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6" spans="1:27" x14ac:dyDescent="0.35">
      <c r="A6" s="17" t="str">
        <f>tbl_raw[[#This Row],[product_id]]</f>
        <v>d1c427060a0f73f6b889a5c7c61f2ac4</v>
      </c>
      <c r="B6" t="str">
        <f>tbl_raw[[#This Row],[category]]</f>
        <v>computers_accessories</v>
      </c>
      <c r="C6" s="2">
        <f>tbl_profitability[[#This Row],[net_profit]]</f>
        <v>2209.1700000000019</v>
      </c>
      <c r="D6" s="42">
        <f>tbl_profitability[[#This Row],[net_margin_pct]]</f>
        <v>4.7087262032065084E-2</v>
      </c>
      <c r="E6" s="49" t="str">
        <f>tbl_profitability[[#This Row],[decision]]</f>
        <v>EXIT</v>
      </c>
      <c r="F6" s="2">
        <f>tbl_raw[[#This Row],[gross_revenue]]-tbl_raw[[#This Row],[return_loss]]-tbl_raw[[#This Row],[cogs]]*(1+scn_A_cogs_up)-(tbl_raw[[#This Row],[storage_cost]]+tbl_raw[[#This Row],[fulfillment_cost]]+tbl_raw[[#This Row],[freight_cost]])</f>
        <v>-465.07099999999991</v>
      </c>
      <c r="G6" s="42">
        <f>tbl_scenarios[[#This Row],[net_profit_A]]/tbl_raw[[#This Row],[gross_revenue]]</f>
        <v>-9.9127364759228655E-3</v>
      </c>
      <c r="H6" s="43">
        <f>tbl_scenarios[[#This Row],[net_margin_A]]-tbl_scenarios[[#This Row],[net_margin_pct]]</f>
        <v>-5.6999998507987953E-2</v>
      </c>
      <c r="I6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6" s="2">
        <f>tbl_raw[[#This Row],[gross_revenue]]-tbl_raw[[#This Row],[return_loss]]*(1+scn_B_returns_up/0.05)-tbl_raw[[#This Row],[cogs]]-(tbl_raw[[#This Row],[storage_cost]]+tbl_raw[[#This Row],[fulfillment_cost]]+tbl_raw[[#This Row],[freight_cost]])</f>
        <v>1902.2700000000004</v>
      </c>
      <c r="K6" s="42">
        <f>tbl_scenarios[[#This Row],[net_profit_B]]/tbl_raw[[#This Row],[gross_revenue]]</f>
        <v>4.0545854753475913E-2</v>
      </c>
      <c r="L6" s="43">
        <f>tbl_scenarios[[#This Row],[net_margin_B]]-tbl_scenarios[[#This Row],[net_margin_pct]]</f>
        <v>-6.5414072785891716E-3</v>
      </c>
      <c r="M6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6" s="2">
        <f>tbl_raw[[#This Row],[gross_revenue]]*(1-scn_C_price_down)-tbl_raw[[#This Row],[return_loss]]-tbl_raw[[#This Row],[cogs]]-(tbl_raw[[#This Row],[storage_cost]]+tbl_raw[[#This Row],[fulfillment_cost]]+tbl_raw[[#This Row],[freight_cost]])</f>
        <v>-136.65549999999712</v>
      </c>
      <c r="O6" s="42">
        <f>tbl_scenarios[[#This Row],[net_profit_C]]/(tbl_raw[[#This Row],[gross_revenue]]*(1-scn_C_price_down))</f>
        <v>-3.0660399662472563E-3</v>
      </c>
      <c r="P6" s="43">
        <f>tbl_scenarios[[#This Row],[net_margin_C]]-tbl_scenarios[[#This Row],[net_margin_pct]]</f>
        <v>-5.015330199831234E-2</v>
      </c>
      <c r="Q6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  <c r="T6" s="219" t="s">
        <v>502</v>
      </c>
      <c r="U6" s="219"/>
      <c r="V6" s="219"/>
      <c r="W6" s="219"/>
      <c r="X6" s="219"/>
      <c r="Y6" s="219"/>
      <c r="Z6" s="23"/>
      <c r="AA6" s="23"/>
    </row>
    <row r="7" spans="1:27" x14ac:dyDescent="0.35">
      <c r="A7" s="17" t="str">
        <f>tbl_raw[[#This Row],[product_id]]</f>
        <v>99a4788cb24856965c36a24e339b6058</v>
      </c>
      <c r="B7" t="str">
        <f>tbl_raw[[#This Row],[category]]</f>
        <v>bed_bath_table</v>
      </c>
      <c r="C7" s="2">
        <f>tbl_profitability[[#This Row],[net_profit]]</f>
        <v>11291.250000000004</v>
      </c>
      <c r="D7" s="42">
        <f>tbl_profitability[[#This Row],[net_margin_pct]]</f>
        <v>0.26296232812109188</v>
      </c>
      <c r="E7" s="49" t="str">
        <f>tbl_profitability[[#This Row],[decision]]</f>
        <v>OPTIMIZE</v>
      </c>
      <c r="F7" s="2">
        <f>tbl_raw[[#This Row],[gross_revenue]]-tbl_raw[[#This Row],[return_loss]]-tbl_raw[[#This Row],[cogs]]*(1+scn_A_cogs_up)-(tbl_raw[[#This Row],[storage_cost]]+tbl_raw[[#This Row],[fulfillment_cost]]+tbl_raw[[#This Row],[freight_cost]])</f>
        <v>9359.010000000002</v>
      </c>
      <c r="G7" s="42">
        <f>tbl_scenarios[[#This Row],[net_profit_A]]/tbl_raw[[#This Row],[gross_revenue]]</f>
        <v>0.21796232113438102</v>
      </c>
      <c r="H7" s="43">
        <f>tbl_scenarios[[#This Row],[net_margin_A]]-tbl_scenarios[[#This Row],[net_margin_pct]]</f>
        <v>-4.5000006986710861E-2</v>
      </c>
      <c r="I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7" s="2">
        <f>tbl_raw[[#This Row],[gross_revenue]]-tbl_raw[[#This Row],[return_loss]]*(1+scn_B_returns_up/0.05)-tbl_raw[[#This Row],[cogs]]-(tbl_raw[[#This Row],[storage_cost]]+tbl_raw[[#This Row],[fulfillment_cost]]+tbl_raw[[#This Row],[freight_cost]])</f>
        <v>11115.930000000004</v>
      </c>
      <c r="K7" s="42">
        <f>tbl_scenarios[[#This Row],[net_profit_B]]/tbl_raw[[#This Row],[gross_revenue]]</f>
        <v>0.25887929432357698</v>
      </c>
      <c r="L7" s="43">
        <f>tbl_scenarios[[#This Row],[net_margin_B]]-tbl_scenarios[[#This Row],[net_margin_pct]]</f>
        <v>-4.0830337975149011E-3</v>
      </c>
      <c r="M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7" s="2">
        <f>tbl_raw[[#This Row],[gross_revenue]]*(1-scn_C_price_down)-tbl_raw[[#This Row],[return_loss]]-tbl_raw[[#This Row],[cogs]]-(tbl_raw[[#This Row],[storage_cost]]+tbl_raw[[#This Row],[fulfillment_cost]]+tbl_raw[[#This Row],[freight_cost]])</f>
        <v>9144.3169999999991</v>
      </c>
      <c r="O7" s="42">
        <f>tbl_scenarios[[#This Row],[net_profit_C]]/(tbl_raw[[#This Row],[gross_revenue]]*(1-scn_C_price_down))</f>
        <v>0.22417087170641242</v>
      </c>
      <c r="P7" s="43">
        <f>tbl_scenarios[[#This Row],[net_margin_C]]-tbl_scenarios[[#This Row],[net_margin_pct]]</f>
        <v>-3.8791456414679459E-2</v>
      </c>
      <c r="Q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  <c r="T7" s="219"/>
      <c r="U7" s="219"/>
      <c r="V7" s="219"/>
      <c r="W7" s="219"/>
      <c r="X7" s="219"/>
      <c r="Y7" s="219"/>
    </row>
    <row r="8" spans="1:27" x14ac:dyDescent="0.35">
      <c r="A8" s="17" t="str">
        <f>tbl_raw[[#This Row],[product_id]]</f>
        <v>3dd2a17168ec895c781a9191c1e95ad7</v>
      </c>
      <c r="B8" t="str">
        <f>tbl_raw[[#This Row],[category]]</f>
        <v>computers_accessories</v>
      </c>
      <c r="C8" s="2">
        <f>tbl_profitability[[#This Row],[net_profit]]</f>
        <v>7122.7999999999993</v>
      </c>
      <c r="D8" s="42">
        <f>tbl_profitability[[#This Row],[net_margin_pct]]</f>
        <v>0.17337753696212022</v>
      </c>
      <c r="E8" s="49" t="str">
        <f>tbl_profitability[[#This Row],[decision]]</f>
        <v>OPTIMIZE</v>
      </c>
      <c r="F8" s="2">
        <f>tbl_raw[[#This Row],[gross_revenue]]-tbl_raw[[#This Row],[return_loss]]-tbl_raw[[#This Row],[cogs]]*(1+scn_A_cogs_up)-(tbl_raw[[#This Row],[storage_cost]]+tbl_raw[[#This Row],[fulfillment_cost]]+tbl_raw[[#This Row],[freight_cost]])</f>
        <v>4781.0919999999969</v>
      </c>
      <c r="G8" s="42">
        <f>tbl_scenarios[[#This Row],[net_profit_A]]/tbl_raw[[#This Row],[gross_revenue]]</f>
        <v>0.1163775418303612</v>
      </c>
      <c r="H8" s="43">
        <f>tbl_scenarios[[#This Row],[net_margin_A]]-tbl_scenarios[[#This Row],[net_margin_pct]]</f>
        <v>-5.6999995131759018E-2</v>
      </c>
      <c r="I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8" s="2">
        <f>tbl_raw[[#This Row],[gross_revenue]]-tbl_raw[[#This Row],[return_loss]]*(1+scn_B_returns_up/0.05)-tbl_raw[[#This Row],[cogs]]-(tbl_raw[[#This Row],[storage_cost]]+tbl_raw[[#This Row],[fulfillment_cost]]+tbl_raw[[#This Row],[freight_cost]])</f>
        <v>6876.2000000000007</v>
      </c>
      <c r="K8" s="42">
        <f>tbl_scenarios[[#This Row],[net_profit_B]]/tbl_raw[[#This Row],[gross_revenue]]</f>
        <v>0.16737499574028911</v>
      </c>
      <c r="L8" s="43">
        <f>tbl_scenarios[[#This Row],[net_margin_B]]-tbl_scenarios[[#This Row],[net_margin_pct]]</f>
        <v>-6.0025412218311092E-3</v>
      </c>
      <c r="M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8" s="2">
        <f>tbl_raw[[#This Row],[gross_revenue]]*(1-scn_C_price_down)-tbl_raw[[#This Row],[return_loss]]-tbl_raw[[#This Row],[cogs]]-(tbl_raw[[#This Row],[storage_cost]]+tbl_raw[[#This Row],[fulfillment_cost]]+tbl_raw[[#This Row],[freight_cost]])</f>
        <v>5068.6699999999946</v>
      </c>
      <c r="O8" s="42">
        <f>tbl_scenarios[[#This Row],[net_profit_C]]/(tbl_raw[[#This Row],[gross_revenue]]*(1-scn_C_price_down))</f>
        <v>0.12987109153907381</v>
      </c>
      <c r="P8" s="43">
        <f>tbl_scenarios[[#This Row],[net_margin_C]]-tbl_scenarios[[#This Row],[net_margin_pct]]</f>
        <v>-4.3506445423046408E-2</v>
      </c>
      <c r="Q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  <c r="T8" s="219"/>
      <c r="U8" s="219"/>
      <c r="V8" s="219"/>
      <c r="W8" s="219"/>
      <c r="X8" s="219"/>
      <c r="Y8" s="219"/>
    </row>
    <row r="9" spans="1:27" x14ac:dyDescent="0.35">
      <c r="A9" s="17" t="str">
        <f>tbl_raw[[#This Row],[product_id]]</f>
        <v>25c38557cf793876c5abdd5931f922db</v>
      </c>
      <c r="B9" t="str">
        <f>tbl_raw[[#This Row],[category]]</f>
        <v>baby</v>
      </c>
      <c r="C9" s="2">
        <f>tbl_profitability[[#This Row],[net_profit]]</f>
        <v>20957.939999999999</v>
      </c>
      <c r="D9" s="42">
        <f>tbl_profitability[[#This Row],[net_margin_pct]]</f>
        <v>0.53866316158501792</v>
      </c>
      <c r="E9" s="49" t="str">
        <f>tbl_profitability[[#This Row],[decision]]</f>
        <v>EXIT</v>
      </c>
      <c r="F9" s="2">
        <f>tbl_raw[[#This Row],[gross_revenue]]-tbl_raw[[#This Row],[return_loss]]-tbl_raw[[#This Row],[cogs]]*(1+scn_A_cogs_up)-(tbl_raw[[#This Row],[storage_cost]]+tbl_raw[[#This Row],[fulfillment_cost]]+tbl_raw[[#This Row],[freight_cost]])</f>
        <v>19323.832999999999</v>
      </c>
      <c r="G9" s="42">
        <f>tbl_scenarios[[#This Row],[net_profit_A]]/tbl_raw[[#This Row],[gross_revenue]]</f>
        <v>0.49666317289394385</v>
      </c>
      <c r="H9" s="43">
        <f>tbl_scenarios[[#This Row],[net_margin_A]]-tbl_scenarios[[#This Row],[net_margin_pct]]</f>
        <v>-4.1999988691074075E-2</v>
      </c>
      <c r="I9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9" s="2">
        <f>tbl_raw[[#This Row],[gross_revenue]]-tbl_raw[[#This Row],[return_loss]]*(1+scn_B_returns_up/0.05)-tbl_raw[[#This Row],[cogs]]-(tbl_raw[[#This Row],[storage_cost]]+tbl_raw[[#This Row],[fulfillment_cost]]+tbl_raw[[#This Row],[freight_cost]])</f>
        <v>20944.259999999998</v>
      </c>
      <c r="K9" s="42">
        <f>tbl_scenarios[[#This Row],[net_profit_B]]/tbl_raw[[#This Row],[gross_revenue]]</f>
        <v>0.53831155679702425</v>
      </c>
      <c r="L9" s="43">
        <f>tbl_scenarios[[#This Row],[net_margin_B]]-tbl_scenarios[[#This Row],[net_margin_pct]]</f>
        <v>-3.5160478799367567E-4</v>
      </c>
      <c r="M9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9" s="2">
        <f>tbl_raw[[#This Row],[gross_revenue]]*(1-scn_C_price_down)-tbl_raw[[#This Row],[return_loss]]-tbl_raw[[#This Row],[cogs]]-(tbl_raw[[#This Row],[storage_cost]]+tbl_raw[[#This Row],[fulfillment_cost]]+tbl_raw[[#This Row],[freight_cost]])</f>
        <v>19012.573999999997</v>
      </c>
      <c r="O9" s="42">
        <f>tbl_scenarios[[#This Row],[net_profit_C]]/(tbl_raw[[#This Row],[gross_revenue]]*(1-scn_C_price_down))</f>
        <v>0.51438227535265035</v>
      </c>
      <c r="P9" s="43">
        <f>tbl_scenarios[[#This Row],[net_margin_C]]-tbl_scenarios[[#This Row],[net_margin_pct]]</f>
        <v>-2.4280886232367571E-2</v>
      </c>
      <c r="Q9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0" spans="1:27" x14ac:dyDescent="0.35">
      <c r="A10" s="17" t="str">
        <f>tbl_raw[[#This Row],[product_id]]</f>
        <v>5f504b3a1c75b73d6151be81eb05bdc9</v>
      </c>
      <c r="B10" t="str">
        <f>tbl_raw[[#This Row],[category]]</f>
        <v>cool_stuff</v>
      </c>
      <c r="C10" s="2">
        <f>tbl_profitability[[#This Row],[net_profit]]</f>
        <v>16424.050000000003</v>
      </c>
      <c r="D10" s="42">
        <f>tbl_profitability[[#This Row],[net_margin_pct]]</f>
        <v>0.43525980616898868</v>
      </c>
      <c r="E10" s="49" t="str">
        <f>tbl_profitability[[#This Row],[decision]]</f>
        <v>SCALE</v>
      </c>
      <c r="F10" s="2">
        <f>tbl_raw[[#This Row],[gross_revenue]]-tbl_raw[[#This Row],[return_loss]]-tbl_raw[[#This Row],[cogs]]*(1+scn_A_cogs_up)-(tbl_raw[[#This Row],[storage_cost]]+tbl_raw[[#This Row],[fulfillment_cost]]+tbl_raw[[#This Row],[freight_cost]])</f>
        <v>14726.024000000001</v>
      </c>
      <c r="G10" s="42">
        <f>tbl_scenarios[[#This Row],[net_profit_A]]/tbl_raw[[#This Row],[gross_revenue]]</f>
        <v>0.39025979291830426</v>
      </c>
      <c r="H10" s="43">
        <f>tbl_scenarios[[#This Row],[net_margin_A]]-tbl_scenarios[[#This Row],[net_margin_pct]]</f>
        <v>-4.5000013250684423E-2</v>
      </c>
      <c r="I1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0" s="2">
        <f>tbl_raw[[#This Row],[gross_revenue]]-tbl_raw[[#This Row],[return_loss]]*(1+scn_B_returns_up/0.05)-tbl_raw[[#This Row],[cogs]]-(tbl_raw[[#This Row],[storage_cost]]+tbl_raw[[#This Row],[fulfillment_cost]]+tbl_raw[[#This Row],[freight_cost]])</f>
        <v>16401.370000000003</v>
      </c>
      <c r="K10" s="42">
        <f>tbl_scenarios[[#This Row],[net_profit_B]]/tbl_raw[[#This Row],[gross_revenue]]</f>
        <v>0.43465875512470226</v>
      </c>
      <c r="L10" s="43">
        <f>tbl_scenarios[[#This Row],[net_margin_B]]-tbl_scenarios[[#This Row],[net_margin_pct]]</f>
        <v>-6.0105104428642697E-4</v>
      </c>
      <c r="M1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0" s="2">
        <f>tbl_raw[[#This Row],[gross_revenue]]*(1-scn_C_price_down)-tbl_raw[[#This Row],[return_loss]]-tbl_raw[[#This Row],[cogs]]-(tbl_raw[[#This Row],[storage_cost]]+tbl_raw[[#This Row],[fulfillment_cost]]+tbl_raw[[#This Row],[freight_cost]])</f>
        <v>14537.355000000003</v>
      </c>
      <c r="O10" s="42">
        <f>tbl_scenarios[[#This Row],[net_profit_C]]/(tbl_raw[[#This Row],[gross_revenue]]*(1-scn_C_price_down))</f>
        <v>0.40553663807261969</v>
      </c>
      <c r="P10" s="43">
        <f>tbl_scenarios[[#This Row],[net_margin_C]]-tbl_scenarios[[#This Row],[net_margin_pct]]</f>
        <v>-2.972316809636899E-2</v>
      </c>
      <c r="Q1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1" spans="1:27" x14ac:dyDescent="0.35">
      <c r="A11" s="17" t="str">
        <f>tbl_raw[[#This Row],[product_id]]</f>
        <v>53b36df67ebb7c41585e8d54d6772e08</v>
      </c>
      <c r="B11" t="str">
        <f>tbl_raw[[#This Row],[category]]</f>
        <v>watches_gifts</v>
      </c>
      <c r="C11" s="2">
        <f>tbl_profitability[[#This Row],[net_profit]]</f>
        <v>17918.589999999997</v>
      </c>
      <c r="D11" s="42">
        <f>tbl_profitability[[#This Row],[net_margin_pct]]</f>
        <v>0.47550328499907912</v>
      </c>
      <c r="E11" s="49" t="str">
        <f>tbl_profitability[[#This Row],[decision]]</f>
        <v>SCALE</v>
      </c>
      <c r="F11" s="2">
        <f>tbl_raw[[#This Row],[gross_revenue]]-tbl_raw[[#This Row],[return_loss]]-tbl_raw[[#This Row],[cogs]]*(1+scn_A_cogs_up)-(tbl_raw[[#This Row],[storage_cost]]+tbl_raw[[#This Row],[fulfillment_cost]]+tbl_raw[[#This Row],[freight_cost]])</f>
        <v>16335.885999999997</v>
      </c>
      <c r="G11" s="42">
        <f>tbl_scenarios[[#This Row],[net_profit_A]]/tbl_raw[[#This Row],[gross_revenue]]</f>
        <v>0.43350327544580608</v>
      </c>
      <c r="H11" s="43">
        <f>tbl_scenarios[[#This Row],[net_margin_A]]-tbl_scenarios[[#This Row],[net_margin_pct]]</f>
        <v>-4.2000009553273043E-2</v>
      </c>
      <c r="I1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1" s="2">
        <f>tbl_raw[[#This Row],[gross_revenue]]-tbl_raw[[#This Row],[return_loss]]*(1+scn_B_returns_up/0.05)-tbl_raw[[#This Row],[cogs]]-(tbl_raw[[#This Row],[storage_cost]]+tbl_raw[[#This Row],[fulfillment_cost]]+tbl_raw[[#This Row],[freight_cost]])</f>
        <v>17802.309999999998</v>
      </c>
      <c r="K11" s="42">
        <f>tbl_scenarios[[#This Row],[net_profit_B]]/tbl_raw[[#This Row],[gross_revenue]]</f>
        <v>0.47241757781008198</v>
      </c>
      <c r="L11" s="43">
        <f>tbl_scenarios[[#This Row],[net_margin_B]]-tbl_scenarios[[#This Row],[net_margin_pct]]</f>
        <v>-3.0857071889971444E-3</v>
      </c>
      <c r="M1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1" s="2">
        <f>tbl_raw[[#This Row],[gross_revenue]]*(1-scn_C_price_down)-tbl_raw[[#This Row],[return_loss]]-tbl_raw[[#This Row],[cogs]]-(tbl_raw[[#This Row],[storage_cost]]+tbl_raw[[#This Row],[fulfillment_cost]]+tbl_raw[[#This Row],[freight_cost]])</f>
        <v>16034.418999999996</v>
      </c>
      <c r="O11" s="42">
        <f>tbl_scenarios[[#This Row],[net_profit_C]]/(tbl_raw[[#This Row],[gross_revenue]]*(1-scn_C_price_down))</f>
        <v>0.44789819473587278</v>
      </c>
      <c r="P11" s="43">
        <f>tbl_scenarios[[#This Row],[net_margin_C]]-tbl_scenarios[[#This Row],[net_margin_pct]]</f>
        <v>-2.7605090263206344E-2</v>
      </c>
      <c r="Q1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2" spans="1:27" x14ac:dyDescent="0.35">
      <c r="A12" s="17" t="str">
        <f>tbl_raw[[#This Row],[product_id]]</f>
        <v>aca2eb7d00ea1a7b8ebd4e68314663af</v>
      </c>
      <c r="B12" t="str">
        <f>tbl_raw[[#This Row],[category]]</f>
        <v>furniture_decor</v>
      </c>
      <c r="C12" s="2">
        <f>tbl_profitability[[#This Row],[net_profit]]</f>
        <v>6338.3100000000013</v>
      </c>
      <c r="D12" s="42">
        <f>tbl_profitability[[#This Row],[net_margin_pct]]</f>
        <v>0.16853218254189836</v>
      </c>
      <c r="E12" s="49" t="str">
        <f>tbl_profitability[[#This Row],[decision]]</f>
        <v>OPTIMIZE</v>
      </c>
      <c r="F12" s="2">
        <f>tbl_raw[[#This Row],[gross_revenue]]-tbl_raw[[#This Row],[return_loss]]-tbl_raw[[#This Row],[cogs]]*(1+scn_A_cogs_up)-(tbl_raw[[#This Row],[storage_cost]]+tbl_raw[[#This Row],[fulfillment_cost]]+tbl_raw[[#This Row],[freight_cost]])</f>
        <v>4645.9089999999997</v>
      </c>
      <c r="G12" s="42">
        <f>tbl_scenarios[[#This Row],[net_profit_A]]/tbl_raw[[#This Row],[gross_revenue]]</f>
        <v>0.12353216924717286</v>
      </c>
      <c r="H12" s="43">
        <f>tbl_scenarios[[#This Row],[net_margin_A]]-tbl_scenarios[[#This Row],[net_margin_pct]]</f>
        <v>-4.5000013294725499E-2</v>
      </c>
      <c r="I1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2" s="2">
        <f>tbl_raw[[#This Row],[gross_revenue]]-tbl_raw[[#This Row],[return_loss]]*(1+scn_B_returns_up/0.05)-tbl_raw[[#This Row],[cogs]]-(tbl_raw[[#This Row],[storage_cost]]+tbl_raw[[#This Row],[fulfillment_cost]]+tbl_raw[[#This Row],[freight_cost]])</f>
        <v>6148.59</v>
      </c>
      <c r="K12" s="42">
        <f>tbl_scenarios[[#This Row],[net_profit_B]]/tbl_raw[[#This Row],[gross_revenue]]</f>
        <v>0.16348763191691329</v>
      </c>
      <c r="L12" s="43">
        <f>tbl_scenarios[[#This Row],[net_margin_B]]-tbl_scenarios[[#This Row],[net_margin_pct]]</f>
        <v>-5.0445506249850725E-3</v>
      </c>
      <c r="M1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2" s="2">
        <f>tbl_raw[[#This Row],[gross_revenue]]*(1-scn_C_price_down)-tbl_raw[[#This Row],[return_loss]]-tbl_raw[[#This Row],[cogs]]-(tbl_raw[[#This Row],[storage_cost]]+tbl_raw[[#This Row],[fulfillment_cost]]+tbl_raw[[#This Row],[freight_cost]])</f>
        <v>4457.8650000000016</v>
      </c>
      <c r="O12" s="42">
        <f>tbl_scenarios[[#This Row],[net_profit_C]]/(tbl_raw[[#This Row],[gross_revenue]]*(1-scn_C_price_down))</f>
        <v>0.12477071846515617</v>
      </c>
      <c r="P12" s="43">
        <f>tbl_scenarios[[#This Row],[net_margin_C]]-tbl_scenarios[[#This Row],[net_margin_pct]]</f>
        <v>-4.3761464076742196E-2</v>
      </c>
      <c r="Q1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3" spans="1:27" x14ac:dyDescent="0.35">
      <c r="A13" s="17" t="str">
        <f>tbl_raw[[#This Row],[product_id]]</f>
        <v>e0d64dcfaa3b6db5c54ca298ae101d05</v>
      </c>
      <c r="B13" t="str">
        <f>tbl_raw[[#This Row],[category]]</f>
        <v>watches_gifts</v>
      </c>
      <c r="C13" s="2">
        <f>tbl_profitability[[#This Row],[net_profit]]</f>
        <v>13839.25</v>
      </c>
      <c r="D13" s="42">
        <f>tbl_profitability[[#This Row],[net_margin_pct]]</f>
        <v>0.43537698958247473</v>
      </c>
      <c r="E13" s="49" t="str">
        <f>tbl_profitability[[#This Row],[decision]]</f>
        <v>OPTIMIZE</v>
      </c>
      <c r="F13" s="2">
        <f>tbl_raw[[#This Row],[gross_revenue]]-tbl_raw[[#This Row],[return_loss]]-tbl_raw[[#This Row],[cogs]]*(1+scn_A_cogs_up)-(tbl_raw[[#This Row],[storage_cost]]+tbl_raw[[#This Row],[fulfillment_cost]]+tbl_raw[[#This Row],[freight_cost]])</f>
        <v>12504.204000000002</v>
      </c>
      <c r="G13" s="42">
        <f>tbl_scenarios[[#This Row],[net_profit_A]]/tbl_raw[[#This Row],[gross_revenue]]</f>
        <v>0.3933770034246899</v>
      </c>
      <c r="H13" s="43">
        <f>tbl_scenarios[[#This Row],[net_margin_A]]-tbl_scenarios[[#This Row],[net_margin_pct]]</f>
        <v>-4.199998615778483E-2</v>
      </c>
      <c r="I1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3" s="2">
        <f>tbl_raw[[#This Row],[gross_revenue]]-tbl_raw[[#This Row],[return_loss]]*(1+scn_B_returns_up/0.05)-tbl_raw[[#This Row],[cogs]]-(tbl_raw[[#This Row],[storage_cost]]+tbl_raw[[#This Row],[fulfillment_cost]]+tbl_raw[[#This Row],[freight_cost]])</f>
        <v>13769.41</v>
      </c>
      <c r="K13" s="42">
        <f>tbl_scenarios[[#This Row],[net_profit_B]]/tbl_raw[[#This Row],[gross_revenue]]</f>
        <v>0.43317985253007379</v>
      </c>
      <c r="L13" s="43">
        <f>tbl_scenarios[[#This Row],[net_margin_B]]-tbl_scenarios[[#This Row],[net_margin_pct]]</f>
        <v>-2.1971370524009326E-3</v>
      </c>
      <c r="M1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3" s="2">
        <f>tbl_raw[[#This Row],[gross_revenue]]*(1-scn_C_price_down)-tbl_raw[[#This Row],[return_loss]]-tbl_raw[[#This Row],[cogs]]-(tbl_raw[[#This Row],[storage_cost]]+tbl_raw[[#This Row],[fulfillment_cost]]+tbl_raw[[#This Row],[freight_cost]])</f>
        <v>12249.909</v>
      </c>
      <c r="O13" s="42">
        <f>tbl_scenarios[[#This Row],[net_profit_C]]/(tbl_raw[[#This Row],[gross_revenue]]*(1-scn_C_price_down))</f>
        <v>0.40565998903418393</v>
      </c>
      <c r="P13" s="43">
        <f>tbl_scenarios[[#This Row],[net_margin_C]]-tbl_scenarios[[#This Row],[net_margin_pct]]</f>
        <v>-2.9717000548290795E-2</v>
      </c>
      <c r="Q1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4" spans="1:27" x14ac:dyDescent="0.35">
      <c r="A14" s="17" t="str">
        <f>tbl_raw[[#This Row],[product_id]]</f>
        <v>d285360f29ac7fd97640bf0baef03de0</v>
      </c>
      <c r="B14" t="str">
        <f>tbl_raw[[#This Row],[category]]</f>
        <v>watches_gifts</v>
      </c>
      <c r="C14" s="2">
        <f>tbl_profitability[[#This Row],[net_profit]]</f>
        <v>15702.770000000002</v>
      </c>
      <c r="D14" s="42">
        <f>tbl_profitability[[#This Row],[net_margin_pct]]</f>
        <v>0.49654896105181512</v>
      </c>
      <c r="E14" s="49" t="str">
        <f>tbl_profitability[[#This Row],[decision]]</f>
        <v>OPTIMIZE</v>
      </c>
      <c r="F14" s="2">
        <f>tbl_raw[[#This Row],[gross_revenue]]-tbl_raw[[#This Row],[return_loss]]-tbl_raw[[#This Row],[cogs]]*(1+scn_A_cogs_up)-(tbl_raw[[#This Row],[storage_cost]]+tbl_raw[[#This Row],[fulfillment_cost]]+tbl_raw[[#This Row],[freight_cost]])</f>
        <v>14374.570000000002</v>
      </c>
      <c r="G14" s="42">
        <f>tbl_scenarios[[#This Row],[net_profit_A]]/tbl_raw[[#This Row],[gross_revenue]]</f>
        <v>0.45454896168424996</v>
      </c>
      <c r="H14" s="43">
        <f>tbl_scenarios[[#This Row],[net_margin_A]]-tbl_scenarios[[#This Row],[net_margin_pct]]</f>
        <v>-4.1999999367565155E-2</v>
      </c>
      <c r="I1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4" s="2">
        <f>tbl_raw[[#This Row],[gross_revenue]]-tbl_raw[[#This Row],[return_loss]]*(1+scn_B_returns_up/0.05)-tbl_raw[[#This Row],[cogs]]-(tbl_raw[[#This Row],[storage_cost]]+tbl_raw[[#This Row],[fulfillment_cost]]+tbl_raw[[#This Row],[freight_cost]])</f>
        <v>15658.49</v>
      </c>
      <c r="K14" s="42">
        <f>tbl_scenarios[[#This Row],[net_profit_B]]/tbl_raw[[#This Row],[gross_revenue]]</f>
        <v>0.49514875026127464</v>
      </c>
      <c r="L14" s="43">
        <f>tbl_scenarios[[#This Row],[net_margin_B]]-tbl_scenarios[[#This Row],[net_margin_pct]]</f>
        <v>-1.4002107905404793E-3</v>
      </c>
      <c r="M14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4" s="2">
        <f>tbl_raw[[#This Row],[gross_revenue]]*(1-scn_C_price_down)-tbl_raw[[#This Row],[return_loss]]-tbl_raw[[#This Row],[cogs]]-(tbl_raw[[#This Row],[storage_cost]]+tbl_raw[[#This Row],[fulfillment_cost]]+tbl_raw[[#This Row],[freight_cost]])</f>
        <v>14121.579500000002</v>
      </c>
      <c r="O14" s="42">
        <f>tbl_scenarios[[#This Row],[net_profit_C]]/(tbl_raw[[#This Row],[gross_revenue]]*(1-scn_C_price_down))</f>
        <v>0.47005153794927906</v>
      </c>
      <c r="P14" s="43">
        <f>tbl_scenarios[[#This Row],[net_margin_C]]-tbl_scenarios[[#This Row],[net_margin_pct]]</f>
        <v>-2.6497423102536055E-2</v>
      </c>
      <c r="Q1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5" spans="1:27" x14ac:dyDescent="0.35">
      <c r="A15" s="17" t="str">
        <f>tbl_raw[[#This Row],[product_id]]</f>
        <v>7a10781637204d8d10485c71a6108a2e</v>
      </c>
      <c r="B15" t="str">
        <f>tbl_raw[[#This Row],[category]]</f>
        <v>watches_gifts</v>
      </c>
      <c r="C15" s="2">
        <f>tbl_profitability[[#This Row],[net_profit]]</f>
        <v>14585.429999999998</v>
      </c>
      <c r="D15" s="42">
        <f>tbl_profitability[[#This Row],[net_margin_pct]]</f>
        <v>0.47872093214080574</v>
      </c>
      <c r="E15" s="49" t="str">
        <f>tbl_profitability[[#This Row],[decision]]</f>
        <v>SCALE</v>
      </c>
      <c r="F15" s="2">
        <f>tbl_raw[[#This Row],[gross_revenue]]-tbl_raw[[#This Row],[return_loss]]-tbl_raw[[#This Row],[cogs]]*(1+scn_A_cogs_up)-(tbl_raw[[#This Row],[storage_cost]]+tbl_raw[[#This Row],[fulfillment_cost]]+tbl_raw[[#This Row],[freight_cost]])</f>
        <v>13305.794999999998</v>
      </c>
      <c r="G15" s="42">
        <f>tbl_scenarios[[#This Row],[net_profit_A]]/tbl_raw[[#This Row],[gross_revenue]]</f>
        <v>0.43672093214080571</v>
      </c>
      <c r="H15" s="43">
        <f>tbl_scenarios[[#This Row],[net_margin_A]]-tbl_scenarios[[#This Row],[net_margin_pct]]</f>
        <v>-4.2000000000000037E-2</v>
      </c>
      <c r="I1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5" s="2">
        <f>tbl_raw[[#This Row],[gross_revenue]]-tbl_raw[[#This Row],[return_loss]]*(1+scn_B_returns_up/0.05)-tbl_raw[[#This Row],[cogs]]-(tbl_raw[[#This Row],[storage_cost]]+tbl_raw[[#This Row],[fulfillment_cost]]+tbl_raw[[#This Row],[freight_cost]])</f>
        <v>14533.950000000003</v>
      </c>
      <c r="K15" s="42">
        <f>tbl_scenarios[[#This Row],[net_profit_B]]/tbl_raw[[#This Row],[gross_revenue]]</f>
        <v>0.47703126282103891</v>
      </c>
      <c r="L15" s="43">
        <f>tbl_scenarios[[#This Row],[net_margin_B]]-tbl_scenarios[[#This Row],[net_margin_pct]]</f>
        <v>-1.6896693197668289E-3</v>
      </c>
      <c r="M1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5" s="2">
        <f>tbl_raw[[#This Row],[gross_revenue]]*(1-scn_C_price_down)-tbl_raw[[#This Row],[return_loss]]-tbl_raw[[#This Row],[cogs]]-(tbl_raw[[#This Row],[storage_cost]]+tbl_raw[[#This Row],[fulfillment_cost]]+tbl_raw[[#This Row],[freight_cost]])</f>
        <v>13062.055</v>
      </c>
      <c r="O15" s="42">
        <f>tbl_scenarios[[#This Row],[net_profit_C]]/(tbl_raw[[#This Row],[gross_revenue]]*(1-scn_C_price_down))</f>
        <v>0.45128519172716397</v>
      </c>
      <c r="P15" s="43">
        <f>tbl_scenarios[[#This Row],[net_margin_C]]-tbl_scenarios[[#This Row],[net_margin_pct]]</f>
        <v>-2.7435740413641774E-2</v>
      </c>
      <c r="Q1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6" spans="1:27" x14ac:dyDescent="0.35">
      <c r="A16" s="17" t="str">
        <f>tbl_raw[[#This Row],[product_id]]</f>
        <v>f1c7f353075ce59d8a6f3cf58f419c9c</v>
      </c>
      <c r="B16" t="str">
        <f>tbl_raw[[#This Row],[category]]</f>
        <v>bed_bath_table</v>
      </c>
      <c r="C16" s="2">
        <f>tbl_profitability[[#This Row],[net_profit]]</f>
        <v>11802.210000000001</v>
      </c>
      <c r="D16" s="42">
        <f>tbl_profitability[[#This Row],[net_margin_pct]]</f>
        <v>0.39344162286281192</v>
      </c>
      <c r="E16" s="49" t="str">
        <f>tbl_profitability[[#This Row],[decision]]</f>
        <v>SCALE</v>
      </c>
      <c r="F16" s="2">
        <f>tbl_raw[[#This Row],[gross_revenue]]-tbl_raw[[#This Row],[return_loss]]-tbl_raw[[#This Row],[cogs]]*(1+scn_A_cogs_up)-(tbl_raw[[#This Row],[storage_cost]]+tbl_raw[[#This Row],[fulfillment_cost]]+tbl_raw[[#This Row],[freight_cost]])</f>
        <v>10452.329000000002</v>
      </c>
      <c r="G16" s="42">
        <f>tbl_scenarios[[#This Row],[net_profit_A]]/tbl_raw[[#This Row],[gross_revenue]]</f>
        <v>0.34844162953006536</v>
      </c>
      <c r="H16" s="43">
        <f>tbl_scenarios[[#This Row],[net_margin_A]]-tbl_scenarios[[#This Row],[net_margin_pct]]</f>
        <v>-4.4999993332746568E-2</v>
      </c>
      <c r="I1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6" s="2">
        <f>tbl_raw[[#This Row],[gross_revenue]]-tbl_raw[[#This Row],[return_loss]]*(1+scn_B_returns_up/0.05)-tbl_raw[[#This Row],[cogs]]-(tbl_raw[[#This Row],[storage_cost]]+tbl_raw[[#This Row],[fulfillment_cost]]+tbl_raw[[#This Row],[freight_cost]])</f>
        <v>11746.769999999999</v>
      </c>
      <c r="K16" s="42">
        <f>tbl_scenarios[[#This Row],[net_profit_B]]/tbl_raw[[#This Row],[gross_revenue]]</f>
        <v>0.3915934602244997</v>
      </c>
      <c r="L16" s="43">
        <f>tbl_scenarios[[#This Row],[net_margin_B]]-tbl_scenarios[[#This Row],[net_margin_pct]]</f>
        <v>-1.8481626383122229E-3</v>
      </c>
      <c r="M1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6" s="2">
        <f>tbl_raw[[#This Row],[gross_revenue]]*(1-scn_C_price_down)-tbl_raw[[#This Row],[return_loss]]-tbl_raw[[#This Row],[cogs]]-(tbl_raw[[#This Row],[storage_cost]]+tbl_raw[[#This Row],[fulfillment_cost]]+tbl_raw[[#This Row],[freight_cost]])</f>
        <v>10302.342000000001</v>
      </c>
      <c r="O16" s="42">
        <f>tbl_scenarios[[#This Row],[net_profit_C]]/(tbl_raw[[#This Row],[gross_revenue]]*(1-scn_C_price_down))</f>
        <v>0.36151749775032838</v>
      </c>
      <c r="P16" s="43">
        <f>tbl_scenarios[[#This Row],[net_margin_C]]-tbl_scenarios[[#This Row],[net_margin_pct]]</f>
        <v>-3.1924125112483548E-2</v>
      </c>
      <c r="Q1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7" spans="1:18" x14ac:dyDescent="0.35">
      <c r="A17" s="17" t="str">
        <f>tbl_raw[[#This Row],[product_id]]</f>
        <v>f819f0c84a64f02d3a5606ca95edd272</v>
      </c>
      <c r="B17" t="str">
        <f>tbl_raw[[#This Row],[category]]</f>
        <v>watches_gifts</v>
      </c>
      <c r="C17" s="2">
        <f>tbl_profitability[[#This Row],[net_profit]]</f>
        <v>15167.79</v>
      </c>
      <c r="D17" s="42">
        <f>tbl_profitability[[#This Row],[net_margin_pct]]</f>
        <v>0.52258610662447702</v>
      </c>
      <c r="E17" s="49" t="str">
        <f>tbl_profitability[[#This Row],[decision]]</f>
        <v>SCALE</v>
      </c>
      <c r="F17" s="2">
        <f>tbl_raw[[#This Row],[gross_revenue]]-tbl_raw[[#This Row],[return_loss]]-tbl_raw[[#This Row],[cogs]]*(1+scn_A_cogs_up)-(tbl_raw[[#This Row],[storage_cost]]+tbl_raw[[#This Row],[fulfillment_cost]]+tbl_raw[[#This Row],[freight_cost]])</f>
        <v>13948.761999999999</v>
      </c>
      <c r="G17" s="42">
        <f>tbl_scenarios[[#This Row],[net_profit_A]]/tbl_raw[[#This Row],[gross_revenue]]</f>
        <v>0.48058611213706498</v>
      </c>
      <c r="H17" s="43">
        <f>tbl_scenarios[[#This Row],[net_margin_A]]-tbl_scenarios[[#This Row],[net_margin_pct]]</f>
        <v>-4.199999448741204E-2</v>
      </c>
      <c r="I1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7" s="2">
        <f>tbl_raw[[#This Row],[gross_revenue]]-tbl_raw[[#This Row],[return_loss]]*(1+scn_B_returns_up/0.05)-tbl_raw[[#This Row],[cogs]]-(tbl_raw[[#This Row],[storage_cost]]+tbl_raw[[#This Row],[fulfillment_cost]]+tbl_raw[[#This Row],[freight_cost]])</f>
        <v>15151.589999999997</v>
      </c>
      <c r="K17" s="42">
        <f>tbl_scenarios[[#This Row],[net_profit_B]]/tbl_raw[[#This Row],[gross_revenue]]</f>
        <v>0.52202795709001493</v>
      </c>
      <c r="L17" s="43">
        <f>tbl_scenarios[[#This Row],[net_margin_B]]-tbl_scenarios[[#This Row],[net_margin_pct]]</f>
        <v>-5.5814953446209348E-4</v>
      </c>
      <c r="M1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7" s="2">
        <f>tbl_raw[[#This Row],[gross_revenue]]*(1-scn_C_price_down)-tbl_raw[[#This Row],[return_loss]]-tbl_raw[[#This Row],[cogs]]-(tbl_raw[[#This Row],[storage_cost]]+tbl_raw[[#This Row],[fulfillment_cost]]+tbl_raw[[#This Row],[freight_cost]])</f>
        <v>13716.565999999995</v>
      </c>
      <c r="O17" s="42">
        <f>tbl_scenarios[[#This Row],[net_profit_C]]/(tbl_raw[[#This Row],[gross_revenue]]*(1-scn_C_price_down))</f>
        <v>0.49745905960471248</v>
      </c>
      <c r="P17" s="43">
        <f>tbl_scenarios[[#This Row],[net_margin_C]]-tbl_scenarios[[#This Row],[net_margin_pct]]</f>
        <v>-2.5127047019764537E-2</v>
      </c>
      <c r="Q1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8" spans="1:18" x14ac:dyDescent="0.35">
      <c r="A18" s="17" t="str">
        <f>tbl_raw[[#This Row],[product_id]]</f>
        <v>588531f8ec37e7d5ff5b7b22ea0488f8</v>
      </c>
      <c r="B18" t="str">
        <f>tbl_raw[[#This Row],[category]]</f>
        <v>computers</v>
      </c>
      <c r="C18" s="2">
        <f>tbl_profitability[[#This Row],[net_profit]]</f>
        <v>11124.340000000002</v>
      </c>
      <c r="D18" s="42">
        <f>tbl_profitability[[#This Row],[net_margin_pct]]</f>
        <v>0.39319750925968805</v>
      </c>
      <c r="E18" s="49" t="str">
        <f>tbl_profitability[[#This Row],[decision]]</f>
        <v>SCALE</v>
      </c>
      <c r="F18" s="2">
        <f>tbl_raw[[#This Row],[gross_revenue]]-tbl_raw[[#This Row],[return_loss]]-tbl_raw[[#This Row],[cogs]]*(1+scn_A_cogs_up)-(tbl_raw[[#This Row],[storage_cost]]+tbl_raw[[#This Row],[fulfillment_cost]]+tbl_raw[[#This Row],[freight_cost]])</f>
        <v>9511.6970000000019</v>
      </c>
      <c r="G18" s="42">
        <f>tbl_scenarios[[#This Row],[net_profit_A]]/tbl_raw[[#This Row],[gross_revenue]]</f>
        <v>0.33619752445833612</v>
      </c>
      <c r="H18" s="43">
        <f>tbl_scenarios[[#This Row],[net_margin_A]]-tbl_scenarios[[#This Row],[net_margin_pct]]</f>
        <v>-5.6999984801351933E-2</v>
      </c>
      <c r="I1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8" s="2">
        <f>tbl_raw[[#This Row],[gross_revenue]]-tbl_raw[[#This Row],[return_loss]]*(1+scn_B_returns_up/0.05)-tbl_raw[[#This Row],[cogs]]-(tbl_raw[[#This Row],[storage_cost]]+tbl_raw[[#This Row],[fulfillment_cost]]+tbl_raw[[#This Row],[freight_cost]])</f>
        <v>11106.340000000002</v>
      </c>
      <c r="K18" s="42">
        <f>tbl_scenarios[[#This Row],[net_profit_B]]/tbl_raw[[#This Row],[gross_revenue]]</f>
        <v>0.39256128678117025</v>
      </c>
      <c r="L18" s="43">
        <f>tbl_scenarios[[#This Row],[net_margin_B]]-tbl_scenarios[[#This Row],[net_margin_pct]]</f>
        <v>-6.3622247851780056E-4</v>
      </c>
      <c r="M1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8" s="2">
        <f>tbl_raw[[#This Row],[gross_revenue]]*(1-scn_C_price_down)-tbl_raw[[#This Row],[return_loss]]-tbl_raw[[#This Row],[cogs]]-(tbl_raw[[#This Row],[storage_cost]]+tbl_raw[[#This Row],[fulfillment_cost]]+tbl_raw[[#This Row],[freight_cost]])</f>
        <v>9709.7405000000017</v>
      </c>
      <c r="O18" s="42">
        <f>tbl_scenarios[[#This Row],[net_profit_C]]/(tbl_raw[[#This Row],[gross_revenue]]*(1-scn_C_price_down))</f>
        <v>0.36126053606282948</v>
      </c>
      <c r="P18" s="43">
        <f>tbl_scenarios[[#This Row],[net_margin_C]]-tbl_scenarios[[#This Row],[net_margin_pct]]</f>
        <v>-3.1936973196858565E-2</v>
      </c>
      <c r="Q1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9" spans="1:18" x14ac:dyDescent="0.35">
      <c r="A19" s="17" t="str">
        <f>tbl_raw[[#This Row],[product_id]]</f>
        <v>422879e10f46682990de24d770e7f83d</v>
      </c>
      <c r="B19" t="str">
        <f>tbl_raw[[#This Row],[category]]</f>
        <v>garden_tools</v>
      </c>
      <c r="C19" s="2">
        <f>tbl_profitability[[#This Row],[net_profit]]</f>
        <v>879.18999999999869</v>
      </c>
      <c r="D19" s="42">
        <f>tbl_profitability[[#This Row],[net_margin_pct]]</f>
        <v>3.3080585554094773E-2</v>
      </c>
      <c r="E19" s="49" t="str">
        <f>tbl_profitability[[#This Row],[decision]]</f>
        <v>EXIT</v>
      </c>
      <c r="F19" s="2">
        <f>tbl_raw[[#This Row],[gross_revenue]]-tbl_raw[[#This Row],[return_loss]]-tbl_raw[[#This Row],[cogs]]*(1+scn_A_cogs_up)-(tbl_raw[[#This Row],[storage_cost]]+tbl_raw[[#This Row],[fulfillment_cost]]+tbl_raw[[#This Row],[freight_cost]])</f>
        <v>-316.78500000000167</v>
      </c>
      <c r="G19" s="42">
        <f>tbl_scenarios[[#This Row],[net_profit_A]]/tbl_raw[[#This Row],[gross_revenue]]</f>
        <v>-1.191941820852601E-2</v>
      </c>
      <c r="H19" s="43">
        <f>tbl_scenarios[[#This Row],[net_margin_A]]-tbl_scenarios[[#This Row],[net_margin_pct]]</f>
        <v>-4.5000003762620783E-2</v>
      </c>
      <c r="I19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19" s="2">
        <f>tbl_raw[[#This Row],[gross_revenue]]-tbl_raw[[#This Row],[return_loss]]*(1+scn_B_returns_up/0.05)-tbl_raw[[#This Row],[cogs]]-(tbl_raw[[#This Row],[storage_cost]]+tbl_raw[[#This Row],[fulfillment_cost]]+tbl_raw[[#This Row],[freight_cost]])</f>
        <v>704.95000000000073</v>
      </c>
      <c r="K19" s="42">
        <f>tbl_scenarios[[#This Row],[net_profit_B]]/tbl_raw[[#This Row],[gross_revenue]]</f>
        <v>2.6524595123191993E-2</v>
      </c>
      <c r="L19" s="43">
        <f>tbl_scenarios[[#This Row],[net_margin_B]]-tbl_scenarios[[#This Row],[net_margin_pct]]</f>
        <v>-6.5559904309027799E-3</v>
      </c>
      <c r="M19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19" s="2">
        <f>tbl_raw[[#This Row],[gross_revenue]]*(1-scn_C_price_down)-tbl_raw[[#This Row],[return_loss]]-tbl_raw[[#This Row],[cogs]]-(tbl_raw[[#This Row],[storage_cost]]+tbl_raw[[#This Row],[fulfillment_cost]]+tbl_raw[[#This Row],[freight_cost]])</f>
        <v>-449.6710000000021</v>
      </c>
      <c r="O19" s="42">
        <f>tbl_scenarios[[#This Row],[net_profit_C]]/(tbl_raw[[#This Row],[gross_revenue]]*(1-scn_C_price_down))</f>
        <v>-1.7809909943058165E-2</v>
      </c>
      <c r="P19" s="43">
        <f>tbl_scenarios[[#This Row],[net_margin_C]]-tbl_scenarios[[#This Row],[net_margin_pct]]</f>
        <v>-5.0890495497152938E-2</v>
      </c>
      <c r="Q19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1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0" spans="1:18" x14ac:dyDescent="0.35">
      <c r="A20" s="17" t="str">
        <f>tbl_raw[[#This Row],[product_id]]</f>
        <v>16c4e87b98a9370a9cbc3a4658a3f45b</v>
      </c>
      <c r="B20" t="str">
        <f>tbl_raw[[#This Row],[category]]</f>
        <v>musical_instruments</v>
      </c>
      <c r="C20" s="2">
        <f>tbl_profitability[[#This Row],[net_profit]]</f>
        <v>13309.2</v>
      </c>
      <c r="D20" s="42">
        <f>tbl_profitability[[#This Row],[net_margin_pct]]</f>
        <v>0.53164496285052332</v>
      </c>
      <c r="E20" s="49" t="str">
        <f>tbl_profitability[[#This Row],[decision]]</f>
        <v>SCALE</v>
      </c>
      <c r="F20" s="2">
        <f>tbl_raw[[#This Row],[gross_revenue]]-tbl_raw[[#This Row],[return_loss]]-tbl_raw[[#This Row],[cogs]]*(1+scn_A_cogs_up)-(tbl_raw[[#This Row],[storage_cost]]+tbl_raw[[#This Row],[fulfillment_cost]]+tbl_raw[[#This Row],[freight_cost]])</f>
        <v>12307.84</v>
      </c>
      <c r="G20" s="42">
        <f>tbl_scenarios[[#This Row],[net_profit_A]]/tbl_raw[[#This Row],[gross_revenue]]</f>
        <v>0.49164496285052328</v>
      </c>
      <c r="H20" s="43">
        <f>tbl_scenarios[[#This Row],[net_margin_A]]-tbl_scenarios[[#This Row],[net_margin_pct]]</f>
        <v>-4.0000000000000036E-2</v>
      </c>
      <c r="I2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0" s="2">
        <f>tbl_raw[[#This Row],[gross_revenue]]-tbl_raw[[#This Row],[return_loss]]*(1+scn_B_returns_up/0.05)-tbl_raw[[#This Row],[cogs]]-(tbl_raw[[#This Row],[storage_cost]]+tbl_raw[[#This Row],[fulfillment_cost]]+tbl_raw[[#This Row],[freight_cost]])</f>
        <v>13307.900000000001</v>
      </c>
      <c r="K20" s="42">
        <f>tbl_scenarios[[#This Row],[net_profit_B]]/tbl_raw[[#This Row],[gross_revenue]]</f>
        <v>0.53159303347447473</v>
      </c>
      <c r="L20" s="43">
        <f>tbl_scenarios[[#This Row],[net_margin_B]]-tbl_scenarios[[#This Row],[net_margin_pct]]</f>
        <v>-5.1929376048587272E-5</v>
      </c>
      <c r="M2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0" s="2">
        <f>tbl_raw[[#This Row],[gross_revenue]]*(1-scn_C_price_down)-tbl_raw[[#This Row],[return_loss]]-tbl_raw[[#This Row],[cogs]]-(tbl_raw[[#This Row],[storage_cost]]+tbl_raw[[#This Row],[fulfillment_cost]]+tbl_raw[[#This Row],[freight_cost]])</f>
        <v>12057.5</v>
      </c>
      <c r="O20" s="42">
        <f>tbl_scenarios[[#This Row],[net_profit_C]]/(tbl_raw[[#This Row],[gross_revenue]]*(1-scn_C_price_down))</f>
        <v>0.50699469773739292</v>
      </c>
      <c r="P20" s="43">
        <f>tbl_scenarios[[#This Row],[net_margin_C]]-tbl_scenarios[[#This Row],[net_margin_pct]]</f>
        <v>-2.4650265113130398E-2</v>
      </c>
      <c r="Q2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1" spans="1:18" x14ac:dyDescent="0.35">
      <c r="A21" s="17" t="str">
        <f>tbl_raw[[#This Row],[product_id]]</f>
        <v>a62e25e09e05e6faf31d90c6ec1aa3d1</v>
      </c>
      <c r="B21" t="str">
        <f>tbl_raw[[#This Row],[category]]</f>
        <v>watches_gifts</v>
      </c>
      <c r="C21" s="2">
        <f>tbl_profitability[[#This Row],[net_profit]]</f>
        <v>8966.16</v>
      </c>
      <c r="D21" s="42">
        <f>tbl_profitability[[#This Row],[net_margin_pct]]</f>
        <v>0.374479388547801</v>
      </c>
      <c r="E21" s="49" t="str">
        <f>tbl_profitability[[#This Row],[decision]]</f>
        <v>OPTIMIZE</v>
      </c>
      <c r="F21" s="2">
        <f>tbl_raw[[#This Row],[gross_revenue]]-tbl_raw[[#This Row],[return_loss]]-tbl_raw[[#This Row],[cogs]]*(1+scn_A_cogs_up)-(tbl_raw[[#This Row],[storage_cost]]+tbl_raw[[#This Row],[fulfillment_cost]]+tbl_raw[[#This Row],[freight_cost]])</f>
        <v>7960.5539999999983</v>
      </c>
      <c r="G21" s="42">
        <f>tbl_scenarios[[#This Row],[net_profit_A]]/tbl_raw[[#This Row],[gross_revenue]]</f>
        <v>0.33247938854780096</v>
      </c>
      <c r="H21" s="43">
        <f>tbl_scenarios[[#This Row],[net_margin_A]]-tbl_scenarios[[#This Row],[net_margin_pct]]</f>
        <v>-4.2000000000000037E-2</v>
      </c>
      <c r="I2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1" s="2">
        <f>tbl_raw[[#This Row],[gross_revenue]]-tbl_raw[[#This Row],[return_loss]]*(1+scn_B_returns_up/0.05)-tbl_raw[[#This Row],[cogs]]-(tbl_raw[[#This Row],[storage_cost]]+tbl_raw[[#This Row],[fulfillment_cost]]+tbl_raw[[#This Row],[freight_cost]])</f>
        <v>8885.16</v>
      </c>
      <c r="K21" s="42">
        <f>tbl_scenarios[[#This Row],[net_profit_B]]/tbl_raw[[#This Row],[gross_revenue]]</f>
        <v>0.37109635384037087</v>
      </c>
      <c r="L21" s="43">
        <f>tbl_scenarios[[#This Row],[net_margin_B]]-tbl_scenarios[[#This Row],[net_margin_pct]]</f>
        <v>-3.3830347074301215E-3</v>
      </c>
      <c r="M2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1" s="2">
        <f>tbl_raw[[#This Row],[gross_revenue]]*(1-scn_C_price_down)-tbl_raw[[#This Row],[return_loss]]-tbl_raw[[#This Row],[cogs]]-(tbl_raw[[#This Row],[storage_cost]]+tbl_raw[[#This Row],[fulfillment_cost]]+tbl_raw[[#This Row],[freight_cost]])</f>
        <v>7769.0099999999984</v>
      </c>
      <c r="O21" s="42">
        <f>tbl_scenarios[[#This Row],[net_profit_C]]/(tbl_raw[[#This Row],[gross_revenue]]*(1-scn_C_price_down))</f>
        <v>0.34155725110294838</v>
      </c>
      <c r="P21" s="43">
        <f>tbl_scenarios[[#This Row],[net_margin_C]]-tbl_scenarios[[#This Row],[net_margin_pct]]</f>
        <v>-3.2922137444852617E-2</v>
      </c>
      <c r="Q2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2" spans="1:18" x14ac:dyDescent="0.35">
      <c r="A22" s="17" t="str">
        <f>tbl_raw[[#This Row],[product_id]]</f>
        <v>2b4609f8948be18874494203496bc318</v>
      </c>
      <c r="B22" t="str">
        <f>tbl_raw[[#This Row],[category]]</f>
        <v>health_beauty</v>
      </c>
      <c r="C22" s="2">
        <f>tbl_profitability[[#This Row],[net_profit]]</f>
        <v>7809.9999999999973</v>
      </c>
      <c r="D22" s="42">
        <f>tbl_profitability[[#This Row],[net_margin_pct]]</f>
        <v>0.3451593500397529</v>
      </c>
      <c r="E22" s="49" t="str">
        <f>tbl_profitability[[#This Row],[decision]]</f>
        <v>SCALE</v>
      </c>
      <c r="F22" s="2">
        <f>tbl_raw[[#This Row],[gross_revenue]]-tbl_raw[[#This Row],[return_loss]]-tbl_raw[[#This Row],[cogs]]*(1+scn_A_cogs_up)-(tbl_raw[[#This Row],[storage_cost]]+tbl_raw[[#This Row],[fulfillment_cost]]+tbl_raw[[#This Row],[freight_cost]])</f>
        <v>6859.6559999999963</v>
      </c>
      <c r="G22" s="42">
        <f>tbl_scenarios[[#This Row],[net_profit_A]]/tbl_raw[[#This Row],[gross_revenue]]</f>
        <v>0.30315933501360953</v>
      </c>
      <c r="H22" s="43">
        <f>tbl_scenarios[[#This Row],[net_margin_A]]-tbl_scenarios[[#This Row],[net_margin_pct]]</f>
        <v>-4.2000015026143367E-2</v>
      </c>
      <c r="I2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2" s="2">
        <f>tbl_raw[[#This Row],[gross_revenue]]-tbl_raw[[#This Row],[return_loss]]*(1+scn_B_returns_up/0.05)-tbl_raw[[#This Row],[cogs]]-(tbl_raw[[#This Row],[storage_cost]]+tbl_raw[[#This Row],[fulfillment_cost]]+tbl_raw[[#This Row],[freight_cost]])</f>
        <v>7716.7599999999993</v>
      </c>
      <c r="K22" s="42">
        <f>tbl_scenarios[[#This Row],[net_profit_B]]/tbl_raw[[#This Row],[gross_revenue]]</f>
        <v>0.34103865121802357</v>
      </c>
      <c r="L22" s="43">
        <f>tbl_scenarios[[#This Row],[net_margin_B]]-tbl_scenarios[[#This Row],[net_margin_pct]]</f>
        <v>-4.1206988217293294E-3</v>
      </c>
      <c r="M2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2" s="2">
        <f>tbl_raw[[#This Row],[gross_revenue]]*(1-scn_C_price_down)-tbl_raw[[#This Row],[return_loss]]-tbl_raw[[#This Row],[cogs]]-(tbl_raw[[#This Row],[storage_cost]]+tbl_raw[[#This Row],[fulfillment_cost]]+tbl_raw[[#This Row],[freight_cost]])</f>
        <v>6678.6384999999946</v>
      </c>
      <c r="O22" s="42">
        <f>tbl_scenarios[[#This Row],[net_profit_C]]/(tbl_raw[[#This Row],[gross_revenue]]*(1-scn_C_price_down))</f>
        <v>0.31069405267342398</v>
      </c>
      <c r="P22" s="43">
        <f>tbl_scenarios[[#This Row],[net_margin_C]]-tbl_scenarios[[#This Row],[net_margin_pct]]</f>
        <v>-3.4465297366328917E-2</v>
      </c>
      <c r="Q2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3" spans="1:18" x14ac:dyDescent="0.35">
      <c r="A23" s="17" t="str">
        <f>tbl_raw[[#This Row],[product_id]]</f>
        <v>a5215a7a9f46c4185b12f38e9ddf2abc</v>
      </c>
      <c r="B23" t="str">
        <f>tbl_raw[[#This Row],[category]]</f>
        <v>computers</v>
      </c>
      <c r="C23" s="2">
        <f>tbl_profitability[[#This Row],[net_profit]]</f>
        <v>8463.4900000000016</v>
      </c>
      <c r="D23" s="42">
        <f>tbl_profitability[[#This Row],[net_margin_pct]]</f>
        <v>0.3893067585407477</v>
      </c>
      <c r="E23" s="49" t="str">
        <f>tbl_profitability[[#This Row],[decision]]</f>
        <v>SCALE</v>
      </c>
      <c r="F23" s="2">
        <f>tbl_raw[[#This Row],[gross_revenue]]-tbl_raw[[#This Row],[return_loss]]-tbl_raw[[#This Row],[cogs]]*(1+scn_A_cogs_up)-(tbl_raw[[#This Row],[storage_cost]]+tbl_raw[[#This Row],[fulfillment_cost]]+tbl_raw[[#This Row],[freight_cost]])</f>
        <v>7224.3160000000016</v>
      </c>
      <c r="G23" s="42">
        <f>tbl_scenarios[[#This Row],[net_profit_A]]/tbl_raw[[#This Row],[gross_revenue]]</f>
        <v>0.33230677234025918</v>
      </c>
      <c r="H23" s="43">
        <f>tbl_scenarios[[#This Row],[net_margin_A]]-tbl_scenarios[[#This Row],[net_margin_pct]]</f>
        <v>-5.6999986200488517E-2</v>
      </c>
      <c r="I2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3" s="2">
        <f>tbl_raw[[#This Row],[gross_revenue]]-tbl_raw[[#This Row],[return_loss]]*(1+scn_B_returns_up/0.05)-tbl_raw[[#This Row],[cogs]]-(tbl_raw[[#This Row],[storage_cost]]+tbl_raw[[#This Row],[fulfillment_cost]]+tbl_raw[[#This Row],[freight_cost]])</f>
        <v>8448.1900000000023</v>
      </c>
      <c r="K23" s="42">
        <f>tbl_scenarios[[#This Row],[net_profit_B]]/tbl_raw[[#This Row],[gross_revenue]]</f>
        <v>0.38860298345438582</v>
      </c>
      <c r="L23" s="43">
        <f>tbl_scenarios[[#This Row],[net_margin_B]]-tbl_scenarios[[#This Row],[net_margin_pct]]</f>
        <v>-7.0377508636187969E-4</v>
      </c>
      <c r="M2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3" s="2">
        <f>tbl_raw[[#This Row],[gross_revenue]]*(1-scn_C_price_down)-tbl_raw[[#This Row],[return_loss]]-tbl_raw[[#This Row],[cogs]]-(tbl_raw[[#This Row],[storage_cost]]+tbl_raw[[#This Row],[fulfillment_cost]]+tbl_raw[[#This Row],[freight_cost]])</f>
        <v>7376.4949999999999</v>
      </c>
      <c r="O23" s="42">
        <f>tbl_scenarios[[#This Row],[net_profit_C]]/(tbl_raw[[#This Row],[gross_revenue]]*(1-scn_C_price_down))</f>
        <v>0.35716500899026071</v>
      </c>
      <c r="P23" s="43">
        <f>tbl_scenarios[[#This Row],[net_margin_C]]-tbl_scenarios[[#This Row],[net_margin_pct]]</f>
        <v>-3.2141749550486987E-2</v>
      </c>
      <c r="Q2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4" spans="1:18" x14ac:dyDescent="0.35">
      <c r="A24" s="17" t="str">
        <f>tbl_raw[[#This Row],[product_id]]</f>
        <v>bc4cd4da98dd128c39bf0b8c2674032f</v>
      </c>
      <c r="B24" t="str">
        <f>tbl_raw[[#This Row],[category]]</f>
        <v>computers</v>
      </c>
      <c r="C24" s="2">
        <f>tbl_profitability[[#This Row],[net_profit]]</f>
        <v>8336.42</v>
      </c>
      <c r="D24" s="42">
        <f>tbl_profitability[[#This Row],[net_margin_pct]]</f>
        <v>0.3877478593777835</v>
      </c>
      <c r="E24" s="49" t="str">
        <f>tbl_profitability[[#This Row],[decision]]</f>
        <v>SCALE</v>
      </c>
      <c r="F24" s="2">
        <f>tbl_raw[[#This Row],[gross_revenue]]-tbl_raw[[#This Row],[return_loss]]-tbl_raw[[#This Row],[cogs]]*(1+scn_A_cogs_up)-(tbl_raw[[#This Row],[storage_cost]]+tbl_raw[[#This Row],[fulfillment_cost]]+tbl_raw[[#This Row],[freight_cost]])</f>
        <v>7110.9429999999993</v>
      </c>
      <c r="G24" s="42">
        <f>tbl_scenarios[[#This Row],[net_profit_A]]/tbl_raw[[#This Row],[gross_revenue]]</f>
        <v>0.33074784216815295</v>
      </c>
      <c r="H24" s="43">
        <f>tbl_scenarios[[#This Row],[net_margin_A]]-tbl_scenarios[[#This Row],[net_margin_pct]]</f>
        <v>-5.7000017209630549E-2</v>
      </c>
      <c r="I2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4" s="2">
        <f>tbl_raw[[#This Row],[gross_revenue]]-tbl_raw[[#This Row],[return_loss]]*(1+scn_B_returns_up/0.05)-tbl_raw[[#This Row],[cogs]]-(tbl_raw[[#This Row],[storage_cost]]+tbl_raw[[#This Row],[fulfillment_cost]]+tbl_raw[[#This Row],[freight_cost]])</f>
        <v>8321.1200000000008</v>
      </c>
      <c r="K24" s="42">
        <f>tbl_scenarios[[#This Row],[net_profit_B]]/tbl_raw[[#This Row],[gross_revenue]]</f>
        <v>0.38703621789996928</v>
      </c>
      <c r="L24" s="43">
        <f>tbl_scenarios[[#This Row],[net_margin_B]]-tbl_scenarios[[#This Row],[net_margin_pct]]</f>
        <v>-7.1164147781421772E-4</v>
      </c>
      <c r="M2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4" s="2">
        <f>tbl_raw[[#This Row],[gross_revenue]]*(1-scn_C_price_down)-tbl_raw[[#This Row],[return_loss]]-tbl_raw[[#This Row],[cogs]]-(tbl_raw[[#This Row],[storage_cost]]+tbl_raw[[#This Row],[fulfillment_cost]]+tbl_raw[[#This Row],[freight_cost]])</f>
        <v>7261.4404999999988</v>
      </c>
      <c r="O24" s="42">
        <f>tbl_scenarios[[#This Row],[net_profit_C]]/(tbl_raw[[#This Row],[gross_revenue]]*(1-scn_C_price_down))</f>
        <v>0.35552406250292995</v>
      </c>
      <c r="P24" s="43">
        <f>tbl_scenarios[[#This Row],[net_margin_C]]-tbl_scenarios[[#This Row],[net_margin_pct]]</f>
        <v>-3.222379687485355E-2</v>
      </c>
      <c r="Q2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5" spans="1:18" x14ac:dyDescent="0.35">
      <c r="A25" s="17" t="str">
        <f>tbl_raw[[#This Row],[product_id]]</f>
        <v>389d119b48cf3043d311335e499d9c6b</v>
      </c>
      <c r="B25" t="str">
        <f>tbl_raw[[#This Row],[category]]</f>
        <v>garden_tools</v>
      </c>
      <c r="C25" s="2">
        <f>tbl_profitability[[#This Row],[net_profit]]</f>
        <v>-655.36999999999898</v>
      </c>
      <c r="D25" s="42">
        <f>tbl_profitability[[#This Row],[net_margin_pct]]</f>
        <v>-3.0638095358307704E-2</v>
      </c>
      <c r="E25" s="49" t="str">
        <f>tbl_profitability[[#This Row],[decision]]</f>
        <v>EXIT</v>
      </c>
      <c r="F25" s="2">
        <f>tbl_raw[[#This Row],[gross_revenue]]-tbl_raw[[#This Row],[return_loss]]-tbl_raw[[#This Row],[cogs]]*(1+scn_A_cogs_up)-(tbl_raw[[#This Row],[storage_cost]]+tbl_raw[[#This Row],[fulfillment_cost]]+tbl_raw[[#This Row],[freight_cost]])</f>
        <v>-1617.9509999999991</v>
      </c>
      <c r="G25" s="42">
        <f>tbl_scenarios[[#This Row],[net_profit_A]]/tbl_raw[[#This Row],[gross_revenue]]</f>
        <v>-7.5638093020842206E-2</v>
      </c>
      <c r="H25" s="43">
        <f>tbl_scenarios[[#This Row],[net_margin_A]]-tbl_scenarios[[#This Row],[net_margin_pct]]</f>
        <v>-4.4999997662534499E-2</v>
      </c>
      <c r="I25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5" s="2">
        <f>tbl_raw[[#This Row],[gross_revenue]]-tbl_raw[[#This Row],[return_loss]]*(1+scn_B_returns_up/0.05)-tbl_raw[[#This Row],[cogs]]-(tbl_raw[[#This Row],[storage_cost]]+tbl_raw[[#This Row],[fulfillment_cost]]+tbl_raw[[#This Row],[freight_cost]])</f>
        <v>-796.13000000000102</v>
      </c>
      <c r="K25" s="42">
        <f>tbl_scenarios[[#This Row],[net_profit_B]]/tbl_raw[[#This Row],[gross_revenue]]</f>
        <v>-3.7218528247569438E-2</v>
      </c>
      <c r="L25" s="43">
        <f>tbl_scenarios[[#This Row],[net_margin_B]]-tbl_scenarios[[#This Row],[net_margin_pct]]</f>
        <v>-6.5804328892617343E-3</v>
      </c>
      <c r="M25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5" s="2">
        <f>tbl_raw[[#This Row],[gross_revenue]]*(1-scn_C_price_down)-tbl_raw[[#This Row],[return_loss]]-tbl_raw[[#This Row],[cogs]]-(tbl_raw[[#This Row],[storage_cost]]+tbl_raw[[#This Row],[fulfillment_cost]]+tbl_raw[[#This Row],[freight_cost]])</f>
        <v>-1724.9045000000006</v>
      </c>
      <c r="O25" s="42">
        <f>tbl_scenarios[[#This Row],[net_profit_C]]/(tbl_raw[[#This Row],[gross_revenue]]*(1-scn_C_price_down))</f>
        <v>-8.4882205640323991E-2</v>
      </c>
      <c r="P25" s="43">
        <f>tbl_scenarios[[#This Row],[net_margin_C]]-tbl_scenarios[[#This Row],[net_margin_pct]]</f>
        <v>-5.4244110282016283E-2</v>
      </c>
      <c r="Q25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6" spans="1:18" x14ac:dyDescent="0.35">
      <c r="A26" s="17" t="str">
        <f>tbl_raw[[#This Row],[product_id]]</f>
        <v>368c6c730842d78016ad823897a372db</v>
      </c>
      <c r="B26" t="str">
        <f>tbl_raw[[#This Row],[category]]</f>
        <v>garden_tools</v>
      </c>
      <c r="C26" s="2">
        <f>tbl_profitability[[#This Row],[net_profit]]</f>
        <v>-336.04000000000087</v>
      </c>
      <c r="D26" s="42">
        <f>tbl_profitability[[#This Row],[net_margin_pct]]</f>
        <v>-1.5958740169446491E-2</v>
      </c>
      <c r="E26" s="49" t="str">
        <f>tbl_profitability[[#This Row],[decision]]</f>
        <v>EXIT</v>
      </c>
      <c r="F26" s="2">
        <f>tbl_raw[[#This Row],[gross_revenue]]-tbl_raw[[#This Row],[return_loss]]-tbl_raw[[#This Row],[cogs]]*(1+scn_A_cogs_up)-(tbl_raw[[#This Row],[storage_cost]]+tbl_raw[[#This Row],[fulfillment_cost]]+tbl_raw[[#This Row],[freight_cost]])</f>
        <v>-1283.5960000000014</v>
      </c>
      <c r="G26" s="42">
        <f>tbl_scenarios[[#This Row],[net_profit_A]]/tbl_raw[[#This Row],[gross_revenue]]</f>
        <v>-6.0958740169446517E-2</v>
      </c>
      <c r="H26" s="43">
        <f>tbl_scenarios[[#This Row],[net_margin_A]]-tbl_scenarios[[#This Row],[net_margin_pct]]</f>
        <v>-4.5000000000000026E-2</v>
      </c>
      <c r="I26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6" s="2">
        <f>tbl_raw[[#This Row],[gross_revenue]]-tbl_raw[[#This Row],[return_loss]]*(1+scn_B_returns_up/0.05)-tbl_raw[[#This Row],[cogs]]-(tbl_raw[[#This Row],[storage_cost]]+tbl_raw[[#This Row],[fulfillment_cost]]+tbl_raw[[#This Row],[freight_cost]])</f>
        <v>-475.72000000000116</v>
      </c>
      <c r="K26" s="42">
        <f>tbl_scenarios[[#This Row],[net_profit_B]]/tbl_raw[[#This Row],[gross_revenue]]</f>
        <v>-2.2592226739105714E-2</v>
      </c>
      <c r="L26" s="43">
        <f>tbl_scenarios[[#This Row],[net_margin_B]]-tbl_scenarios[[#This Row],[net_margin_pct]]</f>
        <v>-6.6334865696592235E-3</v>
      </c>
      <c r="M26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6" s="2">
        <f>tbl_raw[[#This Row],[gross_revenue]]*(1-scn_C_price_down)-tbl_raw[[#This Row],[return_loss]]-tbl_raw[[#This Row],[cogs]]-(tbl_raw[[#This Row],[storage_cost]]+tbl_raw[[#This Row],[fulfillment_cost]]+tbl_raw[[#This Row],[freight_cost]])</f>
        <v>-1388.880000000001</v>
      </c>
      <c r="O26" s="42">
        <f>tbl_scenarios[[#This Row],[net_profit_C]]/(tbl_raw[[#This Row],[gross_revenue]]*(1-scn_C_price_down))</f>
        <v>-6.9430252809943679E-2</v>
      </c>
      <c r="P26" s="43">
        <f>tbl_scenarios[[#This Row],[net_margin_C]]-tbl_scenarios[[#This Row],[net_margin_pct]]</f>
        <v>-5.3471512640497189E-2</v>
      </c>
      <c r="Q26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7" spans="1:18" x14ac:dyDescent="0.35">
      <c r="A27" s="17" t="str">
        <f>tbl_raw[[#This Row],[product_id]]</f>
        <v>461f43be3bdf8844e65b62d9ac2c7a5a</v>
      </c>
      <c r="B27" t="str">
        <f>tbl_raw[[#This Row],[category]]</f>
        <v>watches_gifts</v>
      </c>
      <c r="C27" s="2">
        <f>tbl_profitability[[#This Row],[net_profit]]</f>
        <v>8546.9</v>
      </c>
      <c r="D27" s="42">
        <f>tbl_profitability[[#This Row],[net_margin_pct]]</f>
        <v>0.4150346570376075</v>
      </c>
      <c r="E27" s="49" t="str">
        <f>tbl_profitability[[#This Row],[decision]]</f>
        <v>OPTIMIZE</v>
      </c>
      <c r="F27" s="2">
        <f>tbl_raw[[#This Row],[gross_revenue]]-tbl_raw[[#This Row],[return_loss]]-tbl_raw[[#This Row],[cogs]]*(1+scn_A_cogs_up)-(tbl_raw[[#This Row],[storage_cost]]+tbl_raw[[#This Row],[fulfillment_cost]]+tbl_raw[[#This Row],[freight_cost]])</f>
        <v>7681.9849999999988</v>
      </c>
      <c r="G27" s="42">
        <f>tbl_scenarios[[#This Row],[net_profit_A]]/tbl_raw[[#This Row],[gross_revenue]]</f>
        <v>0.37303466869192864</v>
      </c>
      <c r="H27" s="43">
        <f>tbl_scenarios[[#This Row],[net_margin_A]]-tbl_scenarios[[#This Row],[net_margin_pct]]</f>
        <v>-4.1999988345678863E-2</v>
      </c>
      <c r="I2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7" s="2">
        <f>tbl_raw[[#This Row],[gross_revenue]]-tbl_raw[[#This Row],[return_loss]]*(1+scn_B_returns_up/0.05)-tbl_raw[[#This Row],[cogs]]-(tbl_raw[[#This Row],[storage_cost]]+tbl_raw[[#This Row],[fulfillment_cost]]+tbl_raw[[#This Row],[freight_cost]])</f>
        <v>8494.340000000002</v>
      </c>
      <c r="K27" s="42">
        <f>tbl_scenarios[[#This Row],[net_profit_B]]/tbl_raw[[#This Row],[gross_revenue]]</f>
        <v>0.41248236069929817</v>
      </c>
      <c r="L27" s="43">
        <f>tbl_scenarios[[#This Row],[net_margin_B]]-tbl_scenarios[[#This Row],[net_margin_pct]]</f>
        <v>-2.5522963383093344E-3</v>
      </c>
      <c r="M2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7" s="2">
        <f>tbl_raw[[#This Row],[gross_revenue]]*(1-scn_C_price_down)-tbl_raw[[#This Row],[return_loss]]-tbl_raw[[#This Row],[cogs]]-(tbl_raw[[#This Row],[storage_cost]]+tbl_raw[[#This Row],[fulfillment_cost]]+tbl_raw[[#This Row],[freight_cost]])</f>
        <v>7517.2389999999996</v>
      </c>
      <c r="O27" s="42">
        <f>tbl_scenarios[[#This Row],[net_profit_C]]/(tbl_raw[[#This Row],[gross_revenue]]*(1-scn_C_price_down))</f>
        <v>0.38424700740800788</v>
      </c>
      <c r="P27" s="43">
        <f>tbl_scenarios[[#This Row],[net_margin_C]]-tbl_scenarios[[#This Row],[net_margin_pct]]</f>
        <v>-3.0787649629599623E-2</v>
      </c>
      <c r="Q2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8" spans="1:18" x14ac:dyDescent="0.35">
      <c r="A28" s="17" t="str">
        <f>tbl_raw[[#This Row],[product_id]]</f>
        <v>52c80cedd4e90108bf4fa6a206ef6b03</v>
      </c>
      <c r="B28" t="str">
        <f>tbl_raw[[#This Row],[category]]</f>
        <v>garden_tools</v>
      </c>
      <c r="C28" s="2">
        <f>tbl_profitability[[#This Row],[net_profit]]</f>
        <v>4109.3800000000019</v>
      </c>
      <c r="D28" s="42">
        <f>tbl_profitability[[#This Row],[net_margin_pct]]</f>
        <v>0.2005009865551369</v>
      </c>
      <c r="E28" s="49" t="str">
        <f>tbl_profitability[[#This Row],[decision]]</f>
        <v>OPTIMIZE</v>
      </c>
      <c r="F28" s="2">
        <f>tbl_raw[[#This Row],[gross_revenue]]-tbl_raw[[#This Row],[return_loss]]-tbl_raw[[#This Row],[cogs]]*(1+scn_A_cogs_up)-(tbl_raw[[#This Row],[storage_cost]]+tbl_raw[[#This Row],[fulfillment_cost]]+tbl_raw[[#This Row],[freight_cost]])</f>
        <v>3187.0800000000008</v>
      </c>
      <c r="G28" s="42">
        <f>tbl_scenarios[[#This Row],[net_profit_A]]/tbl_raw[[#This Row],[gross_revenue]]</f>
        <v>0.15550099631334791</v>
      </c>
      <c r="H28" s="43">
        <f>tbl_scenarios[[#This Row],[net_margin_A]]-tbl_scenarios[[#This Row],[net_margin_pct]]</f>
        <v>-4.4999990241788995E-2</v>
      </c>
      <c r="I2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8" s="2">
        <f>tbl_raw[[#This Row],[gross_revenue]]-tbl_raw[[#This Row],[return_loss]]*(1+scn_B_returns_up/0.05)-tbl_raw[[#This Row],[cogs]]-(tbl_raw[[#This Row],[storage_cost]]+tbl_raw[[#This Row],[fulfillment_cost]]+tbl_raw[[#This Row],[freight_cost]])</f>
        <v>4066.9000000000024</v>
      </c>
      <c r="K28" s="42">
        <f>tbl_scenarios[[#This Row],[net_profit_B]]/tbl_raw[[#This Row],[gross_revenue]]</f>
        <v>0.19842834252882097</v>
      </c>
      <c r="L28" s="43">
        <f>tbl_scenarios[[#This Row],[net_margin_B]]-tbl_scenarios[[#This Row],[net_margin_pct]]</f>
        <v>-2.072644026315934E-3</v>
      </c>
      <c r="M2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8" s="2">
        <f>tbl_raw[[#This Row],[gross_revenue]]*(1-scn_C_price_down)-tbl_raw[[#This Row],[return_loss]]-tbl_raw[[#This Row],[cogs]]-(tbl_raw[[#This Row],[storage_cost]]+tbl_raw[[#This Row],[fulfillment_cost]]+tbl_raw[[#This Row],[freight_cost]])</f>
        <v>3084.6019999999999</v>
      </c>
      <c r="O28" s="42">
        <f>tbl_scenarios[[#This Row],[net_profit_C]]/(tbl_raw[[#This Row],[gross_revenue]]*(1-scn_C_price_down))</f>
        <v>0.15842209111067035</v>
      </c>
      <c r="P28" s="43">
        <f>tbl_scenarios[[#This Row],[net_margin_C]]-tbl_scenarios[[#This Row],[net_margin_pct]]</f>
        <v>-4.2078895444466552E-2</v>
      </c>
      <c r="Q2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9" spans="1:18" x14ac:dyDescent="0.35">
      <c r="A29" s="17" t="str">
        <f>tbl_raw[[#This Row],[product_id]]</f>
        <v>53759a2ecddad2bb87a079a1f1519f73</v>
      </c>
      <c r="B29" t="str">
        <f>tbl_raw[[#This Row],[category]]</f>
        <v>garden_tools</v>
      </c>
      <c r="C29" s="2">
        <f>tbl_profitability[[#This Row],[net_profit]]</f>
        <v>-537.34999999999673</v>
      </c>
      <c r="D29" s="42">
        <f>tbl_profitability[[#This Row],[net_margin_pct]]</f>
        <v>-2.6357224140637101E-2</v>
      </c>
      <c r="E29" s="49" t="str">
        <f>tbl_profitability[[#This Row],[decision]]</f>
        <v>EXIT</v>
      </c>
      <c r="F29" s="2">
        <f>tbl_raw[[#This Row],[gross_revenue]]-tbl_raw[[#This Row],[return_loss]]-tbl_raw[[#This Row],[cogs]]*(1+scn_A_cogs_up)-(tbl_raw[[#This Row],[storage_cost]]+tbl_raw[[#This Row],[fulfillment_cost]]+tbl_raw[[#This Row],[freight_cost]])</f>
        <v>-1454.7739999999976</v>
      </c>
      <c r="G29" s="42">
        <f>tbl_scenarios[[#This Row],[net_profit_A]]/tbl_raw[[#This Row],[gross_revenue]]</f>
        <v>-7.1357224140637138E-2</v>
      </c>
      <c r="H29" s="43">
        <f>tbl_scenarios[[#This Row],[net_margin_A]]-tbl_scenarios[[#This Row],[net_margin_pct]]</f>
        <v>-4.500000000000004E-2</v>
      </c>
      <c r="I29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9" s="2">
        <f>tbl_raw[[#This Row],[gross_revenue]]-tbl_raw[[#This Row],[return_loss]]*(1+scn_B_returns_up/0.05)-tbl_raw[[#This Row],[cogs]]-(tbl_raw[[#This Row],[storage_cost]]+tbl_raw[[#This Row],[fulfillment_cost]]+tbl_raw[[#This Row],[freight_cost]])</f>
        <v>-671.6299999999992</v>
      </c>
      <c r="K29" s="42">
        <f>tbl_scenarios[[#This Row],[net_profit_B]]/tbl_raw[[#This Row],[gross_revenue]]</f>
        <v>-3.2943709778684625E-2</v>
      </c>
      <c r="L29" s="43">
        <f>tbl_scenarios[[#This Row],[net_margin_B]]-tbl_scenarios[[#This Row],[net_margin_pct]]</f>
        <v>-6.5864856380475241E-3</v>
      </c>
      <c r="M29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9" s="2">
        <f>tbl_raw[[#This Row],[gross_revenue]]*(1-scn_C_price_down)-tbl_raw[[#This Row],[return_loss]]-tbl_raw[[#This Row],[cogs]]-(tbl_raw[[#This Row],[storage_cost]]+tbl_raw[[#This Row],[fulfillment_cost]]+tbl_raw[[#This Row],[freight_cost]])</f>
        <v>-1556.7099999999973</v>
      </c>
      <c r="O29" s="42">
        <f>tbl_scenarios[[#This Row],[net_profit_C]]/(tbl_raw[[#This Row],[gross_revenue]]*(1-scn_C_price_down))</f>
        <v>-8.0376025411196983E-2</v>
      </c>
      <c r="P29" s="43">
        <f>tbl_scenarios[[#This Row],[net_margin_C]]-tbl_scenarios[[#This Row],[net_margin_pct]]</f>
        <v>-5.4018801270559885E-2</v>
      </c>
      <c r="Q29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0" spans="1:18" x14ac:dyDescent="0.35">
      <c r="A30" s="17" t="str">
        <f>tbl_raw[[#This Row],[product_id]]</f>
        <v>fd0065af7f09af4b82a0ca8f3eed1852</v>
      </c>
      <c r="B30" t="str">
        <f>tbl_raw[[#This Row],[category]]</f>
        <v>auto</v>
      </c>
      <c r="C30" s="2">
        <f>tbl_profitability[[#This Row],[net_profit]]</f>
        <v>10567.400000000003</v>
      </c>
      <c r="D30" s="42">
        <f>tbl_profitability[[#This Row],[net_margin_pct]]</f>
        <v>0.52837264186320942</v>
      </c>
      <c r="E30" s="49" t="str">
        <f>tbl_profitability[[#This Row],[decision]]</f>
        <v>EXIT</v>
      </c>
      <c r="F30" s="2">
        <f>tbl_raw[[#This Row],[gross_revenue]]-tbl_raw[[#This Row],[return_loss]]-tbl_raw[[#This Row],[cogs]]*(1+scn_A_cogs_up)-(tbl_raw[[#This Row],[storage_cost]]+tbl_raw[[#This Row],[fulfillment_cost]]+tbl_raw[[#This Row],[freight_cost]])</f>
        <v>9667.4040000000023</v>
      </c>
      <c r="G30" s="42">
        <f>tbl_scenarios[[#This Row],[net_profit_A]]/tbl_raw[[#This Row],[gross_revenue]]</f>
        <v>0.48337261686308441</v>
      </c>
      <c r="H30" s="43">
        <f>tbl_scenarios[[#This Row],[net_margin_A]]-tbl_scenarios[[#This Row],[net_margin_pct]]</f>
        <v>-4.500002500012501E-2</v>
      </c>
      <c r="I30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0" s="2">
        <f>tbl_raw[[#This Row],[gross_revenue]]-tbl_raw[[#This Row],[return_loss]]*(1+scn_B_returns_up/0.05)-tbl_raw[[#This Row],[cogs]]-(tbl_raw[[#This Row],[storage_cost]]+tbl_raw[[#This Row],[fulfillment_cost]]+tbl_raw[[#This Row],[freight_cost]])</f>
        <v>10563.800000000001</v>
      </c>
      <c r="K30" s="42">
        <f>tbl_scenarios[[#This Row],[net_profit_B]]/tbl_raw[[#This Row],[gross_revenue]]</f>
        <v>0.52819264096320484</v>
      </c>
      <c r="L30" s="43">
        <f>tbl_scenarios[[#This Row],[net_margin_B]]-tbl_scenarios[[#This Row],[net_margin_pct]]</f>
        <v>-1.8000090000458435E-4</v>
      </c>
      <c r="M30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0" s="2">
        <f>tbl_raw[[#This Row],[gross_revenue]]*(1-scn_C_price_down)-tbl_raw[[#This Row],[return_loss]]-tbl_raw[[#This Row],[cogs]]-(tbl_raw[[#This Row],[storage_cost]]+tbl_raw[[#This Row],[fulfillment_cost]]+tbl_raw[[#This Row],[freight_cost]])</f>
        <v>9567.4050000000007</v>
      </c>
      <c r="O30" s="42">
        <f>tbl_scenarios[[#This Row],[net_profit_C]]/(tbl_raw[[#This Row],[gross_revenue]]*(1-scn_C_price_down))</f>
        <v>0.50355014932969411</v>
      </c>
      <c r="P30" s="43">
        <f>tbl_scenarios[[#This Row],[net_margin_C]]-tbl_scenarios[[#This Row],[net_margin_pct]]</f>
        <v>-2.4822492533515317E-2</v>
      </c>
      <c r="Q30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1" spans="1:18" x14ac:dyDescent="0.35">
      <c r="A31" s="17" t="str">
        <f>tbl_raw[[#This Row],[product_id]]</f>
        <v>1dec4c88c685d5a07bf01dcb0f8bf9f8</v>
      </c>
      <c r="B31" t="str">
        <f>tbl_raw[[#This Row],[category]]</f>
        <v>auto</v>
      </c>
      <c r="C31" s="2">
        <f>tbl_profitability[[#This Row],[net_profit]]</f>
        <v>8398.3900000000012</v>
      </c>
      <c r="D31" s="42">
        <f>tbl_profitability[[#This Row],[net_margin_pct]]</f>
        <v>0.42065564738292016</v>
      </c>
      <c r="E31" s="49" t="str">
        <f>tbl_profitability[[#This Row],[decision]]</f>
        <v>EXIT</v>
      </c>
      <c r="F31" s="2">
        <f>tbl_raw[[#This Row],[gross_revenue]]-tbl_raw[[#This Row],[return_loss]]-tbl_raw[[#This Row],[cogs]]*(1+scn_A_cogs_up)-(tbl_raw[[#This Row],[storage_cost]]+tbl_raw[[#This Row],[fulfillment_cost]]+tbl_raw[[#This Row],[freight_cost]])</f>
        <v>7499.9650000000001</v>
      </c>
      <c r="G31" s="42">
        <f>tbl_scenarios[[#This Row],[net_profit_A]]/tbl_raw[[#This Row],[gross_revenue]]</f>
        <v>0.37565564738292012</v>
      </c>
      <c r="H31" s="43">
        <f>tbl_scenarios[[#This Row],[net_margin_A]]-tbl_scenarios[[#This Row],[net_margin_pct]]</f>
        <v>-4.500000000000004E-2</v>
      </c>
      <c r="I31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1" s="2">
        <f>tbl_raw[[#This Row],[gross_revenue]]-tbl_raw[[#This Row],[return_loss]]*(1+scn_B_returns_up/0.05)-tbl_raw[[#This Row],[cogs]]-(tbl_raw[[#This Row],[storage_cost]]+tbl_raw[[#This Row],[fulfillment_cost]]+tbl_raw[[#This Row],[freight_cost]])</f>
        <v>8385.7899999999991</v>
      </c>
      <c r="K31" s="42">
        <f>tbl_scenarios[[#This Row],[net_profit_B]]/tbl_raw[[#This Row],[gross_revenue]]</f>
        <v>0.42002454295016273</v>
      </c>
      <c r="L31" s="43">
        <f>tbl_scenarios[[#This Row],[net_margin_B]]-tbl_scenarios[[#This Row],[net_margin_pct]]</f>
        <v>-6.3110443275743444E-4</v>
      </c>
      <c r="M31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1" s="2">
        <f>tbl_raw[[#This Row],[gross_revenue]]*(1-scn_C_price_down)-tbl_raw[[#This Row],[return_loss]]-tbl_raw[[#This Row],[cogs]]-(tbl_raw[[#This Row],[storage_cost]]+tbl_raw[[#This Row],[fulfillment_cost]]+tbl_raw[[#This Row],[freight_cost]])</f>
        <v>7400.1400000000012</v>
      </c>
      <c r="O31" s="42">
        <f>tbl_scenarios[[#This Row],[net_profit_C]]/(tbl_raw[[#This Row],[gross_revenue]]*(1-scn_C_price_down))</f>
        <v>0.3901638393504423</v>
      </c>
      <c r="P31" s="43">
        <f>tbl_scenarios[[#This Row],[net_margin_C]]-tbl_scenarios[[#This Row],[net_margin_pct]]</f>
        <v>-3.0491808032477863E-2</v>
      </c>
      <c r="Q31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2" spans="1:18" x14ac:dyDescent="0.35">
      <c r="A32" s="17" t="str">
        <f>tbl_raw[[#This Row],[product_id]]</f>
        <v>6f3b5b605d91b7439c5e3f5a8dffeea7</v>
      </c>
      <c r="B32" t="str">
        <f>tbl_raw[[#This Row],[category]]</f>
        <v>watches_gifts</v>
      </c>
      <c r="C32" s="2">
        <f>tbl_profitability[[#This Row],[net_profit]]</f>
        <v>8457.760000000002</v>
      </c>
      <c r="D32" s="42">
        <f>tbl_profitability[[#This Row],[net_margin_pct]]</f>
        <v>0.44492514229802105</v>
      </c>
      <c r="E32" s="49" t="str">
        <f>tbl_profitability[[#This Row],[decision]]</f>
        <v>SCALE</v>
      </c>
      <c r="F32" s="2">
        <f>tbl_raw[[#This Row],[gross_revenue]]-tbl_raw[[#This Row],[return_loss]]-tbl_raw[[#This Row],[cogs]]*(1+scn_A_cogs_up)-(tbl_raw[[#This Row],[storage_cost]]+tbl_raw[[#This Row],[fulfillment_cost]]+tbl_raw[[#This Row],[freight_cost]])</f>
        <v>7659.3650000000016</v>
      </c>
      <c r="G32" s="42">
        <f>tbl_scenarios[[#This Row],[net_profit_A]]/tbl_raw[[#This Row],[gross_revenue]]</f>
        <v>0.40292513177691042</v>
      </c>
      <c r="H32" s="43">
        <f>tbl_scenarios[[#This Row],[net_margin_A]]-tbl_scenarios[[#This Row],[net_margin_pct]]</f>
        <v>-4.2000010521110631E-2</v>
      </c>
      <c r="I3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2" s="2">
        <f>tbl_raw[[#This Row],[gross_revenue]]-tbl_raw[[#This Row],[return_loss]]*(1+scn_B_returns_up/0.05)-tbl_raw[[#This Row],[cogs]]-(tbl_raw[[#This Row],[storage_cost]]+tbl_raw[[#This Row],[fulfillment_cost]]+tbl_raw[[#This Row],[freight_cost]])</f>
        <v>8415.64</v>
      </c>
      <c r="K32" s="42">
        <f>tbl_scenarios[[#This Row],[net_profit_B]]/tbl_raw[[#This Row],[gross_revenue]]</f>
        <v>0.44270939640388435</v>
      </c>
      <c r="L32" s="43">
        <f>tbl_scenarios[[#This Row],[net_margin_B]]-tbl_scenarios[[#This Row],[net_margin_pct]]</f>
        <v>-2.2157458941367003E-3</v>
      </c>
      <c r="M3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2" s="2">
        <f>tbl_raw[[#This Row],[gross_revenue]]*(1-scn_C_price_down)-tbl_raw[[#This Row],[return_loss]]-tbl_raw[[#This Row],[cogs]]-(tbl_raw[[#This Row],[storage_cost]]+tbl_raw[[#This Row],[fulfillment_cost]]+tbl_raw[[#This Row],[freight_cost]])</f>
        <v>7507.2900000000009</v>
      </c>
      <c r="O32" s="42">
        <f>tbl_scenarios[[#This Row],[net_profit_C]]/(tbl_raw[[#This Row],[gross_revenue]]*(1-scn_C_price_down))</f>
        <v>0.41571067610318002</v>
      </c>
      <c r="P32" s="43">
        <f>tbl_scenarios[[#This Row],[net_margin_C]]-tbl_scenarios[[#This Row],[net_margin_pct]]</f>
        <v>-2.9214466194841027E-2</v>
      </c>
      <c r="Q3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3" spans="1:18" x14ac:dyDescent="0.35">
      <c r="A33" s="17" t="str">
        <f>tbl_raw[[#This Row],[product_id]]</f>
        <v>19c91ef95d509ea33eda93495c4d3481</v>
      </c>
      <c r="B33" t="str">
        <f>tbl_raw[[#This Row],[category]]</f>
        <v>health_beauty</v>
      </c>
      <c r="C33" s="2">
        <f>tbl_profitability[[#This Row],[net_profit]]</f>
        <v>4686.9099999999971</v>
      </c>
      <c r="D33" s="42">
        <f>tbl_profitability[[#This Row],[net_margin_pct]]</f>
        <v>0.24812329004989017</v>
      </c>
      <c r="E33" s="49" t="str">
        <f>tbl_profitability[[#This Row],[decision]]</f>
        <v>OPTIMIZE</v>
      </c>
      <c r="F33" s="2">
        <f>tbl_raw[[#This Row],[gross_revenue]]-tbl_raw[[#This Row],[return_loss]]-tbl_raw[[#This Row],[cogs]]*(1+scn_A_cogs_up)-(tbl_raw[[#This Row],[storage_cost]]+tbl_raw[[#This Row],[fulfillment_cost]]+tbl_raw[[#This Row],[freight_cost]])</f>
        <v>3893.5539999999974</v>
      </c>
      <c r="G33" s="42">
        <f>tbl_scenarios[[#This Row],[net_profit_A]]/tbl_raw[[#This Row],[gross_revenue]]</f>
        <v>0.20612331546091348</v>
      </c>
      <c r="H33" s="43">
        <f>tbl_scenarios[[#This Row],[net_margin_A]]-tbl_scenarios[[#This Row],[net_margin_pct]]</f>
        <v>-4.1999974588976696E-2</v>
      </c>
      <c r="I3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3" s="2">
        <f>tbl_raw[[#This Row],[gross_revenue]]-tbl_raw[[#This Row],[return_loss]]*(1+scn_B_returns_up/0.05)-tbl_raw[[#This Row],[cogs]]-(tbl_raw[[#This Row],[storage_cost]]+tbl_raw[[#This Row],[fulfillment_cost]]+tbl_raw[[#This Row],[freight_cost]])</f>
        <v>4630.7499999999973</v>
      </c>
      <c r="K33" s="42">
        <f>tbl_scenarios[[#This Row],[net_profit_B]]/tbl_raw[[#This Row],[gross_revenue]]</f>
        <v>0.24515020032356691</v>
      </c>
      <c r="L33" s="43">
        <f>tbl_scenarios[[#This Row],[net_margin_B]]-tbl_scenarios[[#This Row],[net_margin_pct]]</f>
        <v>-2.9730897263232636E-3</v>
      </c>
      <c r="M3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3" s="2">
        <f>tbl_raw[[#This Row],[gross_revenue]]*(1-scn_C_price_down)-tbl_raw[[#This Row],[return_loss]]-tbl_raw[[#This Row],[cogs]]-(tbl_raw[[#This Row],[storage_cost]]+tbl_raw[[#This Row],[fulfillment_cost]]+tbl_raw[[#This Row],[freight_cost]])</f>
        <v>3742.4379999999956</v>
      </c>
      <c r="O33" s="42">
        <f>tbl_scenarios[[#This Row],[net_profit_C]]/(tbl_raw[[#This Row],[gross_revenue]]*(1-scn_C_price_down))</f>
        <v>0.20855083163146326</v>
      </c>
      <c r="P33" s="43">
        <f>tbl_scenarios[[#This Row],[net_margin_C]]-tbl_scenarios[[#This Row],[net_margin_pct]]</f>
        <v>-3.9572458418426909E-2</v>
      </c>
      <c r="Q3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4" spans="1:18" x14ac:dyDescent="0.35">
      <c r="A34" s="17" t="str">
        <f>tbl_raw[[#This Row],[product_id]]</f>
        <v>1a080577618e7fe4d9ddd8fb2b47a964</v>
      </c>
      <c r="B34" t="str">
        <f>tbl_raw[[#This Row],[category]]</f>
        <v>watches_gifts</v>
      </c>
      <c r="C34" s="2">
        <f>tbl_profitability[[#This Row],[net_profit]]</f>
        <v>9745.7900000000009</v>
      </c>
      <c r="D34" s="42">
        <f>tbl_profitability[[#This Row],[net_margin_pct]]</f>
        <v>0.53363693508609789</v>
      </c>
      <c r="E34" s="49" t="str">
        <f>tbl_profitability[[#This Row],[decision]]</f>
        <v>SCALE</v>
      </c>
      <c r="F34" s="2">
        <f>tbl_raw[[#This Row],[gross_revenue]]-tbl_raw[[#This Row],[return_loss]]-tbl_raw[[#This Row],[cogs]]*(1+scn_A_cogs_up)-(tbl_raw[[#This Row],[storage_cost]]+tbl_raw[[#This Row],[fulfillment_cost]]+tbl_raw[[#This Row],[freight_cost]])</f>
        <v>8978.7459999999992</v>
      </c>
      <c r="G34" s="42">
        <f>tbl_scenarios[[#This Row],[net_profit_A]]/tbl_raw[[#This Row],[gross_revenue]]</f>
        <v>0.49163695260790141</v>
      </c>
      <c r="H34" s="43">
        <f>tbl_scenarios[[#This Row],[net_margin_A]]-tbl_scenarios[[#This Row],[net_margin_pct]]</f>
        <v>-4.1999982478196474E-2</v>
      </c>
      <c r="I3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4" s="2">
        <f>tbl_raw[[#This Row],[gross_revenue]]-tbl_raw[[#This Row],[return_loss]]*(1+scn_B_returns_up/0.05)-tbl_raw[[#This Row],[cogs]]-(tbl_raw[[#This Row],[storage_cost]]+tbl_raw[[#This Row],[fulfillment_cost]]+tbl_raw[[#This Row],[freight_cost]])</f>
        <v>9734.27</v>
      </c>
      <c r="K34" s="42">
        <f>tbl_scenarios[[#This Row],[net_profit_B]]/tbl_raw[[#This Row],[gross_revenue]]</f>
        <v>0.53300615015309682</v>
      </c>
      <c r="L34" s="43">
        <f>tbl_scenarios[[#This Row],[net_margin_B]]-tbl_scenarios[[#This Row],[net_margin_pct]]</f>
        <v>-6.3078493300106064E-4</v>
      </c>
      <c r="M3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4" s="2">
        <f>tbl_raw[[#This Row],[gross_revenue]]*(1-scn_C_price_down)-tbl_raw[[#This Row],[return_loss]]-tbl_raw[[#This Row],[cogs]]-(tbl_raw[[#This Row],[storage_cost]]+tbl_raw[[#This Row],[fulfillment_cost]]+tbl_raw[[#This Row],[freight_cost]])</f>
        <v>8832.6419999999998</v>
      </c>
      <c r="O34" s="42">
        <f>tbl_scenarios[[#This Row],[net_profit_C]]/(tbl_raw[[#This Row],[gross_revenue]]*(1-scn_C_price_down))</f>
        <v>0.50909151061694502</v>
      </c>
      <c r="P34" s="43">
        <f>tbl_scenarios[[#This Row],[net_margin_C]]-tbl_scenarios[[#This Row],[net_margin_pct]]</f>
        <v>-2.4545424469152866E-2</v>
      </c>
      <c r="Q3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5" spans="1:18" x14ac:dyDescent="0.35">
      <c r="A35" s="17" t="str">
        <f>tbl_raw[[#This Row],[product_id]]</f>
        <v>165f86fe8b799a708a20ee4ba125c289</v>
      </c>
      <c r="B35" t="str">
        <f>tbl_raw[[#This Row],[category]]</f>
        <v>cool_stuff</v>
      </c>
      <c r="C35" s="2">
        <f>tbl_profitability[[#This Row],[net_profit]]</f>
        <v>6672.0499999999975</v>
      </c>
      <c r="D35" s="42">
        <f>tbl_profitability[[#This Row],[net_margin_pct]]</f>
        <v>0.37815009362998686</v>
      </c>
      <c r="E35" s="49" t="str">
        <f>tbl_profitability[[#This Row],[decision]]</f>
        <v>OPTIMIZE</v>
      </c>
      <c r="F35" s="2">
        <f>tbl_raw[[#This Row],[gross_revenue]]-tbl_raw[[#This Row],[return_loss]]-tbl_raw[[#This Row],[cogs]]*(1+scn_A_cogs_up)-(tbl_raw[[#This Row],[storage_cost]]+tbl_raw[[#This Row],[fulfillment_cost]]+tbl_raw[[#This Row],[freight_cost]])</f>
        <v>5878.0739999999969</v>
      </c>
      <c r="G35" s="42">
        <f>tbl_scenarios[[#This Row],[net_profit_A]]/tbl_raw[[#This Row],[gross_revenue]]</f>
        <v>0.33315011630068586</v>
      </c>
      <c r="H35" s="43">
        <f>tbl_scenarios[[#This Row],[net_margin_A]]-tbl_scenarios[[#This Row],[net_margin_pct]]</f>
        <v>-4.4999977329301E-2</v>
      </c>
      <c r="I35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5" s="2">
        <f>tbl_raw[[#This Row],[gross_revenue]]-tbl_raw[[#This Row],[return_loss]]*(1+scn_B_returns_up/0.05)-tbl_raw[[#This Row],[cogs]]-(tbl_raw[[#This Row],[storage_cost]]+tbl_raw[[#This Row],[fulfillment_cost]]+tbl_raw[[#This Row],[freight_cost]])</f>
        <v>6633.17</v>
      </c>
      <c r="K35" s="42">
        <f>tbl_scenarios[[#This Row],[net_profit_B]]/tbl_raw[[#This Row],[gross_revenue]]</f>
        <v>0.375946501684433</v>
      </c>
      <c r="L35" s="43">
        <f>tbl_scenarios[[#This Row],[net_margin_B]]-tbl_scenarios[[#This Row],[net_margin_pct]]</f>
        <v>-2.2035919455538622E-3</v>
      </c>
      <c r="M35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5" s="2">
        <f>tbl_raw[[#This Row],[gross_revenue]]*(1-scn_C_price_down)-tbl_raw[[#This Row],[return_loss]]-tbl_raw[[#This Row],[cogs]]-(tbl_raw[[#This Row],[storage_cost]]+tbl_raw[[#This Row],[fulfillment_cost]]+tbl_raw[[#This Row],[freight_cost]])</f>
        <v>5789.8539999999975</v>
      </c>
      <c r="O35" s="42">
        <f>tbl_scenarios[[#This Row],[net_profit_C]]/(tbl_raw[[#This Row],[gross_revenue]]*(1-scn_C_price_down))</f>
        <v>0.34542115118945987</v>
      </c>
      <c r="P35" s="43">
        <f>tbl_scenarios[[#This Row],[net_margin_C]]-tbl_scenarios[[#This Row],[net_margin_pct]]</f>
        <v>-3.2728942440526987E-2</v>
      </c>
      <c r="Q35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6" spans="1:18" x14ac:dyDescent="0.35">
      <c r="A36" s="17" t="str">
        <f>tbl_raw[[#This Row],[product_id]]</f>
        <v>fb01a5fc09b9b9563c2ee41a22f07d54</v>
      </c>
      <c r="B36" t="str">
        <f>tbl_raw[[#This Row],[category]]</f>
        <v>consoles_games</v>
      </c>
      <c r="C36" s="2">
        <f>tbl_profitability[[#This Row],[net_profit]]</f>
        <v>6294.8600000000006</v>
      </c>
      <c r="D36" s="42">
        <f>tbl_profitability[[#This Row],[net_margin_pct]]</f>
        <v>0.37622155190807438</v>
      </c>
      <c r="E36" s="49" t="str">
        <f>tbl_profitability[[#This Row],[decision]]</f>
        <v>EXIT</v>
      </c>
      <c r="F36" s="2">
        <f>tbl_raw[[#This Row],[gross_revenue]]-tbl_raw[[#This Row],[return_loss]]-tbl_raw[[#This Row],[cogs]]*(1+scn_A_cogs_up)-(tbl_raw[[#This Row],[storage_cost]]+tbl_raw[[#This Row],[fulfillment_cost]]+tbl_raw[[#This Row],[freight_cost]])</f>
        <v>5341.1479999999992</v>
      </c>
      <c r="G36" s="42">
        <f>tbl_scenarios[[#This Row],[net_profit_A]]/tbl_raw[[#This Row],[gross_revenue]]</f>
        <v>0.31922155370106836</v>
      </c>
      <c r="H36" s="43">
        <f>tbl_scenarios[[#This Row],[net_margin_A]]-tbl_scenarios[[#This Row],[net_margin_pct]]</f>
        <v>-5.699999820700602E-2</v>
      </c>
      <c r="I36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6" s="2">
        <f>tbl_raw[[#This Row],[gross_revenue]]-tbl_raw[[#This Row],[return_loss]]*(1+scn_B_returns_up/0.05)-tbl_raw[[#This Row],[cogs]]-(tbl_raw[[#This Row],[storage_cost]]+tbl_raw[[#This Row],[fulfillment_cost]]+tbl_raw[[#This Row],[freight_cost]])</f>
        <v>6286.2200000000012</v>
      </c>
      <c r="K36" s="42">
        <f>tbl_scenarios[[#This Row],[net_profit_B]]/tbl_raw[[#This Row],[gross_revenue]]</f>
        <v>0.37570516962022599</v>
      </c>
      <c r="L36" s="43">
        <f>tbl_scenarios[[#This Row],[net_margin_B]]-tbl_scenarios[[#This Row],[net_margin_pct]]</f>
        <v>-5.1638228784839368E-4</v>
      </c>
      <c r="M36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6" s="2">
        <f>tbl_raw[[#This Row],[gross_revenue]]*(1-scn_C_price_down)-tbl_raw[[#This Row],[return_loss]]-tbl_raw[[#This Row],[cogs]]-(tbl_raw[[#This Row],[storage_cost]]+tbl_raw[[#This Row],[fulfillment_cost]]+tbl_raw[[#This Row],[freight_cost]])</f>
        <v>5458.2705000000005</v>
      </c>
      <c r="O36" s="42">
        <f>tbl_scenarios[[#This Row],[net_profit_C]]/(tbl_raw[[#This Row],[gross_revenue]]*(1-scn_C_price_down))</f>
        <v>0.34339110727165728</v>
      </c>
      <c r="P36" s="43">
        <f>tbl_scenarios[[#This Row],[net_margin_C]]-tbl_scenarios[[#This Row],[net_margin_pct]]</f>
        <v>-3.28304446364171E-2</v>
      </c>
      <c r="Q36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7" spans="1:18" x14ac:dyDescent="0.35">
      <c r="A37" s="17" t="str">
        <f>tbl_raw[[#This Row],[product_id]]</f>
        <v>e7cc48a9daff5436f63d3aad9426f28b</v>
      </c>
      <c r="B37" t="str">
        <f>tbl_raw[[#This Row],[category]]</f>
        <v>telephony</v>
      </c>
      <c r="C37" s="2">
        <f>tbl_profitability[[#This Row],[net_profit]]</f>
        <v>4213.9599999999991</v>
      </c>
      <c r="D37" s="42">
        <f>tbl_profitability[[#This Row],[net_margin_pct]]</f>
        <v>0.25986433152442029</v>
      </c>
      <c r="E37" s="49" t="str">
        <f>tbl_profitability[[#This Row],[decision]]</f>
        <v>OPTIMIZE</v>
      </c>
      <c r="F37" s="2">
        <f>tbl_raw[[#This Row],[gross_revenue]]-tbl_raw[[#This Row],[return_loss]]-tbl_raw[[#This Row],[cogs]]*(1+scn_A_cogs_up)-(tbl_raw[[#This Row],[storage_cost]]+tbl_raw[[#This Row],[fulfillment_cost]]+tbl_raw[[#This Row],[freight_cost]])</f>
        <v>3289.647999999997</v>
      </c>
      <c r="G37" s="42">
        <f>tbl_scenarios[[#This Row],[net_profit_A]]/tbl_raw[[#This Row],[gross_revenue]]</f>
        <v>0.20286433152442013</v>
      </c>
      <c r="H37" s="43">
        <f>tbl_scenarios[[#This Row],[net_margin_A]]-tbl_scenarios[[#This Row],[net_margin_pct]]</f>
        <v>-5.7000000000000162E-2</v>
      </c>
      <c r="I3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7" s="2">
        <f>tbl_raw[[#This Row],[gross_revenue]]-tbl_raw[[#This Row],[return_loss]]*(1+scn_B_returns_up/0.05)-tbl_raw[[#This Row],[cogs]]-(tbl_raw[[#This Row],[storage_cost]]+tbl_raw[[#This Row],[fulfillment_cost]]+tbl_raw[[#This Row],[freight_cost]])</f>
        <v>4130.26</v>
      </c>
      <c r="K37" s="42">
        <f>tbl_scenarios[[#This Row],[net_profit_B]]/tbl_raw[[#This Row],[gross_revenue]]</f>
        <v>0.25470276270350273</v>
      </c>
      <c r="L37" s="43">
        <f>tbl_scenarios[[#This Row],[net_margin_B]]-tbl_scenarios[[#This Row],[net_margin_pct]]</f>
        <v>-5.1615688209175614E-3</v>
      </c>
      <c r="M3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7" s="2">
        <f>tbl_raw[[#This Row],[gross_revenue]]*(1-scn_C_price_down)-tbl_raw[[#This Row],[return_loss]]-tbl_raw[[#This Row],[cogs]]-(tbl_raw[[#This Row],[storage_cost]]+tbl_raw[[#This Row],[fulfillment_cost]]+tbl_raw[[#This Row],[freight_cost]])</f>
        <v>3403.1599999999976</v>
      </c>
      <c r="O37" s="42">
        <f>tbl_scenarios[[#This Row],[net_profit_C]]/(tbl_raw[[#This Row],[gross_revenue]]*(1-scn_C_price_down))</f>
        <v>0.2209098226572844</v>
      </c>
      <c r="P37" s="43">
        <f>tbl_scenarios[[#This Row],[net_margin_C]]-tbl_scenarios[[#This Row],[net_margin_pct]]</f>
        <v>-3.895450886713589E-2</v>
      </c>
      <c r="Q3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8" spans="1:18" x14ac:dyDescent="0.35">
      <c r="A38" s="17" t="str">
        <f>tbl_raw[[#This Row],[product_id]]</f>
        <v>a04087ab6a96ffa041f8a2701a72b616</v>
      </c>
      <c r="B38" t="str">
        <f>tbl_raw[[#This Row],[category]]</f>
        <v>computers</v>
      </c>
      <c r="C38" s="2">
        <f>tbl_profitability[[#This Row],[net_profit]]</f>
        <v>4873.7599999999993</v>
      </c>
      <c r="D38" s="42">
        <f>tbl_profitability[[#This Row],[net_margin_pct]]</f>
        <v>0.30875894836870443</v>
      </c>
      <c r="E38" s="49" t="str">
        <f>tbl_profitability[[#This Row],[decision]]</f>
        <v>OPTIMIZE</v>
      </c>
      <c r="F38" s="2">
        <f>tbl_raw[[#This Row],[gross_revenue]]-tbl_raw[[#This Row],[return_loss]]-tbl_raw[[#This Row],[cogs]]*(1+scn_A_cogs_up)-(tbl_raw[[#This Row],[storage_cost]]+tbl_raw[[#This Row],[fulfillment_cost]]+tbl_raw[[#This Row],[freight_cost]])</f>
        <v>3974.0149999999985</v>
      </c>
      <c r="G38" s="42">
        <f>tbl_scenarios[[#This Row],[net_profit_A]]/tbl_raw[[#This Row],[gross_revenue]]</f>
        <v>0.25175894836870438</v>
      </c>
      <c r="H38" s="43">
        <f>tbl_scenarios[[#This Row],[net_margin_A]]-tbl_scenarios[[#This Row],[net_margin_pct]]</f>
        <v>-5.7000000000000051E-2</v>
      </c>
      <c r="I3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8" s="2">
        <f>tbl_raw[[#This Row],[gross_revenue]]-tbl_raw[[#This Row],[return_loss]]*(1+scn_B_returns_up/0.05)-tbl_raw[[#This Row],[cogs]]-(tbl_raw[[#This Row],[storage_cost]]+tbl_raw[[#This Row],[fulfillment_cost]]+tbl_raw[[#This Row],[freight_cost]])</f>
        <v>4851.2599999999993</v>
      </c>
      <c r="K38" s="42">
        <f>tbl_scenarios[[#This Row],[net_profit_B]]/tbl_raw[[#This Row],[gross_revenue]]</f>
        <v>0.30733354450427619</v>
      </c>
      <c r="L38" s="43">
        <f>tbl_scenarios[[#This Row],[net_margin_B]]-tbl_scenarios[[#This Row],[net_margin_pct]]</f>
        <v>-1.425403864428243E-3</v>
      </c>
      <c r="M3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8" s="2">
        <f>tbl_raw[[#This Row],[gross_revenue]]*(1-scn_C_price_down)-tbl_raw[[#This Row],[return_loss]]-tbl_raw[[#This Row],[cogs]]-(tbl_raw[[#This Row],[storage_cost]]+tbl_raw[[#This Row],[fulfillment_cost]]+tbl_raw[[#This Row],[freight_cost]])</f>
        <v>4084.5099999999993</v>
      </c>
      <c r="O38" s="42">
        <f>tbl_scenarios[[#This Row],[net_profit_C]]/(tbl_raw[[#This Row],[gross_revenue]]*(1-scn_C_price_down))</f>
        <v>0.27237784038810992</v>
      </c>
      <c r="P38" s="43">
        <f>tbl_scenarios[[#This Row],[net_margin_C]]-tbl_scenarios[[#This Row],[net_margin_pct]]</f>
        <v>-3.6381107980594518E-2</v>
      </c>
      <c r="Q3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9" spans="1:18" x14ac:dyDescent="0.35">
      <c r="A39" s="17" t="str">
        <f>tbl_raw[[#This Row],[product_id]]</f>
        <v>e53e557d5a159f5aa2c5e995dfdf244b</v>
      </c>
      <c r="B39" t="str">
        <f>tbl_raw[[#This Row],[category]]</f>
        <v>computers_accessories</v>
      </c>
      <c r="C39" s="2">
        <f>tbl_profitability[[#This Row],[net_profit]]</f>
        <v>1531.9599999999991</v>
      </c>
      <c r="D39" s="42">
        <f>tbl_profitability[[#This Row],[net_margin_pct]]</f>
        <v>9.9225027122431406E-2</v>
      </c>
      <c r="E39" s="49" t="str">
        <f>tbl_profitability[[#This Row],[decision]]</f>
        <v>EXIT</v>
      </c>
      <c r="F39" s="2">
        <f>tbl_raw[[#This Row],[gross_revenue]]-tbl_raw[[#This Row],[return_loss]]-tbl_raw[[#This Row],[cogs]]*(1+scn_A_cogs_up)-(tbl_raw[[#This Row],[storage_cost]]+tbl_raw[[#This Row],[fulfillment_cost]]+tbl_raw[[#This Row],[freight_cost]])</f>
        <v>651.92299999999886</v>
      </c>
      <c r="G39" s="42">
        <f>tbl_scenarios[[#This Row],[net_profit_A]]/tbl_raw[[#This Row],[gross_revenue]]</f>
        <v>4.2225043314927789E-2</v>
      </c>
      <c r="H39" s="43">
        <f>tbl_scenarios[[#This Row],[net_margin_A]]-tbl_scenarios[[#This Row],[net_margin_pct]]</f>
        <v>-5.6999983807503617E-2</v>
      </c>
      <c r="I39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9" s="2">
        <f>tbl_raw[[#This Row],[gross_revenue]]-tbl_raw[[#This Row],[return_loss]]*(1+scn_B_returns_up/0.05)-tbl_raw[[#This Row],[cogs]]-(tbl_raw[[#This Row],[storage_cost]]+tbl_raw[[#This Row],[fulfillment_cost]]+tbl_raw[[#This Row],[freight_cost]])</f>
        <v>1367.2600000000002</v>
      </c>
      <c r="K39" s="42">
        <f>tbl_scenarios[[#This Row],[net_profit_B]]/tbl_raw[[#This Row],[gross_revenue]]</f>
        <v>8.855741049597618E-2</v>
      </c>
      <c r="L39" s="43">
        <f>tbl_scenarios[[#This Row],[net_margin_B]]-tbl_scenarios[[#This Row],[net_margin_pct]]</f>
        <v>-1.0667616626455226E-2</v>
      </c>
      <c r="M39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9" s="2">
        <f>tbl_raw[[#This Row],[gross_revenue]]*(1-scn_C_price_down)-tbl_raw[[#This Row],[return_loss]]-tbl_raw[[#This Row],[cogs]]-(tbl_raw[[#This Row],[storage_cost]]+tbl_raw[[#This Row],[fulfillment_cost]]+tbl_raw[[#This Row],[freight_cost]])</f>
        <v>759.99749999999767</v>
      </c>
      <c r="O39" s="42">
        <f>tbl_scenarios[[#This Row],[net_profit_C]]/(tbl_raw[[#This Row],[gross_revenue]]*(1-scn_C_price_down))</f>
        <v>5.1815818023611918E-2</v>
      </c>
      <c r="P39" s="43">
        <f>tbl_scenarios[[#This Row],[net_margin_C]]-tbl_scenarios[[#This Row],[net_margin_pct]]</f>
        <v>-4.7409209098819488E-2</v>
      </c>
      <c r="Q39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40" spans="1:18" x14ac:dyDescent="0.35">
      <c r="A40" s="17" t="str">
        <f>tbl_raw[[#This Row],[product_id]]</f>
        <v>601a360bd2a916ecef0e88de72a6531a</v>
      </c>
      <c r="B40" t="str">
        <f>tbl_raw[[#This Row],[category]]</f>
        <v>cool_stuff</v>
      </c>
      <c r="C40" s="2">
        <f>tbl_profitability[[#This Row],[net_profit]]</f>
        <v>5457.69</v>
      </c>
      <c r="D40" s="42">
        <f>tbl_profitability[[#This Row],[net_margin_pct]]</f>
        <v>0.36001044867976578</v>
      </c>
      <c r="E40" s="49" t="str">
        <f>tbl_profitability[[#This Row],[decision]]</f>
        <v>SCALE</v>
      </c>
      <c r="F40" s="2">
        <f>tbl_raw[[#This Row],[gross_revenue]]-tbl_raw[[#This Row],[return_loss]]-tbl_raw[[#This Row],[cogs]]*(1+scn_A_cogs_up)-(tbl_raw[[#This Row],[storage_cost]]+tbl_raw[[#This Row],[fulfillment_cost]]+tbl_raw[[#This Row],[freight_cost]])</f>
        <v>4775.4989999999989</v>
      </c>
      <c r="G40" s="42">
        <f>tbl_scenarios[[#This Row],[net_profit_A]]/tbl_raw[[#This Row],[gross_revenue]]</f>
        <v>0.31501047836351503</v>
      </c>
      <c r="H40" s="43">
        <f>tbl_scenarios[[#This Row],[net_margin_A]]-tbl_scenarios[[#This Row],[net_margin_pct]]</f>
        <v>-4.4999970316250748E-2</v>
      </c>
      <c r="I4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40" s="2">
        <f>tbl_raw[[#This Row],[gross_revenue]]-tbl_raw[[#This Row],[return_loss]]*(1+scn_B_returns_up/0.05)-tbl_raw[[#This Row],[cogs]]-(tbl_raw[[#This Row],[storage_cost]]+tbl_raw[[#This Row],[fulfillment_cost]]+tbl_raw[[#This Row],[freight_cost]])</f>
        <v>5414.8499999999995</v>
      </c>
      <c r="K40" s="42">
        <f>tbl_scenarios[[#This Row],[net_profit_B]]/tbl_raw[[#This Row],[gross_revenue]]</f>
        <v>0.35718455574311286</v>
      </c>
      <c r="L40" s="43">
        <f>tbl_scenarios[[#This Row],[net_margin_B]]-tbl_scenarios[[#This Row],[net_margin_pct]]</f>
        <v>-2.8258929366529184E-3</v>
      </c>
      <c r="M4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40" s="2">
        <f>tbl_raw[[#This Row],[gross_revenue]]*(1-scn_C_price_down)-tbl_raw[[#This Row],[return_loss]]-tbl_raw[[#This Row],[cogs]]-(tbl_raw[[#This Row],[storage_cost]]+tbl_raw[[#This Row],[fulfillment_cost]]+tbl_raw[[#This Row],[freight_cost]])</f>
        <v>4699.6994999999997</v>
      </c>
      <c r="O40" s="42">
        <f>tbl_scenarios[[#This Row],[net_profit_C]]/(tbl_raw[[#This Row],[gross_revenue]]*(1-scn_C_price_down))</f>
        <v>0.32632678808396398</v>
      </c>
      <c r="P40" s="43">
        <f>tbl_scenarios[[#This Row],[net_margin_C]]-tbl_scenarios[[#This Row],[net_margin_pct]]</f>
        <v>-3.3683660595801801E-2</v>
      </c>
      <c r="Q4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4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41" spans="1:18" x14ac:dyDescent="0.35">
      <c r="A41" s="17" t="str">
        <f>tbl_raw[[#This Row],[product_id]]</f>
        <v>d5991653e037ccb7af6ed7d94246b249</v>
      </c>
      <c r="B41" t="str">
        <f>tbl_raw[[#This Row],[category]]</f>
        <v>computers_accessories</v>
      </c>
      <c r="C41" s="2">
        <f>tbl_profitability[[#This Row],[net_profit]]</f>
        <v>2644.8399999999992</v>
      </c>
      <c r="D41" s="42">
        <f>tbl_profitability[[#This Row],[net_margin_pct]]</f>
        <v>0.17501796606894465</v>
      </c>
      <c r="E41" s="49" t="str">
        <f>tbl_profitability[[#This Row],[decision]]</f>
        <v>OPTIMIZE</v>
      </c>
      <c r="F41" s="2">
        <f>tbl_raw[[#This Row],[gross_revenue]]-tbl_raw[[#This Row],[return_loss]]-tbl_raw[[#This Row],[cogs]]*(1+scn_A_cogs_up)-(tbl_raw[[#This Row],[storage_cost]]+tbl_raw[[#This Row],[fulfillment_cost]]+tbl_raw[[#This Row],[freight_cost]])</f>
        <v>1783.4659999999976</v>
      </c>
      <c r="G41" s="42">
        <f>tbl_scenarios[[#This Row],[net_profit_A]]/tbl_raw[[#This Row],[gross_revenue]]</f>
        <v>0.11801794886386932</v>
      </c>
      <c r="H41" s="43">
        <f>tbl_scenarios[[#This Row],[net_margin_A]]-tbl_scenarios[[#This Row],[net_margin_pct]]</f>
        <v>-5.7000017205075332E-2</v>
      </c>
      <c r="I4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41" s="2">
        <f>tbl_raw[[#This Row],[gross_revenue]]-tbl_raw[[#This Row],[return_loss]]*(1+scn_B_returns_up/0.05)-tbl_raw[[#This Row],[cogs]]-(tbl_raw[[#This Row],[storage_cost]]+tbl_raw[[#This Row],[fulfillment_cost]]+tbl_raw[[#This Row],[freight_cost]])</f>
        <v>2552.1400000000003</v>
      </c>
      <c r="K41" s="42">
        <f>tbl_scenarios[[#This Row],[net_profit_B]]/tbl_raw[[#This Row],[gross_revenue]]</f>
        <v>0.16888369501489564</v>
      </c>
      <c r="L41" s="43">
        <f>tbl_scenarios[[#This Row],[net_margin_B]]-tbl_scenarios[[#This Row],[net_margin_pct]]</f>
        <v>-6.134271054049012E-3</v>
      </c>
      <c r="M4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41" s="2">
        <f>tbl_raw[[#This Row],[gross_revenue]]*(1-scn_C_price_down)-tbl_raw[[#This Row],[return_loss]]-tbl_raw[[#This Row],[cogs]]-(tbl_raw[[#This Row],[storage_cost]]+tbl_raw[[#This Row],[fulfillment_cost]]+tbl_raw[[#This Row],[freight_cost]])</f>
        <v>1889.2489999999989</v>
      </c>
      <c r="O41" s="42">
        <f>tbl_scenarios[[#This Row],[net_profit_C]]/(tbl_raw[[#This Row],[gross_revenue]]*(1-scn_C_price_down))</f>
        <v>0.13159785901994173</v>
      </c>
      <c r="P41" s="43">
        <f>tbl_scenarios[[#This Row],[net_margin_C]]-tbl_scenarios[[#This Row],[net_margin_pct]]</f>
        <v>-4.3420107049002926E-2</v>
      </c>
      <c r="Q4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4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42" spans="1:18" x14ac:dyDescent="0.35">
      <c r="A42" s="17" t="str">
        <f>tbl_raw[[#This Row],[product_id]]</f>
        <v>470433f95ba906e17efac3fce39e9ffd</v>
      </c>
      <c r="B42" t="str">
        <f>tbl_raw[[#This Row],[category]]</f>
        <v>computers_accessories</v>
      </c>
      <c r="C42" s="2">
        <f>tbl_profitability[[#This Row],[net_profit]]</f>
        <v>6182.9000000000005</v>
      </c>
      <c r="D42" s="42">
        <f>tbl_profitability[[#This Row],[net_margin_pct]]</f>
        <v>0.41220844764308029</v>
      </c>
      <c r="E42" s="49" t="str">
        <f>tbl_profitability[[#This Row],[decision]]</f>
        <v>SCALE</v>
      </c>
      <c r="F42" s="2">
        <f>tbl_raw[[#This Row],[gross_revenue]]-tbl_raw[[#This Row],[return_loss]]-tbl_raw[[#This Row],[cogs]]*(1+scn_A_cogs_up)-(tbl_raw[[#This Row],[storage_cost]]+tbl_raw[[#This Row],[fulfillment_cost]]+tbl_raw[[#This Row],[freight_cost]])</f>
        <v>5327.9309999999996</v>
      </c>
      <c r="G42" s="42">
        <f>tbl_scenarios[[#This Row],[net_profit_A]]/tbl_raw[[#This Row],[gross_revenue]]</f>
        <v>0.35520842430889127</v>
      </c>
      <c r="H42" s="43">
        <f>tbl_scenarios[[#This Row],[net_margin_A]]-tbl_scenarios[[#This Row],[net_margin_pct]]</f>
        <v>-5.7000023334189021E-2</v>
      </c>
      <c r="I4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42" s="2">
        <f>tbl_raw[[#This Row],[gross_revenue]]-tbl_raw[[#This Row],[return_loss]]*(1+scn_B_returns_up/0.05)-tbl_raw[[#This Row],[cogs]]-(tbl_raw[[#This Row],[storage_cost]]+tbl_raw[[#This Row],[fulfillment_cost]]+tbl_raw[[#This Row],[freight_cost]])</f>
        <v>6178.4000000000005</v>
      </c>
      <c r="K42" s="42">
        <f>tbl_scenarios[[#This Row],[net_profit_B]]/tbl_raw[[#This Row],[gross_revenue]]</f>
        <v>0.4119084366426769</v>
      </c>
      <c r="L42" s="43">
        <f>tbl_scenarios[[#This Row],[net_margin_B]]-tbl_scenarios[[#This Row],[net_margin_pct]]</f>
        <v>-3.0001100040338846E-4</v>
      </c>
      <c r="M4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42" s="2">
        <f>tbl_raw[[#This Row],[gross_revenue]]*(1-scn_C_price_down)-tbl_raw[[#This Row],[return_loss]]-tbl_raw[[#This Row],[cogs]]-(tbl_raw[[#This Row],[storage_cost]]+tbl_raw[[#This Row],[fulfillment_cost]]+tbl_raw[[#This Row],[freight_cost]])</f>
        <v>5432.9275000000007</v>
      </c>
      <c r="O42" s="42">
        <f>tbl_scenarios[[#This Row],[net_profit_C]]/(tbl_raw[[#This Row],[gross_revenue]]*(1-scn_C_price_down))</f>
        <v>0.38127205015061083</v>
      </c>
      <c r="P42" s="43">
        <f>tbl_scenarios[[#This Row],[net_margin_C]]-tbl_scenarios[[#This Row],[net_margin_pct]]</f>
        <v>-3.0936397492469458E-2</v>
      </c>
      <c r="Q4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4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43" spans="1:18" x14ac:dyDescent="0.35">
      <c r="A43" s="17" t="str">
        <f>tbl_raw[[#This Row],[product_id]]</f>
        <v>c4baedd846ed09b85f78a781b522f126</v>
      </c>
      <c r="B43" t="str">
        <f>tbl_raw[[#This Row],[category]]</f>
        <v>garden_tools</v>
      </c>
      <c r="C43" s="2">
        <f>tbl_profitability[[#This Row],[net_profit]]</f>
        <v>54.309999999999491</v>
      </c>
      <c r="D43" s="42">
        <f>tbl_profitability[[#This Row],[net_margin_pct]]</f>
        <v>3.652558371326138E-3</v>
      </c>
      <c r="E43" s="49" t="str">
        <f>tbl_profitability[[#This Row],[decision]]</f>
        <v>EXIT</v>
      </c>
      <c r="F43" s="2">
        <f>tbl_raw[[#This Row],[gross_revenue]]-tbl_raw[[#This Row],[return_loss]]-tbl_raw[[#This Row],[cogs]]*(1+scn_A_cogs_up)-(tbl_raw[[#This Row],[storage_cost]]+tbl_raw[[#This Row],[fulfillment_cost]]+tbl_raw[[#This Row],[freight_cost]])</f>
        <v>-614.79600000000119</v>
      </c>
      <c r="G43" s="42">
        <f>tbl_scenarios[[#This Row],[net_profit_A]]/tbl_raw[[#This Row],[gross_revenue]]</f>
        <v>-4.1347418089814951E-2</v>
      </c>
      <c r="H43" s="43">
        <f>tbl_scenarios[[#This Row],[net_margin_A]]-tbl_scenarios[[#This Row],[net_margin_pct]]</f>
        <v>-4.4999976461141088E-2</v>
      </c>
      <c r="I43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43" s="2">
        <f>tbl_raw[[#This Row],[gross_revenue]]-tbl_raw[[#This Row],[return_loss]]*(1+scn_B_returns_up/0.05)-tbl_raw[[#This Row],[cogs]]-(tbl_raw[[#This Row],[storage_cost]]+tbl_raw[[#This Row],[fulfillment_cost]]+tbl_raw[[#This Row],[freight_cost]])</f>
        <v>1.0300000000006548</v>
      </c>
      <c r="K43" s="42">
        <f>tbl_scenarios[[#This Row],[net_profit_B]]/tbl_raw[[#This Row],[gross_revenue]]</f>
        <v>6.9271499216872574E-5</v>
      </c>
      <c r="L43" s="43">
        <f>tbl_scenarios[[#This Row],[net_margin_B]]-tbl_scenarios[[#This Row],[net_margin_pct]]</f>
        <v>-3.5832868721092656E-3</v>
      </c>
      <c r="M43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43" s="2">
        <f>tbl_raw[[#This Row],[gross_revenue]]*(1-scn_C_price_down)-tbl_raw[[#This Row],[return_loss]]-tbl_raw[[#This Row],[cogs]]-(tbl_raw[[#This Row],[storage_cost]]+tbl_raw[[#This Row],[fulfillment_cost]]+tbl_raw[[#This Row],[freight_cost]])</f>
        <v>-689.14150000000154</v>
      </c>
      <c r="O43" s="42">
        <f>tbl_scenarios[[#This Row],[net_profit_C]]/(tbl_raw[[#This Row],[gross_revenue]]*(1-scn_C_price_down))</f>
        <v>-4.8786780661762036E-2</v>
      </c>
      <c r="P43" s="43">
        <f>tbl_scenarios[[#This Row],[net_margin_C]]-tbl_scenarios[[#This Row],[net_margin_pct]]</f>
        <v>-5.2439339033088173E-2</v>
      </c>
      <c r="Q43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4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44" spans="1:18" x14ac:dyDescent="0.35">
      <c r="A44" s="17" t="str">
        <f>tbl_raw[[#This Row],[product_id]]</f>
        <v>431d674f9a4fbd0957ecf6ba3fcb6899</v>
      </c>
      <c r="B44" t="str">
        <f>tbl_raw[[#This Row],[category]]</f>
        <v>telephony</v>
      </c>
      <c r="C44" s="2">
        <f>tbl_profitability[[#This Row],[net_profit]]</f>
        <v>4930.9399999999996</v>
      </c>
      <c r="D44" s="42">
        <f>tbl_profitability[[#This Row],[net_margin_pct]]</f>
        <v>0.33275724891233416</v>
      </c>
      <c r="E44" s="49" t="str">
        <f>tbl_profitability[[#This Row],[decision]]</f>
        <v>SCALE</v>
      </c>
      <c r="F44" s="2">
        <f>tbl_raw[[#This Row],[gross_revenue]]-tbl_raw[[#This Row],[return_loss]]-tbl_raw[[#This Row],[cogs]]*(1+scn_A_cogs_up)-(tbl_raw[[#This Row],[storage_cost]]+tbl_raw[[#This Row],[fulfillment_cost]]+tbl_raw[[#This Row],[freight_cost]])</f>
        <v>4086.2889999999979</v>
      </c>
      <c r="G44" s="42">
        <f>tbl_scenarios[[#This Row],[net_profit_A]]/tbl_raw[[#This Row],[gross_revenue]]</f>
        <v>0.27575721584540319</v>
      </c>
      <c r="H44" s="43">
        <f>tbl_scenarios[[#This Row],[net_margin_A]]-tbl_scenarios[[#This Row],[net_margin_pct]]</f>
        <v>-5.7000033066930966E-2</v>
      </c>
      <c r="I4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44" s="2">
        <f>tbl_raw[[#This Row],[gross_revenue]]-tbl_raw[[#This Row],[return_loss]]*(1+scn_B_returns_up/0.05)-tbl_raw[[#This Row],[cogs]]-(tbl_raw[[#This Row],[storage_cost]]+tbl_raw[[#This Row],[fulfillment_cost]]+tbl_raw[[#This Row],[freight_cost]])</f>
        <v>4883.2400000000007</v>
      </c>
      <c r="K44" s="42">
        <f>tbl_scenarios[[#This Row],[net_profit_B]]/tbl_raw[[#This Row],[gross_revenue]]</f>
        <v>0.32953828442014443</v>
      </c>
      <c r="L44" s="43">
        <f>tbl_scenarios[[#This Row],[net_margin_B]]-tbl_scenarios[[#This Row],[net_margin_pct]]</f>
        <v>-3.2189644921897242E-3</v>
      </c>
      <c r="M4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44" s="2">
        <f>tbl_raw[[#This Row],[gross_revenue]]*(1-scn_C_price_down)-tbl_raw[[#This Row],[return_loss]]-tbl_raw[[#This Row],[cogs]]-(tbl_raw[[#This Row],[storage_cost]]+tbl_raw[[#This Row],[fulfillment_cost]]+tbl_raw[[#This Row],[freight_cost]])</f>
        <v>4190.0184999999992</v>
      </c>
      <c r="O44" s="42">
        <f>tbl_scenarios[[#This Row],[net_profit_C]]/(tbl_raw[[#This Row],[gross_revenue]]*(1-scn_C_price_down))</f>
        <v>0.29763920938140431</v>
      </c>
      <c r="P44" s="43">
        <f>tbl_scenarios[[#This Row],[net_margin_C]]-tbl_scenarios[[#This Row],[net_margin_pct]]</f>
        <v>-3.5118039530929845E-2</v>
      </c>
      <c r="Q4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4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45" spans="1:18" x14ac:dyDescent="0.35">
      <c r="A45" s="17" t="str">
        <f>tbl_raw[[#This Row],[product_id]]</f>
        <v>7814c273ab16783d73a9863ebfa8b141</v>
      </c>
      <c r="B45" t="str">
        <f>tbl_raw[[#This Row],[category]]</f>
        <v>furniture_decor</v>
      </c>
      <c r="C45" s="2">
        <f>tbl_profitability[[#This Row],[net_profit]]</f>
        <v>3711.2000000000007</v>
      </c>
      <c r="D45" s="42">
        <f>tbl_profitability[[#This Row],[net_margin_pct]]</f>
        <v>0.25123206065529385</v>
      </c>
      <c r="E45" s="49" t="str">
        <f>tbl_profitability[[#This Row],[decision]]</f>
        <v>OPTIMIZE</v>
      </c>
      <c r="F45" s="2">
        <f>tbl_raw[[#This Row],[gross_revenue]]-tbl_raw[[#This Row],[return_loss]]-tbl_raw[[#This Row],[cogs]]*(1+scn_A_cogs_up)-(tbl_raw[[#This Row],[storage_cost]]+tbl_raw[[#This Row],[fulfillment_cost]]+tbl_raw[[#This Row],[freight_cost]])</f>
        <v>3046.46</v>
      </c>
      <c r="G45" s="42">
        <f>tbl_scenarios[[#This Row],[net_profit_A]]/tbl_raw[[#This Row],[gross_revenue]]</f>
        <v>0.20623206065529381</v>
      </c>
      <c r="H45" s="43">
        <f>tbl_scenarios[[#This Row],[net_margin_A]]-tbl_scenarios[[#This Row],[net_margin_pct]]</f>
        <v>-4.500000000000004E-2</v>
      </c>
      <c r="I45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45" s="2">
        <f>tbl_raw[[#This Row],[gross_revenue]]-tbl_raw[[#This Row],[return_loss]]*(1+scn_B_returns_up/0.05)-tbl_raw[[#This Row],[cogs]]-(tbl_raw[[#This Row],[storage_cost]]+tbl_raw[[#This Row],[fulfillment_cost]]+tbl_raw[[#This Row],[freight_cost]])</f>
        <v>3688.880000000001</v>
      </c>
      <c r="K45" s="42">
        <f>tbl_scenarios[[#This Row],[net_profit_B]]/tbl_raw[[#This Row],[gross_revenue]]</f>
        <v>0.24972109396154896</v>
      </c>
      <c r="L45" s="43">
        <f>tbl_scenarios[[#This Row],[net_margin_B]]-tbl_scenarios[[#This Row],[net_margin_pct]]</f>
        <v>-1.5109666937448973E-3</v>
      </c>
      <c r="M45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45" s="2">
        <f>tbl_raw[[#This Row],[gross_revenue]]*(1-scn_C_price_down)-tbl_raw[[#This Row],[return_loss]]-tbl_raw[[#This Row],[cogs]]-(tbl_raw[[#This Row],[storage_cost]]+tbl_raw[[#This Row],[fulfillment_cost]]+tbl_raw[[#This Row],[freight_cost]])</f>
        <v>2972.6000000000004</v>
      </c>
      <c r="O45" s="42">
        <f>tbl_scenarios[[#This Row],[net_profit_C]]/(tbl_raw[[#This Row],[gross_revenue]]*(1-scn_C_price_down))</f>
        <v>0.21182322174241455</v>
      </c>
      <c r="P45" s="43">
        <f>tbl_scenarios[[#This Row],[net_margin_C]]-tbl_scenarios[[#This Row],[net_margin_pct]]</f>
        <v>-3.9408838912879302E-2</v>
      </c>
      <c r="Q45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4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46" spans="1:18" x14ac:dyDescent="0.35">
      <c r="A46" s="17" t="str">
        <f>tbl_raw[[#This Row],[product_id]]</f>
        <v>87feb07adc221a4c6cdf051ea1afd0ff</v>
      </c>
      <c r="B46" t="str">
        <f>tbl_raw[[#This Row],[category]]</f>
        <v>home_appliances_2</v>
      </c>
      <c r="C46" s="2">
        <f>tbl_profitability[[#This Row],[net_profit]]</f>
        <v>5875.47</v>
      </c>
      <c r="D46" s="42">
        <f>tbl_profitability[[#This Row],[net_margin_pct]]</f>
        <v>0.39779756262694654</v>
      </c>
      <c r="E46" s="49" t="str">
        <f>tbl_profitability[[#This Row],[decision]]</f>
        <v>SCALE</v>
      </c>
      <c r="F46" s="2">
        <f>tbl_raw[[#This Row],[gross_revenue]]-tbl_raw[[#This Row],[return_loss]]-tbl_raw[[#This Row],[cogs]]*(1+scn_A_cogs_up)-(tbl_raw[[#This Row],[storage_cost]]+tbl_raw[[#This Row],[fulfillment_cost]]+tbl_raw[[#This Row],[freight_cost]])</f>
        <v>5033.579999999999</v>
      </c>
      <c r="G46" s="42">
        <f>tbl_scenarios[[#This Row],[net_profit_A]]/tbl_raw[[#This Row],[gross_revenue]]</f>
        <v>0.34079756262694644</v>
      </c>
      <c r="H46" s="43">
        <f>tbl_scenarios[[#This Row],[net_margin_A]]-tbl_scenarios[[#This Row],[net_margin_pct]]</f>
        <v>-5.7000000000000106E-2</v>
      </c>
      <c r="I4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46" s="2">
        <f>tbl_raw[[#This Row],[gross_revenue]]-tbl_raw[[#This Row],[return_loss]]*(1+scn_B_returns_up/0.05)-tbl_raw[[#This Row],[cogs]]-(tbl_raw[[#This Row],[storage_cost]]+tbl_raw[[#This Row],[fulfillment_cost]]+tbl_raw[[#This Row],[freight_cost]])</f>
        <v>5872.95</v>
      </c>
      <c r="K46" s="42">
        <f>tbl_scenarios[[#This Row],[net_profit_B]]/tbl_raw[[#This Row],[gross_revenue]]</f>
        <v>0.39762694651320241</v>
      </c>
      <c r="L46" s="43">
        <f>tbl_scenarios[[#This Row],[net_margin_B]]-tbl_scenarios[[#This Row],[net_margin_pct]]</f>
        <v>-1.7061611374413754E-4</v>
      </c>
      <c r="M4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46" s="2">
        <f>tbl_raw[[#This Row],[gross_revenue]]*(1-scn_C_price_down)-tbl_raw[[#This Row],[return_loss]]-tbl_raw[[#This Row],[cogs]]-(tbl_raw[[#This Row],[storage_cost]]+tbl_raw[[#This Row],[fulfillment_cost]]+tbl_raw[[#This Row],[freight_cost]])</f>
        <v>5136.97</v>
      </c>
      <c r="O46" s="42">
        <f>tbl_scenarios[[#This Row],[net_profit_C]]/(tbl_raw[[#This Row],[gross_revenue]]*(1-scn_C_price_down))</f>
        <v>0.36610269750204899</v>
      </c>
      <c r="P46" s="43">
        <f>tbl_scenarios[[#This Row],[net_margin_C]]-tbl_scenarios[[#This Row],[net_margin_pct]]</f>
        <v>-3.1694865124897553E-2</v>
      </c>
      <c r="Q4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4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47" spans="1:18" x14ac:dyDescent="0.35">
      <c r="A47" s="17" t="str">
        <f>tbl_raw[[#This Row],[product_id]]</f>
        <v>f49e985b4cb2d0543890d6dd00077663</v>
      </c>
      <c r="B47" t="str">
        <f>tbl_raw[[#This Row],[category]]</f>
        <v>small_appliances_home_oven_and_coffee</v>
      </c>
      <c r="C47" s="2">
        <f>tbl_profitability[[#This Row],[net_profit]]</f>
        <v>4968.0600000000004</v>
      </c>
      <c r="D47" s="42">
        <f>tbl_profitability[[#This Row],[net_margin_pct]]</f>
        <v>0.34051130911583277</v>
      </c>
      <c r="E47" s="49" t="str">
        <f>tbl_profitability[[#This Row],[decision]]</f>
        <v>SCALE</v>
      </c>
      <c r="F47" s="2">
        <f>tbl_raw[[#This Row],[gross_revenue]]-tbl_raw[[#This Row],[return_loss]]-tbl_raw[[#This Row],[cogs]]*(1+scn_A_cogs_up)-(tbl_raw[[#This Row],[storage_cost]]+tbl_raw[[#This Row],[fulfillment_cost]]+tbl_raw[[#This Row],[freight_cost]])</f>
        <v>4136.4299999999994</v>
      </c>
      <c r="G47" s="42">
        <f>tbl_scenarios[[#This Row],[net_profit_A]]/tbl_raw[[#This Row],[gross_revenue]]</f>
        <v>0.28351130911583272</v>
      </c>
      <c r="H47" s="43">
        <f>tbl_scenarios[[#This Row],[net_margin_A]]-tbl_scenarios[[#This Row],[net_margin_pct]]</f>
        <v>-5.7000000000000051E-2</v>
      </c>
      <c r="I4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47" s="2">
        <f>tbl_raw[[#This Row],[gross_revenue]]-tbl_raw[[#This Row],[return_loss]]*(1+scn_B_returns_up/0.05)-tbl_raw[[#This Row],[cogs]]-(tbl_raw[[#This Row],[storage_cost]]+tbl_raw[[#This Row],[fulfillment_cost]]+tbl_raw[[#This Row],[freight_cost]])</f>
        <v>4961.22</v>
      </c>
      <c r="K47" s="42">
        <f>tbl_scenarios[[#This Row],[net_profit_B]]/tbl_raw[[#This Row],[gross_revenue]]</f>
        <v>0.34004249485949284</v>
      </c>
      <c r="L47" s="43">
        <f>tbl_scenarios[[#This Row],[net_margin_B]]-tbl_scenarios[[#This Row],[net_margin_pct]]</f>
        <v>-4.6881425633993334E-4</v>
      </c>
      <c r="M4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47" s="2">
        <f>tbl_raw[[#This Row],[gross_revenue]]*(1-scn_C_price_down)-tbl_raw[[#This Row],[return_loss]]-tbl_raw[[#This Row],[cogs]]-(tbl_raw[[#This Row],[storage_cost]]+tbl_raw[[#This Row],[fulfillment_cost]]+tbl_raw[[#This Row],[freight_cost]])</f>
        <v>4238.5600000000004</v>
      </c>
      <c r="O47" s="42">
        <f>tbl_scenarios[[#This Row],[net_profit_C]]/(tbl_raw[[#This Row],[gross_revenue]]*(1-scn_C_price_down))</f>
        <v>0.30580137801666607</v>
      </c>
      <c r="P47" s="43">
        <f>tbl_scenarios[[#This Row],[net_margin_C]]-tbl_scenarios[[#This Row],[net_margin_pct]]</f>
        <v>-3.4709931099166702E-2</v>
      </c>
      <c r="Q4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4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48" spans="1:18" x14ac:dyDescent="0.35">
      <c r="A48" s="17" t="str">
        <f>tbl_raw[[#This Row],[product_id]]</f>
        <v>8c591ab0ca519558779df02023177f44</v>
      </c>
      <c r="B48" t="str">
        <f>tbl_raw[[#This Row],[category]]</f>
        <v>garden_tools</v>
      </c>
      <c r="C48" s="2">
        <f>tbl_profitability[[#This Row],[net_profit]]</f>
        <v>407.69999999999891</v>
      </c>
      <c r="D48" s="42">
        <f>tbl_profitability[[#This Row],[net_margin_pct]]</f>
        <v>2.8132491129674357E-2</v>
      </c>
      <c r="E48" s="49" t="str">
        <f>tbl_profitability[[#This Row],[decision]]</f>
        <v>EXIT</v>
      </c>
      <c r="F48" s="2">
        <f>tbl_raw[[#This Row],[gross_revenue]]-tbl_raw[[#This Row],[return_loss]]-tbl_raw[[#This Row],[cogs]]*(1+scn_A_cogs_up)-(tbl_raw[[#This Row],[storage_cost]]+tbl_raw[[#This Row],[fulfillment_cost]]+tbl_raw[[#This Row],[freight_cost]])</f>
        <v>-244.44600000000173</v>
      </c>
      <c r="G48" s="42">
        <f>tbl_scenarios[[#This Row],[net_profit_A]]/tbl_raw[[#This Row],[gross_revenue]]</f>
        <v>-1.6867488169449215E-2</v>
      </c>
      <c r="H48" s="43">
        <f>tbl_scenarios[[#This Row],[net_margin_A]]-tbl_scenarios[[#This Row],[net_margin_pct]]</f>
        <v>-4.4999979299123569E-2</v>
      </c>
      <c r="I48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48" s="2">
        <f>tbl_raw[[#This Row],[gross_revenue]]-tbl_raw[[#This Row],[return_loss]]*(1+scn_B_returns_up/0.05)-tbl_raw[[#This Row],[cogs]]-(tbl_raw[[#This Row],[storage_cost]]+tbl_raw[[#This Row],[fulfillment_cost]]+tbl_raw[[#This Row],[freight_cost]])</f>
        <v>356.93999999999869</v>
      </c>
      <c r="K48" s="42">
        <f>tbl_scenarios[[#This Row],[net_profit_B]]/tbl_raw[[#This Row],[gross_revenue]]</f>
        <v>2.4629902830085735E-2</v>
      </c>
      <c r="L48" s="43">
        <f>tbl_scenarios[[#This Row],[net_margin_B]]-tbl_scenarios[[#This Row],[net_margin_pct]]</f>
        <v>-3.5025882995886222E-3</v>
      </c>
      <c r="M48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48" s="2">
        <f>tbl_raw[[#This Row],[gross_revenue]]*(1-scn_C_price_down)-tbl_raw[[#This Row],[return_loss]]-tbl_raw[[#This Row],[cogs]]-(tbl_raw[[#This Row],[storage_cost]]+tbl_raw[[#This Row],[fulfillment_cost]]+tbl_raw[[#This Row],[freight_cost]])</f>
        <v>-316.90700000000106</v>
      </c>
      <c r="O48" s="42">
        <f>tbl_scenarios[[#This Row],[net_profit_C]]/(tbl_raw[[#This Row],[gross_revenue]]*(1-scn_C_price_down))</f>
        <v>-2.3018430389816467E-2</v>
      </c>
      <c r="P48" s="43">
        <f>tbl_scenarios[[#This Row],[net_margin_C]]-tbl_scenarios[[#This Row],[net_margin_pct]]</f>
        <v>-5.1150921519490827E-2</v>
      </c>
      <c r="Q48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4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49" spans="1:18" x14ac:dyDescent="0.35">
      <c r="A49" s="17" t="str">
        <f>tbl_raw[[#This Row],[product_id]]</f>
        <v>35afc973633aaeb6b877ff57b2793310</v>
      </c>
      <c r="B49" t="str">
        <f>tbl_raw[[#This Row],[category]]</f>
        <v>home_confort</v>
      </c>
      <c r="C49" s="2">
        <f>tbl_profitability[[#This Row],[net_profit]]</f>
        <v>3900.24</v>
      </c>
      <c r="D49" s="42">
        <f>tbl_profitability[[#This Row],[net_margin_pct]]</f>
        <v>0.26926265922626957</v>
      </c>
      <c r="E49" s="49" t="str">
        <f>tbl_profitability[[#This Row],[decision]]</f>
        <v>OPTIMIZE</v>
      </c>
      <c r="F49" s="2">
        <f>tbl_raw[[#This Row],[gross_revenue]]-tbl_raw[[#This Row],[return_loss]]-tbl_raw[[#This Row],[cogs]]*(1+scn_A_cogs_up)-(tbl_raw[[#This Row],[storage_cost]]+tbl_raw[[#This Row],[fulfillment_cost]]+tbl_raw[[#This Row],[freight_cost]])</f>
        <v>3248.4199999999992</v>
      </c>
      <c r="G49" s="42">
        <f>tbl_scenarios[[#This Row],[net_profit_A]]/tbl_raw[[#This Row],[gross_revenue]]</f>
        <v>0.22426266267814249</v>
      </c>
      <c r="H49" s="43">
        <f>tbl_scenarios[[#This Row],[net_margin_A]]-tbl_scenarios[[#This Row],[net_margin_pct]]</f>
        <v>-4.4999996548127086E-2</v>
      </c>
      <c r="I49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49" s="2">
        <f>tbl_raw[[#This Row],[gross_revenue]]-tbl_raw[[#This Row],[return_loss]]*(1+scn_B_returns_up/0.05)-tbl_raw[[#This Row],[cogs]]-(tbl_raw[[#This Row],[storage_cost]]+tbl_raw[[#This Row],[fulfillment_cost]]+tbl_raw[[#This Row],[freight_cost]])</f>
        <v>3840.84</v>
      </c>
      <c r="K49" s="42">
        <f>tbl_scenarios[[#This Row],[net_profit_B]]/tbl_raw[[#This Row],[gross_revenue]]</f>
        <v>0.26516183415959665</v>
      </c>
      <c r="L49" s="43">
        <f>tbl_scenarios[[#This Row],[net_margin_B]]-tbl_scenarios[[#This Row],[net_margin_pct]]</f>
        <v>-4.1008250666729196E-3</v>
      </c>
      <c r="M49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49" s="2">
        <f>tbl_raw[[#This Row],[gross_revenue]]*(1-scn_C_price_down)-tbl_raw[[#This Row],[return_loss]]-tbl_raw[[#This Row],[cogs]]-(tbl_raw[[#This Row],[storage_cost]]+tbl_raw[[#This Row],[fulfillment_cost]]+tbl_raw[[#This Row],[freight_cost]])</f>
        <v>3175.9954999999991</v>
      </c>
      <c r="O49" s="42">
        <f>tbl_scenarios[[#This Row],[net_profit_C]]/(tbl_raw[[#This Row],[gross_revenue]]*(1-scn_C_price_down))</f>
        <v>0.23080279918554689</v>
      </c>
      <c r="P49" s="43">
        <f>tbl_scenarios[[#This Row],[net_margin_C]]-tbl_scenarios[[#This Row],[net_margin_pct]]</f>
        <v>-3.8459860040722688E-2</v>
      </c>
      <c r="Q49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4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50" spans="1:18" x14ac:dyDescent="0.35">
      <c r="A50" s="17" t="str">
        <f>tbl_raw[[#This Row],[product_id]]</f>
        <v>af51d485dc5255ba2e18b21b550156e6</v>
      </c>
      <c r="B50" t="str">
        <f>tbl_raw[[#This Row],[category]]</f>
        <v>luggage_accessories</v>
      </c>
      <c r="C50" s="2">
        <f>tbl_profitability[[#This Row],[net_profit]]</f>
        <v>4321.9000000000005</v>
      </c>
      <c r="D50" s="42">
        <f>tbl_profitability[[#This Row],[net_margin_pct]]</f>
        <v>0.29840554403654973</v>
      </c>
      <c r="E50" s="49" t="str">
        <f>tbl_profitability[[#This Row],[decision]]</f>
        <v>SCALE</v>
      </c>
      <c r="F50" s="2">
        <f>tbl_raw[[#This Row],[gross_revenue]]-tbl_raw[[#This Row],[return_loss]]-tbl_raw[[#This Row],[cogs]]*(1+scn_A_cogs_up)-(tbl_raw[[#This Row],[storage_cost]]+tbl_raw[[#This Row],[fulfillment_cost]]+tbl_raw[[#This Row],[freight_cost]])</f>
        <v>3713.6009999999997</v>
      </c>
      <c r="G50" s="42">
        <f>tbl_scenarios[[#This Row],[net_profit_A]]/tbl_raw[[#This Row],[gross_revenue]]</f>
        <v>0.25640554541744948</v>
      </c>
      <c r="H50" s="43">
        <f>tbl_scenarios[[#This Row],[net_margin_A]]-tbl_scenarios[[#This Row],[net_margin_pct]]</f>
        <v>-4.1999998619100254E-2</v>
      </c>
      <c r="I5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50" s="2">
        <f>tbl_raw[[#This Row],[gross_revenue]]-tbl_raw[[#This Row],[return_loss]]*(1+scn_B_returns_up/0.05)-tbl_raw[[#This Row],[cogs]]-(tbl_raw[[#This Row],[storage_cost]]+tbl_raw[[#This Row],[fulfillment_cost]]+tbl_raw[[#This Row],[freight_cost]])</f>
        <v>4302.0999999999995</v>
      </c>
      <c r="K50" s="42">
        <f>tbl_scenarios[[#This Row],[net_profit_B]]/tbl_raw[[#This Row],[gross_revenue]]</f>
        <v>0.2970384532265069</v>
      </c>
      <c r="L50" s="43">
        <f>tbl_scenarios[[#This Row],[net_margin_B]]-tbl_scenarios[[#This Row],[net_margin_pct]]</f>
        <v>-1.3670908100428258E-3</v>
      </c>
      <c r="M5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50" s="2">
        <f>tbl_raw[[#This Row],[gross_revenue]]*(1-scn_C_price_down)-tbl_raw[[#This Row],[return_loss]]-tbl_raw[[#This Row],[cogs]]-(tbl_raw[[#This Row],[storage_cost]]+tbl_raw[[#This Row],[fulfillment_cost]]+tbl_raw[[#This Row],[freight_cost]])</f>
        <v>3597.7344999999996</v>
      </c>
      <c r="O50" s="42">
        <f>tbl_scenarios[[#This Row],[net_profit_C]]/(tbl_raw[[#This Row],[gross_revenue]]*(1-scn_C_price_down))</f>
        <v>0.2614795200384733</v>
      </c>
      <c r="P50" s="43">
        <f>tbl_scenarios[[#This Row],[net_margin_C]]-tbl_scenarios[[#This Row],[net_margin_pct]]</f>
        <v>-3.6926023998076429E-2</v>
      </c>
      <c r="Q5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5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51" spans="1:18" x14ac:dyDescent="0.35">
      <c r="A51" s="17" t="str">
        <f>tbl_raw[[#This Row],[product_id]]</f>
        <v>7c1bd920dbdf22470b68bde975dd3ccf</v>
      </c>
      <c r="B51" t="str">
        <f>tbl_raw[[#This Row],[category]]</f>
        <v>health_beauty</v>
      </c>
      <c r="C51" s="2">
        <f>tbl_profitability[[#This Row],[net_profit]]</f>
        <v>3085.7300000000005</v>
      </c>
      <c r="D51" s="42">
        <f>tbl_profitability[[#This Row],[net_margin_pct]]</f>
        <v>0.2225282313226877</v>
      </c>
      <c r="E51" s="49" t="str">
        <f>tbl_profitability[[#This Row],[decision]]</f>
        <v>OPTIMIZE</v>
      </c>
      <c r="F51" s="2">
        <f>tbl_raw[[#This Row],[gross_revenue]]-tbl_raw[[#This Row],[return_loss]]-tbl_raw[[#This Row],[cogs]]*(1+scn_A_cogs_up)-(tbl_raw[[#This Row],[storage_cost]]+tbl_raw[[#This Row],[fulfillment_cost]]+tbl_raw[[#This Row],[freight_cost]])</f>
        <v>2503.3289999999997</v>
      </c>
      <c r="G51" s="42">
        <f>tbl_scenarios[[#This Row],[net_profit_A]]/tbl_raw[[#This Row],[gross_revenue]]</f>
        <v>0.18052822988038239</v>
      </c>
      <c r="H51" s="43">
        <f>tbl_scenarios[[#This Row],[net_margin_A]]-tbl_scenarios[[#This Row],[net_margin_pct]]</f>
        <v>-4.2000001442305313E-2</v>
      </c>
      <c r="I5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51" s="2">
        <f>tbl_raw[[#This Row],[gross_revenue]]-tbl_raw[[#This Row],[return_loss]]*(1+scn_B_returns_up/0.05)-tbl_raw[[#This Row],[cogs]]-(tbl_raw[[#This Row],[storage_cost]]+tbl_raw[[#This Row],[fulfillment_cost]]+tbl_raw[[#This Row],[freight_cost]])</f>
        <v>3002.5700000000006</v>
      </c>
      <c r="K51" s="42">
        <f>tbl_scenarios[[#This Row],[net_profit_B]]/tbl_raw[[#This Row],[gross_revenue]]</f>
        <v>0.21653112602935529</v>
      </c>
      <c r="L51" s="43">
        <f>tbl_scenarios[[#This Row],[net_margin_B]]-tbl_scenarios[[#This Row],[net_margin_pct]]</f>
        <v>-5.9971052933324165E-3</v>
      </c>
      <c r="M5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51" s="2">
        <f>tbl_raw[[#This Row],[gross_revenue]]*(1-scn_C_price_down)-tbl_raw[[#This Row],[return_loss]]-tbl_raw[[#This Row],[cogs]]-(tbl_raw[[#This Row],[storage_cost]]+tbl_raw[[#This Row],[fulfillment_cost]]+tbl_raw[[#This Row],[freight_cost]])</f>
        <v>2392.3954999999996</v>
      </c>
      <c r="O51" s="42">
        <f>tbl_scenarios[[#This Row],[net_profit_C]]/(tbl_raw[[#This Row],[gross_revenue]]*(1-scn_C_price_down))</f>
        <v>0.18160866455019753</v>
      </c>
      <c r="P51" s="43">
        <f>tbl_scenarios[[#This Row],[net_margin_C]]-tbl_scenarios[[#This Row],[net_margin_pct]]</f>
        <v>-4.0919566772490173E-2</v>
      </c>
      <c r="Q5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5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52" spans="1:18" x14ac:dyDescent="0.35">
      <c r="A52" s="17" t="str">
        <f>tbl_raw[[#This Row],[product_id]]</f>
        <v>8c292ca193d326152e335d77176746f0</v>
      </c>
      <c r="B52" t="str">
        <f>tbl_raw[[#This Row],[category]]</f>
        <v>health_beauty</v>
      </c>
      <c r="C52" s="2">
        <f>tbl_profitability[[#This Row],[net_profit]]</f>
        <v>6036</v>
      </c>
      <c r="D52" s="42">
        <f>tbl_profitability[[#This Row],[net_margin_pct]]</f>
        <v>0.43615868198569263</v>
      </c>
      <c r="E52" s="49" t="str">
        <f>tbl_profitability[[#This Row],[decision]]</f>
        <v>SCALE</v>
      </c>
      <c r="F52" s="2">
        <f>tbl_raw[[#This Row],[gross_revenue]]-tbl_raw[[#This Row],[return_loss]]-tbl_raw[[#This Row],[cogs]]*(1+scn_A_cogs_up)-(tbl_raw[[#This Row],[storage_cost]]+tbl_raw[[#This Row],[fulfillment_cost]]+tbl_raw[[#This Row],[freight_cost]])</f>
        <v>5454.7619999999997</v>
      </c>
      <c r="G52" s="42">
        <f>tbl_scenarios[[#This Row],[net_profit_A]]/tbl_raw[[#This Row],[gross_revenue]]</f>
        <v>0.39415868198569259</v>
      </c>
      <c r="H52" s="43">
        <f>tbl_scenarios[[#This Row],[net_margin_A]]-tbl_scenarios[[#This Row],[net_margin_pct]]</f>
        <v>-4.2000000000000037E-2</v>
      </c>
      <c r="I5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52" s="2">
        <f>tbl_raw[[#This Row],[gross_revenue]]-tbl_raw[[#This Row],[return_loss]]*(1+scn_B_returns_up/0.05)-tbl_raw[[#This Row],[cogs]]-(tbl_raw[[#This Row],[storage_cost]]+tbl_raw[[#This Row],[fulfillment_cost]]+tbl_raw[[#This Row],[freight_cost]])</f>
        <v>6003.6</v>
      </c>
      <c r="K52" s="42">
        <f>tbl_scenarios[[#This Row],[net_profit_B]]/tbl_raw[[#This Row],[gross_revenue]]</f>
        <v>0.43381747236071971</v>
      </c>
      <c r="L52" s="43">
        <f>tbl_scenarios[[#This Row],[net_margin_B]]-tbl_scenarios[[#This Row],[net_margin_pct]]</f>
        <v>-2.3412096249729175E-3</v>
      </c>
      <c r="M5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52" s="2">
        <f>tbl_raw[[#This Row],[gross_revenue]]*(1-scn_C_price_down)-tbl_raw[[#This Row],[return_loss]]-tbl_raw[[#This Row],[cogs]]-(tbl_raw[[#This Row],[storage_cost]]+tbl_raw[[#This Row],[fulfillment_cost]]+tbl_raw[[#This Row],[freight_cost]])</f>
        <v>5344.0499999999993</v>
      </c>
      <c r="O52" s="42">
        <f>tbl_scenarios[[#This Row],[net_profit_C]]/(tbl_raw[[#This Row],[gross_revenue]]*(1-scn_C_price_down))</f>
        <v>0.40648282314283429</v>
      </c>
      <c r="P52" s="43">
        <f>tbl_scenarios[[#This Row],[net_margin_C]]-tbl_scenarios[[#This Row],[net_margin_pct]]</f>
        <v>-2.9675858842858338E-2</v>
      </c>
      <c r="Q5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5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53" spans="1:18" x14ac:dyDescent="0.35">
      <c r="A53" s="17" t="str">
        <f>tbl_raw[[#This Row],[product_id]]</f>
        <v>4aa6014eceb682077f9dc4bffebc05b0</v>
      </c>
      <c r="B53" t="str">
        <f>tbl_raw[[#This Row],[category]]</f>
        <v>housewares</v>
      </c>
      <c r="C53" s="2">
        <f>tbl_profitability[[#This Row],[net_profit]]</f>
        <v>5176.5199999999995</v>
      </c>
      <c r="D53" s="42">
        <f>tbl_profitability[[#This Row],[net_margin_pct]]</f>
        <v>0.37824270717412539</v>
      </c>
      <c r="E53" s="49" t="str">
        <f>tbl_profitability[[#This Row],[decision]]</f>
        <v>SCALE</v>
      </c>
      <c r="F53" s="2">
        <f>tbl_raw[[#This Row],[gross_revenue]]-tbl_raw[[#This Row],[return_loss]]-tbl_raw[[#This Row],[cogs]]*(1+scn_A_cogs_up)-(tbl_raw[[#This Row],[storage_cost]]+tbl_raw[[#This Row],[fulfillment_cost]]+tbl_raw[[#This Row],[freight_cost]])</f>
        <v>4560.6629999999986</v>
      </c>
      <c r="G53" s="42">
        <f>tbl_scenarios[[#This Row],[net_profit_A]]/tbl_raw[[#This Row],[gross_revenue]]</f>
        <v>0.33324270352067953</v>
      </c>
      <c r="H53" s="43">
        <f>tbl_scenarios[[#This Row],[net_margin_A]]-tbl_scenarios[[#This Row],[net_margin_pct]]</f>
        <v>-4.5000003653445864E-2</v>
      </c>
      <c r="I5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53" s="2">
        <f>tbl_raw[[#This Row],[gross_revenue]]-tbl_raw[[#This Row],[return_loss]]*(1+scn_B_returns_up/0.05)-tbl_raw[[#This Row],[cogs]]-(tbl_raw[[#This Row],[storage_cost]]+tbl_raw[[#This Row],[fulfillment_cost]]+tbl_raw[[#This Row],[freight_cost]])</f>
        <v>5159.5999999999995</v>
      </c>
      <c r="K53" s="42">
        <f>tbl_scenarios[[#This Row],[net_profit_B]]/tbl_raw[[#This Row],[gross_revenue]]</f>
        <v>0.37700638110847007</v>
      </c>
      <c r="L53" s="43">
        <f>tbl_scenarios[[#This Row],[net_margin_B]]-tbl_scenarios[[#This Row],[net_margin_pct]]</f>
        <v>-1.2363260656553243E-3</v>
      </c>
      <c r="M5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53" s="2">
        <f>tbl_raw[[#This Row],[gross_revenue]]*(1-scn_C_price_down)-tbl_raw[[#This Row],[return_loss]]-tbl_raw[[#This Row],[cogs]]-(tbl_raw[[#This Row],[storage_cost]]+tbl_raw[[#This Row],[fulfillment_cost]]+tbl_raw[[#This Row],[freight_cost]])</f>
        <v>4492.2344999999996</v>
      </c>
      <c r="O53" s="42">
        <f>tbl_scenarios[[#This Row],[net_profit_C]]/(tbl_raw[[#This Row],[gross_revenue]]*(1-scn_C_price_down))</f>
        <v>0.34551863913065833</v>
      </c>
      <c r="P53" s="43">
        <f>tbl_scenarios[[#This Row],[net_margin_C]]-tbl_scenarios[[#This Row],[net_margin_pct]]</f>
        <v>-3.2724068043467058E-2</v>
      </c>
      <c r="Q5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5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54" spans="1:18" x14ac:dyDescent="0.35">
      <c r="A54" s="17" t="str">
        <f>tbl_raw[[#This Row],[product_id]]</f>
        <v>bee2e070c39f3dd2f6883a17a5f0da45</v>
      </c>
      <c r="B54" t="str">
        <f>tbl_raw[[#This Row],[category]]</f>
        <v>computers_accessories</v>
      </c>
      <c r="C54" s="2">
        <f>tbl_profitability[[#This Row],[net_profit]]</f>
        <v>3616.5899999999997</v>
      </c>
      <c r="D54" s="42">
        <f>tbl_profitability[[#This Row],[net_margin_pct]]</f>
        <v>0.26437061403508771</v>
      </c>
      <c r="E54" s="49" t="str">
        <f>tbl_profitability[[#This Row],[decision]]</f>
        <v>SCALE</v>
      </c>
      <c r="F54" s="2">
        <f>tbl_raw[[#This Row],[gross_revenue]]-tbl_raw[[#This Row],[return_loss]]-tbl_raw[[#This Row],[cogs]]*(1+scn_A_cogs_up)-(tbl_raw[[#This Row],[storage_cost]]+tbl_raw[[#This Row],[fulfillment_cost]]+tbl_raw[[#This Row],[freight_cost]])</f>
        <v>2836.8299999999995</v>
      </c>
      <c r="G54" s="42">
        <f>tbl_scenarios[[#This Row],[net_profit_A]]/tbl_raw[[#This Row],[gross_revenue]]</f>
        <v>0.20737061403508769</v>
      </c>
      <c r="H54" s="43">
        <f>tbl_scenarios[[#This Row],[net_margin_A]]-tbl_scenarios[[#This Row],[net_margin_pct]]</f>
        <v>-5.7000000000000023E-2</v>
      </c>
      <c r="I5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54" s="2">
        <f>tbl_raw[[#This Row],[gross_revenue]]-tbl_raw[[#This Row],[return_loss]]*(1+scn_B_returns_up/0.05)-tbl_raw[[#This Row],[cogs]]-(tbl_raw[[#This Row],[storage_cost]]+tbl_raw[[#This Row],[fulfillment_cost]]+tbl_raw[[#This Row],[freight_cost]])</f>
        <v>3544.5899999999997</v>
      </c>
      <c r="K54" s="42">
        <f>tbl_scenarios[[#This Row],[net_profit_B]]/tbl_raw[[#This Row],[gross_revenue]]</f>
        <v>0.25910745614035086</v>
      </c>
      <c r="L54" s="43">
        <f>tbl_scenarios[[#This Row],[net_margin_B]]-tbl_scenarios[[#This Row],[net_margin_pct]]</f>
        <v>-5.2631578947368585E-3</v>
      </c>
      <c r="M5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54" s="2">
        <f>tbl_raw[[#This Row],[gross_revenue]]*(1-scn_C_price_down)-tbl_raw[[#This Row],[return_loss]]-tbl_raw[[#This Row],[cogs]]-(tbl_raw[[#This Row],[storage_cost]]+tbl_raw[[#This Row],[fulfillment_cost]]+tbl_raw[[#This Row],[freight_cost]])</f>
        <v>2932.5899999999997</v>
      </c>
      <c r="O54" s="42">
        <f>tbl_scenarios[[#This Row],[net_profit_C]]/(tbl_raw[[#This Row],[gross_revenue]]*(1-scn_C_price_down))</f>
        <v>0.22565327793167125</v>
      </c>
      <c r="P54" s="43">
        <f>tbl_scenarios[[#This Row],[net_margin_C]]-tbl_scenarios[[#This Row],[net_margin_pct]]</f>
        <v>-3.8717336103416461E-2</v>
      </c>
      <c r="Q5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5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55" spans="1:18" x14ac:dyDescent="0.35">
      <c r="A55" s="17" t="str">
        <f>tbl_raw[[#This Row],[product_id]]</f>
        <v>a02d0123079f4ae96001ba2010d1a2df</v>
      </c>
      <c r="B55" t="str">
        <f>tbl_raw[[#This Row],[category]]</f>
        <v>construction_tools_lights</v>
      </c>
      <c r="C55" s="2">
        <f>tbl_profitability[[#This Row],[net_profit]]</f>
        <v>4260.34</v>
      </c>
      <c r="D55" s="42">
        <f>tbl_profitability[[#This Row],[net_margin_pct]]</f>
        <v>0.31441623616236164</v>
      </c>
      <c r="E55" s="49" t="str">
        <f>tbl_profitability[[#This Row],[decision]]</f>
        <v>SCALE</v>
      </c>
      <c r="F55" s="2">
        <f>tbl_raw[[#This Row],[gross_revenue]]-tbl_raw[[#This Row],[return_loss]]-tbl_raw[[#This Row],[cogs]]*(1+scn_A_cogs_up)-(tbl_raw[[#This Row],[storage_cost]]+tbl_raw[[#This Row],[fulfillment_cost]]+tbl_raw[[#This Row],[freight_cost]])</f>
        <v>3650.5899999999992</v>
      </c>
      <c r="G55" s="42">
        <f>tbl_scenarios[[#This Row],[net_profit_A]]/tbl_raw[[#This Row],[gross_revenue]]</f>
        <v>0.26941623616236154</v>
      </c>
      <c r="H55" s="43">
        <f>tbl_scenarios[[#This Row],[net_margin_A]]-tbl_scenarios[[#This Row],[net_margin_pct]]</f>
        <v>-4.5000000000000095E-2</v>
      </c>
      <c r="I5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55" s="2">
        <f>tbl_raw[[#This Row],[gross_revenue]]-tbl_raw[[#This Row],[return_loss]]*(1+scn_B_returns_up/0.05)-tbl_raw[[#This Row],[cogs]]-(tbl_raw[[#This Row],[storage_cost]]+tbl_raw[[#This Row],[fulfillment_cost]]+tbl_raw[[#This Row],[freight_cost]])</f>
        <v>4240.18</v>
      </c>
      <c r="K55" s="42">
        <f>tbl_scenarios[[#This Row],[net_profit_B]]/tbl_raw[[#This Row],[gross_revenue]]</f>
        <v>0.31292841328413284</v>
      </c>
      <c r="L55" s="43">
        <f>tbl_scenarios[[#This Row],[net_margin_B]]-tbl_scenarios[[#This Row],[net_margin_pct]]</f>
        <v>-1.487822878228795E-3</v>
      </c>
      <c r="M5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55" s="2">
        <f>tbl_raw[[#This Row],[gross_revenue]]*(1-scn_C_price_down)-tbl_raw[[#This Row],[return_loss]]-tbl_raw[[#This Row],[cogs]]-(tbl_raw[[#This Row],[storage_cost]]+tbl_raw[[#This Row],[fulfillment_cost]]+tbl_raw[[#This Row],[freight_cost]])</f>
        <v>3582.84</v>
      </c>
      <c r="O55" s="42">
        <f>tbl_scenarios[[#This Row],[net_profit_C]]/(tbl_raw[[#This Row],[gross_revenue]]*(1-scn_C_price_down))</f>
        <v>0.27833288017090696</v>
      </c>
      <c r="P55" s="43">
        <f>tbl_scenarios[[#This Row],[net_margin_C]]-tbl_scenarios[[#This Row],[net_margin_pct]]</f>
        <v>-3.608335599145468E-2</v>
      </c>
      <c r="Q5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5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56" spans="1:18" x14ac:dyDescent="0.35">
      <c r="A56" s="17" t="str">
        <f>tbl_raw[[#This Row],[product_id]]</f>
        <v>5769ef0a239114ac3a854af00df129e4</v>
      </c>
      <c r="B56" t="str">
        <f>tbl_raw[[#This Row],[category]]</f>
        <v>fixed_telephony</v>
      </c>
      <c r="C56" s="2">
        <f>tbl_profitability[[#This Row],[net_profit]]</f>
        <v>5535.9199999999992</v>
      </c>
      <c r="D56" s="42">
        <f>tbl_profitability[[#This Row],[net_margin_pct]]</f>
        <v>0.41189880952380947</v>
      </c>
      <c r="E56" s="49" t="str">
        <f>tbl_profitability[[#This Row],[decision]]</f>
        <v>EXIT</v>
      </c>
      <c r="F56" s="2">
        <f>tbl_raw[[#This Row],[gross_revenue]]-tbl_raw[[#This Row],[return_loss]]-tbl_raw[[#This Row],[cogs]]*(1+scn_A_cogs_up)-(tbl_raw[[#This Row],[storage_cost]]+tbl_raw[[#This Row],[fulfillment_cost]]+tbl_raw[[#This Row],[freight_cost]])</f>
        <v>4769.8399999999983</v>
      </c>
      <c r="G56" s="42">
        <f>tbl_scenarios[[#This Row],[net_profit_A]]/tbl_raw[[#This Row],[gross_revenue]]</f>
        <v>0.35489880952380942</v>
      </c>
      <c r="H56" s="43">
        <f>tbl_scenarios[[#This Row],[net_margin_A]]-tbl_scenarios[[#This Row],[net_margin_pct]]</f>
        <v>-5.7000000000000051E-2</v>
      </c>
      <c r="I56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56" s="2">
        <f>tbl_raw[[#This Row],[gross_revenue]]-tbl_raw[[#This Row],[return_loss]]*(1+scn_B_returns_up/0.05)-tbl_raw[[#This Row],[cogs]]-(tbl_raw[[#This Row],[storage_cost]]+tbl_raw[[#This Row],[fulfillment_cost]]+tbl_raw[[#This Row],[freight_cost]])</f>
        <v>5528.72</v>
      </c>
      <c r="K56" s="42">
        <f>tbl_scenarios[[#This Row],[net_profit_B]]/tbl_raw[[#This Row],[gross_revenue]]</f>
        <v>0.41136309523809528</v>
      </c>
      <c r="L56" s="43">
        <f>tbl_scenarios[[#This Row],[net_margin_B]]-tbl_scenarios[[#This Row],[net_margin_pct]]</f>
        <v>-5.3571428571419499E-4</v>
      </c>
      <c r="M56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56" s="2">
        <f>tbl_raw[[#This Row],[gross_revenue]]*(1-scn_C_price_down)-tbl_raw[[#This Row],[return_loss]]-tbl_raw[[#This Row],[cogs]]-(tbl_raw[[#This Row],[storage_cost]]+tbl_raw[[#This Row],[fulfillment_cost]]+tbl_raw[[#This Row],[freight_cost]])</f>
        <v>4863.9199999999992</v>
      </c>
      <c r="O56" s="42">
        <f>tbl_scenarios[[#This Row],[net_profit_C]]/(tbl_raw[[#This Row],[gross_revenue]]*(1-scn_C_price_down))</f>
        <v>0.38094611528822048</v>
      </c>
      <c r="P56" s="43">
        <f>tbl_scenarios[[#This Row],[net_margin_C]]-tbl_scenarios[[#This Row],[net_margin_pct]]</f>
        <v>-3.0952694235588996E-2</v>
      </c>
      <c r="Q56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5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57" spans="1:18" x14ac:dyDescent="0.35">
      <c r="A57" s="17" t="str">
        <f>tbl_raw[[#This Row],[product_id]]</f>
        <v>0433830caca22b01a0f477d31307b043</v>
      </c>
      <c r="B57" t="str">
        <f>tbl_raw[[#This Row],[category]]</f>
        <v>small_appliances_home_oven_and_coffee</v>
      </c>
      <c r="C57" s="2">
        <f>tbl_profitability[[#This Row],[net_profit]]</f>
        <v>5176.579999999999</v>
      </c>
      <c r="D57" s="42">
        <f>tbl_profitability[[#This Row],[net_margin_pct]]</f>
        <v>0.39237322822709003</v>
      </c>
      <c r="E57" s="49" t="str">
        <f>tbl_profitability[[#This Row],[decision]]</f>
        <v>SCALE</v>
      </c>
      <c r="F57" s="2">
        <f>tbl_raw[[#This Row],[gross_revenue]]-tbl_raw[[#This Row],[return_loss]]-tbl_raw[[#This Row],[cogs]]*(1+scn_A_cogs_up)-(tbl_raw[[#This Row],[storage_cost]]+tbl_raw[[#This Row],[fulfillment_cost]]+tbl_raw[[#This Row],[freight_cost]])</f>
        <v>4424.5789999999988</v>
      </c>
      <c r="G57" s="42">
        <f>tbl_scenarios[[#This Row],[net_profit_A]]/tbl_raw[[#This Row],[gross_revenue]]</f>
        <v>0.33537322822709004</v>
      </c>
      <c r="H57" s="43">
        <f>tbl_scenarios[[#This Row],[net_margin_A]]-tbl_scenarios[[#This Row],[net_margin_pct]]</f>
        <v>-5.6999999999999995E-2</v>
      </c>
      <c r="I5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57" s="2">
        <f>tbl_raw[[#This Row],[gross_revenue]]-tbl_raw[[#This Row],[return_loss]]*(1+scn_B_returns_up/0.05)-tbl_raw[[#This Row],[cogs]]-(tbl_raw[[#This Row],[storage_cost]]+tbl_raw[[#This Row],[fulfillment_cost]]+tbl_raw[[#This Row],[freight_cost]])</f>
        <v>5174.0599999999986</v>
      </c>
      <c r="K57" s="42">
        <f>tbl_scenarios[[#This Row],[net_profit_B]]/tbl_raw[[#This Row],[gross_revenue]]</f>
        <v>0.39218221784279533</v>
      </c>
      <c r="L57" s="43">
        <f>tbl_scenarios[[#This Row],[net_margin_B]]-tbl_scenarios[[#This Row],[net_margin_pct]]</f>
        <v>-1.9101038429469863E-4</v>
      </c>
      <c r="M5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57" s="2">
        <f>tbl_raw[[#This Row],[gross_revenue]]*(1-scn_C_price_down)-tbl_raw[[#This Row],[return_loss]]-tbl_raw[[#This Row],[cogs]]-(tbl_raw[[#This Row],[storage_cost]]+tbl_raw[[#This Row],[fulfillment_cost]]+tbl_raw[[#This Row],[freight_cost]])</f>
        <v>4516.9299999999976</v>
      </c>
      <c r="O57" s="42">
        <f>tbl_scenarios[[#This Row],[net_profit_C]]/(tbl_raw[[#This Row],[gross_revenue]]*(1-scn_C_price_down))</f>
        <v>0.36039287181798946</v>
      </c>
      <c r="P57" s="43">
        <f>tbl_scenarios[[#This Row],[net_margin_C]]-tbl_scenarios[[#This Row],[net_margin_pct]]</f>
        <v>-3.1980356409100574E-2</v>
      </c>
      <c r="Q5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5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58" spans="1:18" x14ac:dyDescent="0.35">
      <c r="A58" s="17" t="str">
        <f>tbl_raw[[#This Row],[product_id]]</f>
        <v>f4f67ccaece962d013a4e1d7dc3a61f7</v>
      </c>
      <c r="B58" t="str">
        <f>tbl_raw[[#This Row],[category]]</f>
        <v>auto</v>
      </c>
      <c r="C58" s="2">
        <f>tbl_profitability[[#This Row],[net_profit]]</f>
        <v>5109.3999999999996</v>
      </c>
      <c r="D58" s="42">
        <f>tbl_profitability[[#This Row],[net_margin_pct]]</f>
        <v>0.38884914534467802</v>
      </c>
      <c r="E58" s="49" t="str">
        <f>tbl_profitability[[#This Row],[decision]]</f>
        <v>SCALE</v>
      </c>
      <c r="F58" s="2">
        <f>tbl_raw[[#This Row],[gross_revenue]]-tbl_raw[[#This Row],[return_loss]]-tbl_raw[[#This Row],[cogs]]*(1+scn_A_cogs_up)-(tbl_raw[[#This Row],[storage_cost]]+tbl_raw[[#This Row],[fulfillment_cost]]+tbl_raw[[#This Row],[freight_cost]])</f>
        <v>4518.1089999999995</v>
      </c>
      <c r="G58" s="42">
        <f>tbl_scenarios[[#This Row],[net_profit_A]]/tbl_raw[[#This Row],[gross_revenue]]</f>
        <v>0.34384914534467798</v>
      </c>
      <c r="H58" s="43">
        <f>tbl_scenarios[[#This Row],[net_margin_A]]-tbl_scenarios[[#This Row],[net_margin_pct]]</f>
        <v>-4.500000000000004E-2</v>
      </c>
      <c r="I5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58" s="2">
        <f>tbl_raw[[#This Row],[gross_revenue]]-tbl_raw[[#This Row],[return_loss]]*(1+scn_B_returns_up/0.05)-tbl_raw[[#This Row],[cogs]]-(tbl_raw[[#This Row],[storage_cost]]+tbl_raw[[#This Row],[fulfillment_cost]]+tbl_raw[[#This Row],[freight_cost]])</f>
        <v>5089.24</v>
      </c>
      <c r="K58" s="42">
        <f>tbl_scenarios[[#This Row],[net_profit_B]]/tbl_raw[[#This Row],[gross_revenue]]</f>
        <v>0.38731487541667303</v>
      </c>
      <c r="L58" s="43">
        <f>tbl_scenarios[[#This Row],[net_margin_B]]-tbl_scenarios[[#This Row],[net_margin_pct]]</f>
        <v>-1.5342699280049832E-3</v>
      </c>
      <c r="M5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58" s="2">
        <f>tbl_raw[[#This Row],[gross_revenue]]*(1-scn_C_price_down)-tbl_raw[[#This Row],[return_loss]]-tbl_raw[[#This Row],[cogs]]-(tbl_raw[[#This Row],[storage_cost]]+tbl_raw[[#This Row],[fulfillment_cost]]+tbl_raw[[#This Row],[freight_cost]])</f>
        <v>4452.41</v>
      </c>
      <c r="O58" s="42">
        <f>tbl_scenarios[[#This Row],[net_profit_C]]/(tbl_raw[[#This Row],[gross_revenue]]*(1-scn_C_price_down))</f>
        <v>0.35668331088913474</v>
      </c>
      <c r="P58" s="43">
        <f>tbl_scenarios[[#This Row],[net_margin_C]]-tbl_scenarios[[#This Row],[net_margin_pct]]</f>
        <v>-3.2165834455543274E-2</v>
      </c>
      <c r="Q5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5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59" spans="1:18" x14ac:dyDescent="0.35">
      <c r="A59" s="17" t="str">
        <f>tbl_raw[[#This Row],[product_id]]</f>
        <v>13db47eae724e2848e12b71a617a3a41</v>
      </c>
      <c r="B59" t="str">
        <f>tbl_raw[[#This Row],[category]]</f>
        <v>audio</v>
      </c>
      <c r="C59" s="2">
        <f>tbl_profitability[[#This Row],[net_profit]]</f>
        <v>4835.7</v>
      </c>
      <c r="D59" s="42">
        <f>tbl_profitability[[#This Row],[net_margin_pct]]</f>
        <v>0.37218735207982973</v>
      </c>
      <c r="E59" s="49" t="str">
        <f>tbl_profitability[[#This Row],[decision]]</f>
        <v>OPTIMIZE</v>
      </c>
      <c r="F59" s="2">
        <f>tbl_raw[[#This Row],[gross_revenue]]-tbl_raw[[#This Row],[return_loss]]-tbl_raw[[#This Row],[cogs]]*(1+scn_A_cogs_up)-(tbl_raw[[#This Row],[storage_cost]]+tbl_raw[[#This Row],[fulfillment_cost]]+tbl_raw[[#This Row],[freight_cost]])</f>
        <v>4095.1189999999988</v>
      </c>
      <c r="G59" s="42">
        <f>tbl_scenarios[[#This Row],[net_profit_A]]/tbl_raw[[#This Row],[gross_revenue]]</f>
        <v>0.31518735592815927</v>
      </c>
      <c r="H59" s="43">
        <f>tbl_scenarios[[#This Row],[net_margin_A]]-tbl_scenarios[[#This Row],[net_margin_pct]]</f>
        <v>-5.6999996151670451E-2</v>
      </c>
      <c r="I59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59" s="2">
        <f>tbl_raw[[#This Row],[gross_revenue]]-tbl_raw[[#This Row],[return_loss]]*(1+scn_B_returns_up/0.05)-tbl_raw[[#This Row],[cogs]]-(tbl_raw[[#This Row],[storage_cost]]+tbl_raw[[#This Row],[fulfillment_cost]]+tbl_raw[[#This Row],[freight_cost]])</f>
        <v>4812.3</v>
      </c>
      <c r="K59" s="42">
        <f>tbl_scenarios[[#This Row],[net_profit_B]]/tbl_raw[[#This Row],[gross_revenue]]</f>
        <v>0.37038633381180902</v>
      </c>
      <c r="L59" s="43">
        <f>tbl_scenarios[[#This Row],[net_margin_B]]-tbl_scenarios[[#This Row],[net_margin_pct]]</f>
        <v>-1.8010182680207043E-3</v>
      </c>
      <c r="M59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59" s="2">
        <f>tbl_raw[[#This Row],[gross_revenue]]*(1-scn_C_price_down)-tbl_raw[[#This Row],[return_loss]]-tbl_raw[[#This Row],[cogs]]-(tbl_raw[[#This Row],[storage_cost]]+tbl_raw[[#This Row],[fulfillment_cost]]+tbl_raw[[#This Row],[freight_cost]])</f>
        <v>4186.0675000000001</v>
      </c>
      <c r="O59" s="42">
        <f>tbl_scenarios[[#This Row],[net_profit_C]]/(tbl_raw[[#This Row],[gross_revenue]]*(1-scn_C_price_down))</f>
        <v>0.3391445811366629</v>
      </c>
      <c r="P59" s="43">
        <f>tbl_scenarios[[#This Row],[net_margin_C]]-tbl_scenarios[[#This Row],[net_margin_pct]]</f>
        <v>-3.3042770943166822E-2</v>
      </c>
      <c r="Q59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5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60" spans="1:18" x14ac:dyDescent="0.35">
      <c r="A60" s="17" t="str">
        <f>tbl_raw[[#This Row],[product_id]]</f>
        <v>8ed094bfe076c568f6bb10feada3f75d</v>
      </c>
      <c r="B60" t="str">
        <f>tbl_raw[[#This Row],[category]]</f>
        <v>office_furniture</v>
      </c>
      <c r="C60" s="2">
        <f>tbl_profitability[[#This Row],[net_profit]]</f>
        <v>2230.8499999999995</v>
      </c>
      <c r="D60" s="42">
        <f>tbl_profitability[[#This Row],[net_margin_pct]]</f>
        <v>0.17230512802490749</v>
      </c>
      <c r="E60" s="49" t="str">
        <f>tbl_profitability[[#This Row],[decision]]</f>
        <v>OPTIMIZE</v>
      </c>
      <c r="F60" s="2">
        <f>tbl_raw[[#This Row],[gross_revenue]]-tbl_raw[[#This Row],[return_loss]]-tbl_raw[[#This Row],[cogs]]*(1+scn_A_cogs_up)-(tbl_raw[[#This Row],[storage_cost]]+tbl_raw[[#This Row],[fulfillment_cost]]+tbl_raw[[#This Row],[freight_cost]])</f>
        <v>1648.2309999999989</v>
      </c>
      <c r="G60" s="42">
        <f>tbl_scenarios[[#This Row],[net_profit_A]]/tbl_raw[[#This Row],[gross_revenue]]</f>
        <v>0.12730513188677911</v>
      </c>
      <c r="H60" s="43">
        <f>tbl_scenarios[[#This Row],[net_margin_A]]-tbl_scenarios[[#This Row],[net_margin_pct]]</f>
        <v>-4.4999996138128384E-2</v>
      </c>
      <c r="I6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60" s="2">
        <f>tbl_raw[[#This Row],[gross_revenue]]-tbl_raw[[#This Row],[return_loss]]*(1+scn_B_returns_up/0.05)-tbl_raw[[#This Row],[cogs]]-(tbl_raw[[#This Row],[storage_cost]]+tbl_raw[[#This Row],[fulfillment_cost]]+tbl_raw[[#This Row],[freight_cost]])</f>
        <v>2205.6500000000005</v>
      </c>
      <c r="K60" s="42">
        <f>tbl_scenarios[[#This Row],[net_profit_B]]/tbl_raw[[#This Row],[gross_revenue]]</f>
        <v>0.17035874470633947</v>
      </c>
      <c r="L60" s="43">
        <f>tbl_scenarios[[#This Row],[net_margin_B]]-tbl_scenarios[[#This Row],[net_margin_pct]]</f>
        <v>-1.946383318568029E-3</v>
      </c>
      <c r="M60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60" s="2">
        <f>tbl_raw[[#This Row],[gross_revenue]]*(1-scn_C_price_down)-tbl_raw[[#This Row],[return_loss]]-tbl_raw[[#This Row],[cogs]]-(tbl_raw[[#This Row],[storage_cost]]+tbl_raw[[#This Row],[fulfillment_cost]]+tbl_raw[[#This Row],[freight_cost]])</f>
        <v>1583.4954999999982</v>
      </c>
      <c r="O60" s="42">
        <f>tbl_scenarios[[#This Row],[net_profit_C]]/(tbl_raw[[#This Row],[gross_revenue]]*(1-scn_C_price_down))</f>
        <v>0.12874224002621831</v>
      </c>
      <c r="P60" s="43">
        <f>tbl_scenarios[[#This Row],[net_margin_C]]-tbl_scenarios[[#This Row],[net_margin_pct]]</f>
        <v>-4.3562887998689181E-2</v>
      </c>
      <c r="Q60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6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61" spans="1:18" x14ac:dyDescent="0.35">
      <c r="A61" s="17" t="str">
        <f>tbl_raw[[#This Row],[product_id]]</f>
        <v>ee406bf28024d97771c4b1e8b7e8e219</v>
      </c>
      <c r="B61" t="str">
        <f>tbl_raw[[#This Row],[category]]</f>
        <v>cool_stuff</v>
      </c>
      <c r="C61" s="2">
        <f>tbl_profitability[[#This Row],[net_profit]]</f>
        <v>5097.68</v>
      </c>
      <c r="D61" s="42">
        <f>tbl_profitability[[#This Row],[net_margin_pct]]</f>
        <v>0.3947375349424273</v>
      </c>
      <c r="E61" s="49" t="str">
        <f>tbl_profitability[[#This Row],[decision]]</f>
        <v>SCALE</v>
      </c>
      <c r="F61" s="2">
        <f>tbl_raw[[#This Row],[gross_revenue]]-tbl_raw[[#This Row],[return_loss]]-tbl_raw[[#This Row],[cogs]]*(1+scn_A_cogs_up)-(tbl_raw[[#This Row],[storage_cost]]+tbl_raw[[#This Row],[fulfillment_cost]]+tbl_raw[[#This Row],[freight_cost]])</f>
        <v>4516.5459999999994</v>
      </c>
      <c r="G61" s="42">
        <f>tbl_scenarios[[#This Row],[net_profit_A]]/tbl_raw[[#This Row],[gross_revenue]]</f>
        <v>0.34973757365979813</v>
      </c>
      <c r="H61" s="43">
        <f>tbl_scenarios[[#This Row],[net_margin_A]]-tbl_scenarios[[#This Row],[net_margin_pct]]</f>
        <v>-4.4999961282629175E-2</v>
      </c>
      <c r="I6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61" s="2">
        <f>tbl_raw[[#This Row],[gross_revenue]]-tbl_raw[[#This Row],[return_loss]]*(1+scn_B_returns_up/0.05)-tbl_raw[[#This Row],[cogs]]-(tbl_raw[[#This Row],[storage_cost]]+tbl_raw[[#This Row],[fulfillment_cost]]+tbl_raw[[#This Row],[freight_cost]])</f>
        <v>5065.2800000000007</v>
      </c>
      <c r="K61" s="42">
        <f>tbl_scenarios[[#This Row],[net_profit_B]]/tbl_raw[[#This Row],[gross_revenue]]</f>
        <v>0.39222864930579759</v>
      </c>
      <c r="L61" s="43">
        <f>tbl_scenarios[[#This Row],[net_margin_B]]-tbl_scenarios[[#This Row],[net_margin_pct]]</f>
        <v>-2.5088856366297096E-3</v>
      </c>
      <c r="M6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61" s="2">
        <f>tbl_raw[[#This Row],[gross_revenue]]*(1-scn_C_price_down)-tbl_raw[[#This Row],[return_loss]]-tbl_raw[[#This Row],[cogs]]-(tbl_raw[[#This Row],[storage_cost]]+tbl_raw[[#This Row],[fulfillment_cost]]+tbl_raw[[#This Row],[freight_cost]])</f>
        <v>4451.9750000000004</v>
      </c>
      <c r="O61" s="42">
        <f>tbl_scenarios[[#This Row],[net_profit_C]]/(tbl_raw[[#This Row],[gross_revenue]]*(1-scn_C_price_down))</f>
        <v>0.36288161572887084</v>
      </c>
      <c r="P61" s="43">
        <f>tbl_scenarios[[#This Row],[net_margin_C]]-tbl_scenarios[[#This Row],[net_margin_pct]]</f>
        <v>-3.1855919213556461E-2</v>
      </c>
      <c r="Q6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6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62" spans="1:18" x14ac:dyDescent="0.35">
      <c r="A62" s="17" t="str">
        <f>tbl_raw[[#This Row],[product_id]]</f>
        <v>4fcb3d9a5f4871e8362dfedbdb02b064</v>
      </c>
      <c r="B62" t="str">
        <f>tbl_raw[[#This Row],[category]]</f>
        <v>auto</v>
      </c>
      <c r="C62" s="2">
        <f>tbl_profitability[[#This Row],[net_profit]]</f>
        <v>4349.7799999999979</v>
      </c>
      <c r="D62" s="42">
        <f>tbl_profitability[[#This Row],[net_margin_pct]]</f>
        <v>0.33931493919324751</v>
      </c>
      <c r="E62" s="49" t="str">
        <f>tbl_profitability[[#This Row],[decision]]</f>
        <v>SCALE</v>
      </c>
      <c r="F62" s="2">
        <f>tbl_raw[[#This Row],[gross_revenue]]-tbl_raw[[#This Row],[return_loss]]-tbl_raw[[#This Row],[cogs]]*(1+scn_A_cogs_up)-(tbl_raw[[#This Row],[storage_cost]]+tbl_raw[[#This Row],[fulfillment_cost]]+tbl_raw[[#This Row],[freight_cost]])</f>
        <v>3772.9119999999975</v>
      </c>
      <c r="G62" s="42">
        <f>tbl_scenarios[[#This Row],[net_profit_A]]/tbl_raw[[#This Row],[gross_revenue]]</f>
        <v>0.29431497819693725</v>
      </c>
      <c r="H62" s="43">
        <f>tbl_scenarios[[#This Row],[net_margin_A]]-tbl_scenarios[[#This Row],[net_margin_pct]]</f>
        <v>-4.4999960996310262E-2</v>
      </c>
      <c r="I6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62" s="2">
        <f>tbl_raw[[#This Row],[gross_revenue]]-tbl_raw[[#This Row],[return_loss]]*(1+scn_B_returns_up/0.05)-tbl_raw[[#This Row],[cogs]]-(tbl_raw[[#This Row],[storage_cost]]+tbl_raw[[#This Row],[fulfillment_cost]]+tbl_raw[[#This Row],[freight_cost]])</f>
        <v>4317.7399999999989</v>
      </c>
      <c r="K62" s="42">
        <f>tbl_scenarios[[#This Row],[net_profit_B]]/tbl_raw[[#This Row],[gross_revenue]]</f>
        <v>0.33681558275412848</v>
      </c>
      <c r="L62" s="43">
        <f>tbl_scenarios[[#This Row],[net_margin_B]]-tbl_scenarios[[#This Row],[net_margin_pct]]</f>
        <v>-2.4993564391190271E-3</v>
      </c>
      <c r="M6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62" s="2">
        <f>tbl_raw[[#This Row],[gross_revenue]]*(1-scn_C_price_down)-tbl_raw[[#This Row],[return_loss]]-tbl_raw[[#This Row],[cogs]]-(tbl_raw[[#This Row],[storage_cost]]+tbl_raw[[#This Row],[fulfillment_cost]]+tbl_raw[[#This Row],[freight_cost]])</f>
        <v>3708.8149999999978</v>
      </c>
      <c r="O62" s="42">
        <f>tbl_scenarios[[#This Row],[net_profit_C]]/(tbl_raw[[#This Row],[gross_revenue]]*(1-scn_C_price_down))</f>
        <v>0.30454204125605006</v>
      </c>
      <c r="P62" s="43">
        <f>tbl_scenarios[[#This Row],[net_margin_C]]-tbl_scenarios[[#This Row],[net_margin_pct]]</f>
        <v>-3.4772897937197456E-2</v>
      </c>
      <c r="Q6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6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63" spans="1:18" x14ac:dyDescent="0.35">
      <c r="A63" s="17" t="str">
        <f>tbl_raw[[#This Row],[product_id]]</f>
        <v>44fc450365728c413fefc547592626be</v>
      </c>
      <c r="B63" t="str">
        <f>tbl_raw[[#This Row],[category]]</f>
        <v>small_appliances</v>
      </c>
      <c r="C63" s="2">
        <f>tbl_profitability[[#This Row],[net_profit]]</f>
        <v>5023.1600000000008</v>
      </c>
      <c r="D63" s="42">
        <f>tbl_profitability[[#This Row],[net_margin_pct]]</f>
        <v>0.39280262746324685</v>
      </c>
      <c r="E63" s="49" t="str">
        <f>tbl_profitability[[#This Row],[decision]]</f>
        <v>OPTIMIZE</v>
      </c>
      <c r="F63" s="2">
        <f>tbl_raw[[#This Row],[gross_revenue]]-tbl_raw[[#This Row],[return_loss]]-tbl_raw[[#This Row],[cogs]]*(1+scn_A_cogs_up)-(tbl_raw[[#This Row],[storage_cost]]+tbl_raw[[#This Row],[fulfillment_cost]]+tbl_raw[[#This Row],[freight_cost]])</f>
        <v>4294.2439999999997</v>
      </c>
      <c r="G63" s="42">
        <f>tbl_scenarios[[#This Row],[net_profit_A]]/tbl_raw[[#This Row],[gross_revenue]]</f>
        <v>0.33580262746324679</v>
      </c>
      <c r="H63" s="43">
        <f>tbl_scenarios[[#This Row],[net_margin_A]]-tbl_scenarios[[#This Row],[net_margin_pct]]</f>
        <v>-5.7000000000000051E-2</v>
      </c>
      <c r="I6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63" s="2">
        <f>tbl_raw[[#This Row],[gross_revenue]]-tbl_raw[[#This Row],[return_loss]]*(1+scn_B_returns_up/0.05)-tbl_raw[[#This Row],[cogs]]-(tbl_raw[[#This Row],[storage_cost]]+tbl_raw[[#This Row],[fulfillment_cost]]+tbl_raw[[#This Row],[freight_cost]])</f>
        <v>5017.7600000000011</v>
      </c>
      <c r="K63" s="42">
        <f>tbl_scenarios[[#This Row],[net_profit_B]]/tbl_raw[[#This Row],[gross_revenue]]</f>
        <v>0.39238035658429787</v>
      </c>
      <c r="L63" s="43">
        <f>tbl_scenarios[[#This Row],[net_margin_B]]-tbl_scenarios[[#This Row],[net_margin_pct]]</f>
        <v>-4.2227087894897153E-4</v>
      </c>
      <c r="M6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63" s="2">
        <f>tbl_raw[[#This Row],[gross_revenue]]*(1-scn_C_price_down)-tbl_raw[[#This Row],[return_loss]]-tbl_raw[[#This Row],[cogs]]-(tbl_raw[[#This Row],[storage_cost]]+tbl_raw[[#This Row],[fulfillment_cost]]+tbl_raw[[#This Row],[freight_cost]])</f>
        <v>4383.7599999999993</v>
      </c>
      <c r="O63" s="42">
        <f>tbl_scenarios[[#This Row],[net_profit_C]]/(tbl_raw[[#This Row],[gross_revenue]]*(1-scn_C_price_down))</f>
        <v>0.36084487101394397</v>
      </c>
      <c r="P63" s="43">
        <f>tbl_scenarios[[#This Row],[net_margin_C]]-tbl_scenarios[[#This Row],[net_margin_pct]]</f>
        <v>-3.1957756449302877E-2</v>
      </c>
      <c r="Q6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6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64" spans="1:18" x14ac:dyDescent="0.35">
      <c r="A64" s="17" t="str">
        <f>tbl_raw[[#This Row],[product_id]]</f>
        <v>595fac2a385ac33a80bd5114aec74eb8</v>
      </c>
      <c r="B64" t="str">
        <f>tbl_raw[[#This Row],[category]]</f>
        <v>perfumery</v>
      </c>
      <c r="C64" s="2">
        <f>tbl_profitability[[#This Row],[net_profit]]</f>
        <v>5158.2699999999995</v>
      </c>
      <c r="D64" s="42">
        <f>tbl_profitability[[#This Row],[net_margin_pct]]</f>
        <v>0.40819109116951147</v>
      </c>
      <c r="E64" s="49" t="str">
        <f>tbl_profitability[[#This Row],[decision]]</f>
        <v>SCALE</v>
      </c>
      <c r="F64" s="2">
        <f>tbl_raw[[#This Row],[gross_revenue]]-tbl_raw[[#This Row],[return_loss]]-tbl_raw[[#This Row],[cogs]]*(1+scn_A_cogs_up)-(tbl_raw[[#This Row],[storage_cost]]+tbl_raw[[#This Row],[fulfillment_cost]]+tbl_raw[[#This Row],[freight_cost]])</f>
        <v>4627.5199999999986</v>
      </c>
      <c r="G64" s="42">
        <f>tbl_scenarios[[#This Row],[net_profit_A]]/tbl_raw[[#This Row],[gross_revenue]]</f>
        <v>0.36619107534284506</v>
      </c>
      <c r="H64" s="43">
        <f>tbl_scenarios[[#This Row],[net_margin_A]]-tbl_scenarios[[#This Row],[net_margin_pct]]</f>
        <v>-4.2000015826666404E-2</v>
      </c>
      <c r="I6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64" s="2">
        <f>tbl_raw[[#This Row],[gross_revenue]]-tbl_raw[[#This Row],[return_loss]]*(1+scn_B_returns_up/0.05)-tbl_raw[[#This Row],[cogs]]-(tbl_raw[[#This Row],[storage_cost]]+tbl_raw[[#This Row],[fulfillment_cost]]+tbl_raw[[#This Row],[freight_cost]])</f>
        <v>5120.1099999999997</v>
      </c>
      <c r="K64" s="42">
        <f>tbl_scenarios[[#This Row],[net_profit_B]]/tbl_raw[[#This Row],[gross_revenue]]</f>
        <v>0.40517136322990605</v>
      </c>
      <c r="L64" s="43">
        <f>tbl_scenarios[[#This Row],[net_margin_B]]-tbl_scenarios[[#This Row],[net_margin_pct]]</f>
        <v>-3.0197279396054211E-3</v>
      </c>
      <c r="M6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64" s="2">
        <f>tbl_raw[[#This Row],[gross_revenue]]*(1-scn_C_price_down)-tbl_raw[[#This Row],[return_loss]]-tbl_raw[[#This Row],[cogs]]-(tbl_raw[[#This Row],[storage_cost]]+tbl_raw[[#This Row],[fulfillment_cost]]+tbl_raw[[#This Row],[freight_cost]])</f>
        <v>4526.4249999999984</v>
      </c>
      <c r="O64" s="42">
        <f>tbl_scenarios[[#This Row],[net_profit_C]]/(tbl_raw[[#This Row],[gross_revenue]]*(1-scn_C_price_down))</f>
        <v>0.37704325386264359</v>
      </c>
      <c r="P64" s="43">
        <f>tbl_scenarios[[#This Row],[net_margin_C]]-tbl_scenarios[[#This Row],[net_margin_pct]]</f>
        <v>-3.1147837306867876E-2</v>
      </c>
      <c r="Q6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6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65" spans="1:18" x14ac:dyDescent="0.35">
      <c r="A65" s="17" t="str">
        <f>tbl_raw[[#This Row],[product_id]]</f>
        <v>25292482a61cb3298df8dbe15ea69daf</v>
      </c>
      <c r="B65" t="str">
        <f>tbl_raw[[#This Row],[category]]</f>
        <v>health_beauty</v>
      </c>
      <c r="C65" s="2">
        <f>tbl_profitability[[#This Row],[net_profit]]</f>
        <v>6942.66</v>
      </c>
      <c r="D65" s="42">
        <f>tbl_profitability[[#This Row],[net_margin_pct]]</f>
        <v>0.55335432192244849</v>
      </c>
      <c r="E65" s="49" t="str">
        <f>tbl_profitability[[#This Row],[decision]]</f>
        <v>SCALE</v>
      </c>
      <c r="F65" s="2">
        <f>tbl_raw[[#This Row],[gross_revenue]]-tbl_raw[[#This Row],[return_loss]]-tbl_raw[[#This Row],[cogs]]*(1+scn_A_cogs_up)-(tbl_raw[[#This Row],[storage_cost]]+tbl_raw[[#This Row],[fulfillment_cost]]+tbl_raw[[#This Row],[freight_cost]])</f>
        <v>6415.7069999999994</v>
      </c>
      <c r="G65" s="42">
        <f>tbl_scenarios[[#This Row],[net_profit_A]]/tbl_raw[[#This Row],[gross_revenue]]</f>
        <v>0.51135432192244845</v>
      </c>
      <c r="H65" s="43">
        <f>tbl_scenarios[[#This Row],[net_margin_A]]-tbl_scenarios[[#This Row],[net_margin_pct]]</f>
        <v>-4.2000000000000037E-2</v>
      </c>
      <c r="I6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65" s="2">
        <f>tbl_raw[[#This Row],[gross_revenue]]-tbl_raw[[#This Row],[return_loss]]*(1+scn_B_returns_up/0.05)-tbl_raw[[#This Row],[cogs]]-(tbl_raw[[#This Row],[storage_cost]]+tbl_raw[[#This Row],[fulfillment_cost]]+tbl_raw[[#This Row],[freight_cost]])</f>
        <v>6939.0599999999995</v>
      </c>
      <c r="K65" s="42">
        <f>tbl_scenarios[[#This Row],[net_profit_B]]/tbl_raw[[#This Row],[gross_revenue]]</f>
        <v>0.55306738931176025</v>
      </c>
      <c r="L65" s="43">
        <f>tbl_scenarios[[#This Row],[net_margin_B]]-tbl_scenarios[[#This Row],[net_margin_pct]]</f>
        <v>-2.8693261068823972E-4</v>
      </c>
      <c r="M6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65" s="2">
        <f>tbl_raw[[#This Row],[gross_revenue]]*(1-scn_C_price_down)-tbl_raw[[#This Row],[return_loss]]-tbl_raw[[#This Row],[cogs]]-(tbl_raw[[#This Row],[storage_cost]]+tbl_raw[[#This Row],[fulfillment_cost]]+tbl_raw[[#This Row],[freight_cost]])</f>
        <v>6315.3349999999991</v>
      </c>
      <c r="O65" s="42">
        <f>tbl_scenarios[[#This Row],[net_profit_C]]/(tbl_raw[[#This Row],[gross_revenue]]*(1-scn_C_price_down))</f>
        <v>0.52984665465520886</v>
      </c>
      <c r="P65" s="43">
        <f>tbl_scenarios[[#This Row],[net_margin_C]]-tbl_scenarios[[#This Row],[net_margin_pct]]</f>
        <v>-2.3507667267239629E-2</v>
      </c>
      <c r="Q6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6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66" spans="1:18" x14ac:dyDescent="0.35">
      <c r="A66" s="17" t="str">
        <f>tbl_raw[[#This Row],[product_id]]</f>
        <v>a92930c327948861c015c919a0bcb4a8</v>
      </c>
      <c r="B66" t="str">
        <f>tbl_raw[[#This Row],[category]]</f>
        <v>watches_gifts</v>
      </c>
      <c r="C66" s="2">
        <f>tbl_profitability[[#This Row],[net_profit]]</f>
        <v>3880.3699999999994</v>
      </c>
      <c r="D66" s="42">
        <f>tbl_profitability[[#This Row],[net_margin_pct]]</f>
        <v>0.3110517034068136</v>
      </c>
      <c r="E66" s="49" t="str">
        <f>tbl_profitability[[#This Row],[decision]]</f>
        <v>OPTIMIZE</v>
      </c>
      <c r="F66" s="2">
        <f>tbl_raw[[#This Row],[gross_revenue]]-tbl_raw[[#This Row],[return_loss]]-tbl_raw[[#This Row],[cogs]]*(1+scn_A_cogs_up)-(tbl_raw[[#This Row],[storage_cost]]+tbl_raw[[#This Row],[fulfillment_cost]]+tbl_raw[[#This Row],[freight_cost]])</f>
        <v>3356.4199999999987</v>
      </c>
      <c r="G66" s="42">
        <f>tbl_scenarios[[#This Row],[net_profit_A]]/tbl_raw[[#This Row],[gross_revenue]]</f>
        <v>0.2690517034068135</v>
      </c>
      <c r="H66" s="43">
        <f>tbl_scenarios[[#This Row],[net_margin_A]]-tbl_scenarios[[#This Row],[net_margin_pct]]</f>
        <v>-4.2000000000000093E-2</v>
      </c>
      <c r="I6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66" s="2">
        <f>tbl_raw[[#This Row],[gross_revenue]]-tbl_raw[[#This Row],[return_loss]]*(1+scn_B_returns_up/0.05)-tbl_raw[[#This Row],[cogs]]-(tbl_raw[[#This Row],[storage_cost]]+tbl_raw[[#This Row],[fulfillment_cost]]+tbl_raw[[#This Row],[freight_cost]])</f>
        <v>3822.7699999999991</v>
      </c>
      <c r="K66" s="42">
        <f>tbl_scenarios[[#This Row],[net_profit_B]]/tbl_raw[[#This Row],[gross_revenue]]</f>
        <v>0.30643446893787568</v>
      </c>
      <c r="L66" s="43">
        <f>tbl_scenarios[[#This Row],[net_margin_B]]-tbl_scenarios[[#This Row],[net_margin_pct]]</f>
        <v>-4.6172344689379141E-3</v>
      </c>
      <c r="M6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66" s="2">
        <f>tbl_raw[[#This Row],[gross_revenue]]*(1-scn_C_price_down)-tbl_raw[[#This Row],[return_loss]]-tbl_raw[[#This Row],[cogs]]-(tbl_raw[[#This Row],[storage_cost]]+tbl_raw[[#This Row],[fulfillment_cost]]+tbl_raw[[#This Row],[freight_cost]])</f>
        <v>3256.6199999999994</v>
      </c>
      <c r="O66" s="42">
        <f>tbl_scenarios[[#This Row],[net_profit_C]]/(tbl_raw[[#This Row],[gross_revenue]]*(1-scn_C_price_down))</f>
        <v>0.27479126674401427</v>
      </c>
      <c r="P66" s="43">
        <f>tbl_scenarios[[#This Row],[net_margin_C]]-tbl_scenarios[[#This Row],[net_margin_pct]]</f>
        <v>-3.6260436662799322E-2</v>
      </c>
      <c r="Q6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6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67" spans="1:18" x14ac:dyDescent="0.35">
      <c r="A67" s="17" t="str">
        <f>tbl_raw[[#This Row],[product_id]]</f>
        <v>4298b7e67dc399c200662b569563a2b2</v>
      </c>
      <c r="B67" t="str">
        <f>tbl_raw[[#This Row],[category]]</f>
        <v>computers_accessories</v>
      </c>
      <c r="C67" s="2">
        <f>tbl_profitability[[#This Row],[net_profit]]</f>
        <v>2632.2200000000003</v>
      </c>
      <c r="D67" s="42">
        <f>tbl_profitability[[#This Row],[net_margin_pct]]</f>
        <v>0.21348440363996174</v>
      </c>
      <c r="E67" s="49" t="str">
        <f>tbl_profitability[[#This Row],[decision]]</f>
        <v>OPTIMIZE</v>
      </c>
      <c r="F67" s="2">
        <f>tbl_raw[[#This Row],[gross_revenue]]-tbl_raw[[#This Row],[return_loss]]-tbl_raw[[#This Row],[cogs]]*(1+scn_A_cogs_up)-(tbl_raw[[#This Row],[storage_cost]]+tbl_raw[[#This Row],[fulfillment_cost]]+tbl_raw[[#This Row],[freight_cost]])</f>
        <v>1929.4209999999994</v>
      </c>
      <c r="G67" s="42">
        <f>tbl_scenarios[[#This Row],[net_profit_A]]/tbl_raw[[#This Row],[gross_revenue]]</f>
        <v>0.15648437119823513</v>
      </c>
      <c r="H67" s="43">
        <f>tbl_scenarios[[#This Row],[net_margin_A]]-tbl_scenarios[[#This Row],[net_margin_pct]]</f>
        <v>-5.7000032441726606E-2</v>
      </c>
      <c r="I6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67" s="2">
        <f>tbl_raw[[#This Row],[gross_revenue]]-tbl_raw[[#This Row],[return_loss]]*(1+scn_B_returns_up/0.05)-tbl_raw[[#This Row],[cogs]]-(tbl_raw[[#This Row],[storage_cost]]+tbl_raw[[#This Row],[fulfillment_cost]]+tbl_raw[[#This Row],[freight_cost]])</f>
        <v>2553.9199999999992</v>
      </c>
      <c r="K67" s="42">
        <f>tbl_scenarios[[#This Row],[net_profit_B]]/tbl_raw[[#This Row],[gross_revenue]]</f>
        <v>0.20713393566805618</v>
      </c>
      <c r="L67" s="43">
        <f>tbl_scenarios[[#This Row],[net_margin_B]]-tbl_scenarios[[#This Row],[net_margin_pct]]</f>
        <v>-6.3504679719055546E-3</v>
      </c>
      <c r="M6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67" s="2">
        <f>tbl_raw[[#This Row],[gross_revenue]]*(1-scn_C_price_down)-tbl_raw[[#This Row],[return_loss]]-tbl_raw[[#This Row],[cogs]]-(tbl_raw[[#This Row],[storage_cost]]+tbl_raw[[#This Row],[fulfillment_cost]]+tbl_raw[[#This Row],[freight_cost]])</f>
        <v>2015.7300000000005</v>
      </c>
      <c r="O67" s="42">
        <f>tbl_scenarios[[#This Row],[net_profit_C]]/(tbl_raw[[#This Row],[gross_revenue]]*(1-scn_C_price_down))</f>
        <v>0.17208884593680185</v>
      </c>
      <c r="P67" s="43">
        <f>tbl_scenarios[[#This Row],[net_margin_C]]-tbl_scenarios[[#This Row],[net_margin_pct]]</f>
        <v>-4.1395557703159891E-2</v>
      </c>
      <c r="Q6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6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68" spans="1:18" x14ac:dyDescent="0.35">
      <c r="A68" s="17" t="str">
        <f>tbl_raw[[#This Row],[product_id]]</f>
        <v>656e0eca68dcecf6a31b8ececfabe3e8</v>
      </c>
      <c r="B68" t="str">
        <f>tbl_raw[[#This Row],[category]]</f>
        <v>computers_accessories</v>
      </c>
      <c r="C68" s="2">
        <f>tbl_profitability[[#This Row],[net_profit]]</f>
        <v>1611.9299999999989</v>
      </c>
      <c r="D68" s="42">
        <f>tbl_profitability[[#This Row],[net_margin_pct]]</f>
        <v>0.13097870203570211</v>
      </c>
      <c r="E68" s="49" t="str">
        <f>tbl_profitability[[#This Row],[decision]]</f>
        <v>OPTIMIZE</v>
      </c>
      <c r="F68" s="2">
        <f>tbl_raw[[#This Row],[gross_revenue]]-tbl_raw[[#This Row],[return_loss]]-tbl_raw[[#This Row],[cogs]]*(1+scn_A_cogs_up)-(tbl_raw[[#This Row],[storage_cost]]+tbl_raw[[#This Row],[fulfillment_cost]]+tbl_raw[[#This Row],[freight_cost]])</f>
        <v>910.44199999999864</v>
      </c>
      <c r="G68" s="42">
        <f>tbl_scenarios[[#This Row],[net_profit_A]]/tbl_raw[[#This Row],[gross_revenue]]</f>
        <v>7.3978715849192328E-2</v>
      </c>
      <c r="H68" s="43">
        <f>tbl_scenarios[[#This Row],[net_margin_A]]-tbl_scenarios[[#This Row],[net_margin_pct]]</f>
        <v>-5.6999986186509782E-2</v>
      </c>
      <c r="I68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68" s="2">
        <f>tbl_raw[[#This Row],[gross_revenue]]-tbl_raw[[#This Row],[return_loss]]*(1+scn_B_returns_up/0.05)-tbl_raw[[#This Row],[cogs]]-(tbl_raw[[#This Row],[storage_cost]]+tbl_raw[[#This Row],[fulfillment_cost]]+tbl_raw[[#This Row],[freight_cost]])</f>
        <v>1486.8299999999986</v>
      </c>
      <c r="K68" s="42">
        <f>tbl_scenarios[[#This Row],[net_profit_B]]/tbl_raw[[#This Row],[gross_revenue]]</f>
        <v>0.1208135983248298</v>
      </c>
      <c r="L68" s="43">
        <f>tbl_scenarios[[#This Row],[net_margin_B]]-tbl_scenarios[[#This Row],[net_margin_pct]]</f>
        <v>-1.0165103710872314E-2</v>
      </c>
      <c r="M6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68" s="2">
        <f>tbl_raw[[#This Row],[gross_revenue]]*(1-scn_C_price_down)-tbl_raw[[#This Row],[return_loss]]-tbl_raw[[#This Row],[cogs]]-(tbl_raw[[#This Row],[storage_cost]]+tbl_raw[[#This Row],[fulfillment_cost]]+tbl_raw[[#This Row],[freight_cost]])</f>
        <v>996.58949999999868</v>
      </c>
      <c r="O68" s="42">
        <f>tbl_scenarios[[#This Row],[net_profit_C]]/(tbl_raw[[#This Row],[gross_revenue]]*(1-scn_C_price_down))</f>
        <v>8.5240738984949563E-2</v>
      </c>
      <c r="P68" s="43">
        <f>tbl_scenarios[[#This Row],[net_margin_C]]-tbl_scenarios[[#This Row],[net_margin_pct]]</f>
        <v>-4.5737963050752548E-2</v>
      </c>
      <c r="Q68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6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69" spans="1:18" x14ac:dyDescent="0.35">
      <c r="A69" s="17" t="str">
        <f>tbl_raw[[#This Row],[product_id]]</f>
        <v>e4d325bd1eea550509bdbbc5c3301fc1</v>
      </c>
      <c r="B69" t="str">
        <f>tbl_raw[[#This Row],[category]]</f>
        <v>perfumery</v>
      </c>
      <c r="C69" s="2">
        <f>tbl_profitability[[#This Row],[net_profit]]</f>
        <v>6090.3200000000015</v>
      </c>
      <c r="D69" s="42">
        <f>tbl_profitability[[#This Row],[net_margin_pct]]</f>
        <v>0.5039044336295927</v>
      </c>
      <c r="E69" s="49" t="str">
        <f>tbl_profitability[[#This Row],[decision]]</f>
        <v>SCALE</v>
      </c>
      <c r="F69" s="2">
        <f>tbl_raw[[#This Row],[gross_revenue]]-tbl_raw[[#This Row],[return_loss]]-tbl_raw[[#This Row],[cogs]]*(1+scn_A_cogs_up)-(tbl_raw[[#This Row],[storage_cost]]+tbl_raw[[#This Row],[fulfillment_cost]]+tbl_raw[[#This Row],[freight_cost]])</f>
        <v>5582.697000000001</v>
      </c>
      <c r="G69" s="42">
        <f>tbl_scenarios[[#This Row],[net_profit_A]]/tbl_raw[[#This Row],[gross_revenue]]</f>
        <v>0.46190442701050621</v>
      </c>
      <c r="H69" s="43">
        <f>tbl_scenarios[[#This Row],[net_margin_A]]-tbl_scenarios[[#This Row],[net_margin_pct]]</f>
        <v>-4.2000006619086483E-2</v>
      </c>
      <c r="I6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69" s="2">
        <f>tbl_raw[[#This Row],[gross_revenue]]-tbl_raw[[#This Row],[return_loss]]*(1+scn_B_returns_up/0.05)-tbl_raw[[#This Row],[cogs]]-(tbl_raw[[#This Row],[storage_cost]]+tbl_raw[[#This Row],[fulfillment_cost]]+tbl_raw[[#This Row],[freight_cost]])</f>
        <v>6078.4400000000005</v>
      </c>
      <c r="K69" s="42">
        <f>tbl_scenarios[[#This Row],[net_profit_B]]/tbl_raw[[#This Row],[gross_revenue]]</f>
        <v>0.50292149928927565</v>
      </c>
      <c r="L69" s="43">
        <f>tbl_scenarios[[#This Row],[net_margin_B]]-tbl_scenarios[[#This Row],[net_margin_pct]]</f>
        <v>-9.8293434031704319E-4</v>
      </c>
      <c r="M6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69" s="2">
        <f>tbl_raw[[#This Row],[gross_revenue]]*(1-scn_C_price_down)-tbl_raw[[#This Row],[return_loss]]-tbl_raw[[#This Row],[cogs]]-(tbl_raw[[#This Row],[storage_cost]]+tbl_raw[[#This Row],[fulfillment_cost]]+tbl_raw[[#This Row],[freight_cost]])</f>
        <v>5486.0070000000014</v>
      </c>
      <c r="O69" s="42">
        <f>tbl_scenarios[[#This Row],[net_profit_C]]/(tbl_raw[[#This Row],[gross_revenue]]*(1-scn_C_price_down))</f>
        <v>0.47779414066272918</v>
      </c>
      <c r="P69" s="43">
        <f>tbl_scenarios[[#This Row],[net_margin_C]]-tbl_scenarios[[#This Row],[net_margin_pct]]</f>
        <v>-2.6110292966863513E-2</v>
      </c>
      <c r="Q6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6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70" spans="1:18" x14ac:dyDescent="0.35">
      <c r="A70" s="17" t="str">
        <f>tbl_raw[[#This Row],[product_id]]</f>
        <v>0a57f7d2c983bcf8188589a5fea4a8da</v>
      </c>
      <c r="B70" t="str">
        <f>tbl_raw[[#This Row],[category]]</f>
        <v>watches_gifts</v>
      </c>
      <c r="C70" s="2">
        <f>tbl_profitability[[#This Row],[net_profit]]</f>
        <v>4789.3099999999995</v>
      </c>
      <c r="D70" s="42">
        <f>tbl_profitability[[#This Row],[net_margin_pct]]</f>
        <v>0.40221966541252346</v>
      </c>
      <c r="E70" s="49" t="str">
        <f>tbl_profitability[[#This Row],[decision]]</f>
        <v>OPTIMIZE</v>
      </c>
      <c r="F70" s="2">
        <f>tbl_raw[[#This Row],[gross_revenue]]-tbl_raw[[#This Row],[return_loss]]-tbl_raw[[#This Row],[cogs]]*(1+scn_A_cogs_up)-(tbl_raw[[#This Row],[storage_cost]]+tbl_raw[[#This Row],[fulfillment_cost]]+tbl_raw[[#This Row],[freight_cost]])</f>
        <v>4289.2079999999987</v>
      </c>
      <c r="G70" s="42">
        <f>tbl_scenarios[[#This Row],[net_profit_A]]/tbl_raw[[#This Row],[gross_revenue]]</f>
        <v>0.36021969900564349</v>
      </c>
      <c r="H70" s="43">
        <f>tbl_scenarios[[#This Row],[net_margin_A]]-tbl_scenarios[[#This Row],[net_margin_pct]]</f>
        <v>-4.1999966406879974E-2</v>
      </c>
      <c r="I7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70" s="2">
        <f>tbl_raw[[#This Row],[gross_revenue]]-tbl_raw[[#This Row],[return_loss]]*(1+scn_B_returns_up/0.05)-tbl_raw[[#This Row],[cogs]]-(tbl_raw[[#This Row],[storage_cost]]+tbl_raw[[#This Row],[fulfillment_cost]]+tbl_raw[[#This Row],[freight_cost]])</f>
        <v>4751.8700000000008</v>
      </c>
      <c r="K70" s="42">
        <f>tbl_scenarios[[#This Row],[net_profit_B]]/tbl_raw[[#This Row],[gross_revenue]]</f>
        <v>0.39907534936844941</v>
      </c>
      <c r="L70" s="43">
        <f>tbl_scenarios[[#This Row],[net_margin_B]]-tbl_scenarios[[#This Row],[net_margin_pct]]</f>
        <v>-3.1443160440740581E-3</v>
      </c>
      <c r="M70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70" s="2">
        <f>tbl_raw[[#This Row],[gross_revenue]]*(1-scn_C_price_down)-tbl_raw[[#This Row],[return_loss]]-tbl_raw[[#This Row],[cogs]]-(tbl_raw[[#This Row],[storage_cost]]+tbl_raw[[#This Row],[fulfillment_cost]]+tbl_raw[[#This Row],[freight_cost]])</f>
        <v>4193.9499999999989</v>
      </c>
      <c r="O70" s="42">
        <f>tbl_scenarios[[#This Row],[net_profit_C]]/(tbl_raw[[#This Row],[gross_revenue]]*(1-scn_C_price_down))</f>
        <v>0.37075754253949833</v>
      </c>
      <c r="P70" s="43">
        <f>tbl_scenarios[[#This Row],[net_margin_C]]-tbl_scenarios[[#This Row],[net_margin_pct]]</f>
        <v>-3.1462122873025133E-2</v>
      </c>
      <c r="Q70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7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71" spans="1:18" x14ac:dyDescent="0.35">
      <c r="A71" s="17" t="str">
        <f>tbl_raw[[#This Row],[product_id]]</f>
        <v>5237739bb5fee495dbd337755a138660</v>
      </c>
      <c r="B71" t="str">
        <f>tbl_raw[[#This Row],[category]]</f>
        <v>watches_gifts</v>
      </c>
      <c r="C71" s="2">
        <f>tbl_profitability[[#This Row],[net_profit]]</f>
        <v>6460.6899999999987</v>
      </c>
      <c r="D71" s="42">
        <f>tbl_profitability[[#This Row],[net_margin_pct]]</f>
        <v>0.54359804965061143</v>
      </c>
      <c r="E71" s="49" t="str">
        <f>tbl_profitability[[#This Row],[decision]]</f>
        <v>OPTIMIZE</v>
      </c>
      <c r="F71" s="2">
        <f>tbl_raw[[#This Row],[gross_revenue]]-tbl_raw[[#This Row],[return_loss]]-tbl_raw[[#This Row],[cogs]]*(1+scn_A_cogs_up)-(tbl_raw[[#This Row],[storage_cost]]+tbl_raw[[#This Row],[fulfillment_cost]]+tbl_raw[[#This Row],[freight_cost]])</f>
        <v>5961.5179999999982</v>
      </c>
      <c r="G71" s="42">
        <f>tbl_scenarios[[#This Row],[net_profit_A]]/tbl_raw[[#This Row],[gross_revenue]]</f>
        <v>0.50159805806454316</v>
      </c>
      <c r="H71" s="43">
        <f>tbl_scenarios[[#This Row],[net_margin_A]]-tbl_scenarios[[#This Row],[net_margin_pct]]</f>
        <v>-4.1999991586068264E-2</v>
      </c>
      <c r="I7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71" s="2">
        <f>tbl_raw[[#This Row],[gross_revenue]]-tbl_raw[[#This Row],[return_loss]]*(1+scn_B_returns_up/0.05)-tbl_raw[[#This Row],[cogs]]-(tbl_raw[[#This Row],[storage_cost]]+tbl_raw[[#This Row],[fulfillment_cost]]+tbl_raw[[#This Row],[freight_cost]])</f>
        <v>6456.0099999999984</v>
      </c>
      <c r="K71" s="42">
        <f>tbl_scenarios[[#This Row],[net_profit_B]]/tbl_raw[[#This Row],[gross_revenue]]</f>
        <v>0.54320427764292101</v>
      </c>
      <c r="L71" s="43">
        <f>tbl_scenarios[[#This Row],[net_margin_B]]-tbl_scenarios[[#This Row],[net_margin_pct]]</f>
        <v>-3.9377200769041831E-4</v>
      </c>
      <c r="M7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71" s="2">
        <f>tbl_raw[[#This Row],[gross_revenue]]*(1-scn_C_price_down)-tbl_raw[[#This Row],[return_loss]]-tbl_raw[[#This Row],[cogs]]-(tbl_raw[[#This Row],[storage_cost]]+tbl_raw[[#This Row],[fulfillment_cost]]+tbl_raw[[#This Row],[freight_cost]])</f>
        <v>5866.4374999999982</v>
      </c>
      <c r="O71" s="42">
        <f>tbl_scenarios[[#This Row],[net_profit_C]]/(tbl_raw[[#This Row],[gross_revenue]]*(1-scn_C_price_down))</f>
        <v>0.51957689436906462</v>
      </c>
      <c r="P71" s="43">
        <f>tbl_scenarios[[#This Row],[net_margin_C]]-tbl_scenarios[[#This Row],[net_margin_pct]]</f>
        <v>-2.4021155281546802E-2</v>
      </c>
      <c r="Q7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7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72" spans="1:18" x14ac:dyDescent="0.35">
      <c r="A72" s="17" t="str">
        <f>tbl_raw[[#This Row],[product_id]]</f>
        <v>c6dd917a0be2a704582055949915ab32</v>
      </c>
      <c r="B72" t="str">
        <f>tbl_raw[[#This Row],[category]]</f>
        <v>cool_stuff</v>
      </c>
      <c r="C72" s="2">
        <f>tbl_profitability[[#This Row],[net_profit]]</f>
        <v>3927.8899999999994</v>
      </c>
      <c r="D72" s="42">
        <f>tbl_profitability[[#This Row],[net_margin_pct]]</f>
        <v>0.33095306704683514</v>
      </c>
      <c r="E72" s="49" t="str">
        <f>tbl_profitability[[#This Row],[decision]]</f>
        <v>SCALE</v>
      </c>
      <c r="F72" s="2">
        <f>tbl_raw[[#This Row],[gross_revenue]]-tbl_raw[[#This Row],[return_loss]]-tbl_raw[[#This Row],[cogs]]*(1+scn_A_cogs_up)-(tbl_raw[[#This Row],[storage_cost]]+tbl_raw[[#This Row],[fulfillment_cost]]+tbl_raw[[#This Row],[freight_cost]])</f>
        <v>3393.8109999999988</v>
      </c>
      <c r="G72" s="42">
        <f>tbl_scenarios[[#This Row],[net_profit_A]]/tbl_raw[[#This Row],[gross_revenue]]</f>
        <v>0.28595305862111375</v>
      </c>
      <c r="H72" s="43">
        <f>tbl_scenarios[[#This Row],[net_margin_A]]-tbl_scenarios[[#This Row],[net_margin_pct]]</f>
        <v>-4.5000008425721383E-2</v>
      </c>
      <c r="I7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72" s="2">
        <f>tbl_raw[[#This Row],[gross_revenue]]-tbl_raw[[#This Row],[return_loss]]*(1+scn_B_returns_up/0.05)-tbl_raw[[#This Row],[cogs]]-(tbl_raw[[#This Row],[storage_cost]]+tbl_raw[[#This Row],[fulfillment_cost]]+tbl_raw[[#This Row],[freight_cost]])</f>
        <v>3884.6900000000005</v>
      </c>
      <c r="K72" s="42">
        <f>tbl_scenarios[[#This Row],[net_profit_B]]/tbl_raw[[#This Row],[gross_revenue]]</f>
        <v>0.32731315541580097</v>
      </c>
      <c r="L72" s="43">
        <f>tbl_scenarios[[#This Row],[net_margin_B]]-tbl_scenarios[[#This Row],[net_margin_pct]]</f>
        <v>-3.639911631034165E-3</v>
      </c>
      <c r="M7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72" s="2">
        <f>tbl_raw[[#This Row],[gross_revenue]]*(1-scn_C_price_down)-tbl_raw[[#This Row],[return_loss]]-tbl_raw[[#This Row],[cogs]]-(tbl_raw[[#This Row],[storage_cost]]+tbl_raw[[#This Row],[fulfillment_cost]]+tbl_raw[[#This Row],[freight_cost]])</f>
        <v>3334.4689999999991</v>
      </c>
      <c r="O72" s="42">
        <f>tbl_scenarios[[#This Row],[net_profit_C]]/(tbl_raw[[#This Row],[gross_revenue]]*(1-scn_C_price_down))</f>
        <v>0.29574007057561597</v>
      </c>
      <c r="P72" s="43">
        <f>tbl_scenarios[[#This Row],[net_margin_C]]-tbl_scenarios[[#This Row],[net_margin_pct]]</f>
        <v>-3.5212996471219171E-2</v>
      </c>
      <c r="Q7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7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73" spans="1:18" x14ac:dyDescent="0.35">
      <c r="A73" s="17" t="str">
        <f>tbl_raw[[#This Row],[product_id]]</f>
        <v>af0a99476d96dcc1a1baa7c0d9ff6b9d</v>
      </c>
      <c r="B73" t="str">
        <f>tbl_raw[[#This Row],[category]]</f>
        <v>health_beauty</v>
      </c>
      <c r="C73" s="2">
        <f>tbl_profitability[[#This Row],[net_profit]]</f>
        <v>6138.2499999999991</v>
      </c>
      <c r="D73" s="42">
        <f>tbl_profitability[[#This Row],[net_margin_pct]]</f>
        <v>0.51842014138155279</v>
      </c>
      <c r="E73" s="49" t="str">
        <f>tbl_profitability[[#This Row],[decision]]</f>
        <v>OPTIMIZE</v>
      </c>
      <c r="F73" s="2">
        <f>tbl_raw[[#This Row],[gross_revenue]]-tbl_raw[[#This Row],[return_loss]]-tbl_raw[[#This Row],[cogs]]*(1+scn_A_cogs_up)-(tbl_raw[[#This Row],[storage_cost]]+tbl_raw[[#This Row],[fulfillment_cost]]+tbl_raw[[#This Row],[freight_cost]])</f>
        <v>5640.9569999999985</v>
      </c>
      <c r="G73" s="42">
        <f>tbl_scenarios[[#This Row],[net_profit_A]]/tbl_raw[[#This Row],[gross_revenue]]</f>
        <v>0.47642010759862496</v>
      </c>
      <c r="H73" s="43">
        <f>tbl_scenarios[[#This Row],[net_margin_A]]-tbl_scenarios[[#This Row],[net_margin_pct]]</f>
        <v>-4.2000033782927826E-2</v>
      </c>
      <c r="I7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73" s="2">
        <f>tbl_raw[[#This Row],[gross_revenue]]-tbl_raw[[#This Row],[return_loss]]*(1+scn_B_returns_up/0.05)-tbl_raw[[#This Row],[cogs]]-(tbl_raw[[#This Row],[storage_cost]]+tbl_raw[[#This Row],[fulfillment_cost]]+tbl_raw[[#This Row],[freight_cost]])</f>
        <v>6130.329999999999</v>
      </c>
      <c r="K73" s="42">
        <f>tbl_scenarios[[#This Row],[net_profit_B]]/tbl_raw[[#This Row],[gross_revenue]]</f>
        <v>0.51775123941116352</v>
      </c>
      <c r="L73" s="43">
        <f>tbl_scenarios[[#This Row],[net_margin_B]]-tbl_scenarios[[#This Row],[net_margin_pct]]</f>
        <v>-6.6890197038926846E-4</v>
      </c>
      <c r="M7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73" s="2">
        <f>tbl_raw[[#This Row],[gross_revenue]]*(1-scn_C_price_down)-tbl_raw[[#This Row],[return_loss]]-tbl_raw[[#This Row],[cogs]]-(tbl_raw[[#This Row],[storage_cost]]+tbl_raw[[#This Row],[fulfillment_cost]]+tbl_raw[[#This Row],[freight_cost]])</f>
        <v>5546.2349999999979</v>
      </c>
      <c r="O73" s="42">
        <f>tbl_scenarios[[#This Row],[net_profit_C]]/(tbl_raw[[#This Row],[gross_revenue]]*(1-scn_C_price_down))</f>
        <v>0.49307383303321339</v>
      </c>
      <c r="P73" s="43">
        <f>tbl_scenarios[[#This Row],[net_margin_C]]-tbl_scenarios[[#This Row],[net_margin_pct]]</f>
        <v>-2.5346308348339397E-2</v>
      </c>
      <c r="Q7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7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74" spans="1:18" x14ac:dyDescent="0.35">
      <c r="A74" s="17" t="str">
        <f>tbl_raw[[#This Row],[product_id]]</f>
        <v>24c66f106f642621e524291a895c9032</v>
      </c>
      <c r="B74" t="str">
        <f>tbl_raw[[#This Row],[category]]</f>
        <v>health_beauty</v>
      </c>
      <c r="C74" s="2">
        <f>tbl_profitability[[#This Row],[net_profit]]</f>
        <v>5062.7700000000004</v>
      </c>
      <c r="D74" s="42">
        <f>tbl_profitability[[#This Row],[net_margin_pct]]</f>
        <v>0.42819554277498206</v>
      </c>
      <c r="E74" s="49" t="str">
        <f>tbl_profitability[[#This Row],[decision]]</f>
        <v>SCALE</v>
      </c>
      <c r="F74" s="2">
        <f>tbl_raw[[#This Row],[gross_revenue]]-tbl_raw[[#This Row],[return_loss]]-tbl_raw[[#This Row],[cogs]]*(1+scn_A_cogs_up)-(tbl_raw[[#This Row],[storage_cost]]+tbl_raw[[#This Row],[fulfillment_cost]]+tbl_raw[[#This Row],[freight_cost]])</f>
        <v>4566.183</v>
      </c>
      <c r="G74" s="42">
        <f>tbl_scenarios[[#This Row],[net_profit_A]]/tbl_raw[[#This Row],[gross_revenue]]</f>
        <v>0.38619554277498203</v>
      </c>
      <c r="H74" s="43">
        <f>tbl_scenarios[[#This Row],[net_margin_A]]-tbl_scenarios[[#This Row],[net_margin_pct]]</f>
        <v>-4.2000000000000037E-2</v>
      </c>
      <c r="I7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74" s="2">
        <f>tbl_raw[[#This Row],[gross_revenue]]-tbl_raw[[#This Row],[return_loss]]*(1+scn_B_returns_up/0.05)-tbl_raw[[#This Row],[cogs]]-(tbl_raw[[#This Row],[storage_cost]]+tbl_raw[[#This Row],[fulfillment_cost]]+tbl_raw[[#This Row],[freight_cost]])</f>
        <v>5039.3700000000008</v>
      </c>
      <c r="K74" s="42">
        <f>tbl_scenarios[[#This Row],[net_profit_B]]/tbl_raw[[#This Row],[gross_revenue]]</f>
        <v>0.42621643337421244</v>
      </c>
      <c r="L74" s="43">
        <f>tbl_scenarios[[#This Row],[net_margin_B]]-tbl_scenarios[[#This Row],[net_margin_pct]]</f>
        <v>-1.9791094007696186E-3</v>
      </c>
      <c r="M7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74" s="2">
        <f>tbl_raw[[#This Row],[gross_revenue]]*(1-scn_C_price_down)-tbl_raw[[#This Row],[return_loss]]-tbl_raw[[#This Row],[cogs]]-(tbl_raw[[#This Row],[storage_cost]]+tbl_raw[[#This Row],[fulfillment_cost]]+tbl_raw[[#This Row],[freight_cost]])</f>
        <v>4471.5949999999993</v>
      </c>
      <c r="O74" s="42">
        <f>tbl_scenarios[[#This Row],[net_profit_C]]/(tbl_raw[[#This Row],[gross_revenue]]*(1-scn_C_price_down))</f>
        <v>0.39810057134208632</v>
      </c>
      <c r="P74" s="43">
        <f>tbl_scenarios[[#This Row],[net_margin_C]]-tbl_scenarios[[#This Row],[net_margin_pct]]</f>
        <v>-3.0094971432895745E-2</v>
      </c>
      <c r="Q7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7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75" spans="1:18" x14ac:dyDescent="0.35">
      <c r="A75" s="17" t="str">
        <f>tbl_raw[[#This Row],[product_id]]</f>
        <v>dc404a1496a08f9f5540c8b5d4b92925</v>
      </c>
      <c r="B75" t="str">
        <f>tbl_raw[[#This Row],[category]]</f>
        <v>toys</v>
      </c>
      <c r="C75" s="2">
        <f>tbl_profitability[[#This Row],[net_profit]]</f>
        <v>5759.3099999999995</v>
      </c>
      <c r="D75" s="42">
        <f>tbl_profitability[[#This Row],[net_margin_pct]]</f>
        <v>0.49378917134650829</v>
      </c>
      <c r="E75" s="49" t="str">
        <f>tbl_profitability[[#This Row],[decision]]</f>
        <v>SCALE</v>
      </c>
      <c r="F75" s="2">
        <f>tbl_raw[[#This Row],[gross_revenue]]-tbl_raw[[#This Row],[return_loss]]-tbl_raw[[#This Row],[cogs]]*(1+scn_A_cogs_up)-(tbl_raw[[#This Row],[storage_cost]]+tbl_raw[[#This Row],[fulfillment_cost]]+tbl_raw[[#This Row],[freight_cost]])</f>
        <v>5269.4429999999993</v>
      </c>
      <c r="G75" s="42">
        <f>tbl_scenarios[[#This Row],[net_profit_A]]/tbl_raw[[#This Row],[gross_revenue]]</f>
        <v>0.45178917134650826</v>
      </c>
      <c r="H75" s="43">
        <f>tbl_scenarios[[#This Row],[net_margin_A]]-tbl_scenarios[[#This Row],[net_margin_pct]]</f>
        <v>-4.2000000000000037E-2</v>
      </c>
      <c r="I7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75" s="2">
        <f>tbl_raw[[#This Row],[gross_revenue]]-tbl_raw[[#This Row],[return_loss]]*(1+scn_B_returns_up/0.05)-tbl_raw[[#This Row],[cogs]]-(tbl_raw[[#This Row],[storage_cost]]+tbl_raw[[#This Row],[fulfillment_cost]]+tbl_raw[[#This Row],[freight_cost]])</f>
        <v>5745.6299999999992</v>
      </c>
      <c r="K75" s="42">
        <f>tbl_scenarios[[#This Row],[net_profit_B]]/tbl_raw[[#This Row],[gross_revenue]]</f>
        <v>0.49261628156213821</v>
      </c>
      <c r="L75" s="43">
        <f>tbl_scenarios[[#This Row],[net_margin_B]]-tbl_scenarios[[#This Row],[net_margin_pct]]</f>
        <v>-1.1728897843700792E-3</v>
      </c>
      <c r="M7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75" s="2">
        <f>tbl_raw[[#This Row],[gross_revenue]]*(1-scn_C_price_down)-tbl_raw[[#This Row],[return_loss]]-tbl_raw[[#This Row],[cogs]]-(tbl_raw[[#This Row],[storage_cost]]+tbl_raw[[#This Row],[fulfillment_cost]]+tbl_raw[[#This Row],[freight_cost]])</f>
        <v>5176.1349999999984</v>
      </c>
      <c r="O75" s="42">
        <f>tbl_scenarios[[#This Row],[net_profit_C]]/(tbl_raw[[#This Row],[gross_revenue]]*(1-scn_C_price_down))</f>
        <v>0.46714649615421922</v>
      </c>
      <c r="P75" s="43">
        <f>tbl_scenarios[[#This Row],[net_margin_C]]-tbl_scenarios[[#This Row],[net_margin_pct]]</f>
        <v>-2.6642675192289078E-2</v>
      </c>
      <c r="Q7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7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76" spans="1:18" x14ac:dyDescent="0.35">
      <c r="A76" s="17" t="str">
        <f>tbl_raw[[#This Row],[product_id]]</f>
        <v>36f60d45225e60c7da4558b070ce4b60</v>
      </c>
      <c r="B76" t="str">
        <f>tbl_raw[[#This Row],[category]]</f>
        <v>computers_accessories</v>
      </c>
      <c r="C76" s="2">
        <f>tbl_profitability[[#This Row],[net_profit]]</f>
        <v>1746.3099999999995</v>
      </c>
      <c r="D76" s="42">
        <f>tbl_profitability[[#This Row],[net_margin_pct]]</f>
        <v>0.15535238983147343</v>
      </c>
      <c r="E76" s="49" t="str">
        <f>tbl_profitability[[#This Row],[decision]]</f>
        <v>OPTIMIZE</v>
      </c>
      <c r="F76" s="2">
        <f>tbl_raw[[#This Row],[gross_revenue]]-tbl_raw[[#This Row],[return_loss]]-tbl_raw[[#This Row],[cogs]]*(1+scn_A_cogs_up)-(tbl_raw[[#This Row],[storage_cost]]+tbl_raw[[#This Row],[fulfillment_cost]]+tbl_raw[[#This Row],[freight_cost]])</f>
        <v>1105.5749999999989</v>
      </c>
      <c r="G76" s="42">
        <f>tbl_scenarios[[#This Row],[net_profit_A]]/tbl_raw[[#This Row],[gross_revenue]]</f>
        <v>9.8352364922568797E-2</v>
      </c>
      <c r="H76" s="43">
        <f>tbl_scenarios[[#This Row],[net_margin_A]]-tbl_scenarios[[#This Row],[net_margin_pct]]</f>
        <v>-5.7000024908904628E-2</v>
      </c>
      <c r="I76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76" s="2">
        <f>tbl_raw[[#This Row],[gross_revenue]]-tbl_raw[[#This Row],[return_loss]]*(1+scn_B_returns_up/0.05)-tbl_raw[[#This Row],[cogs]]-(tbl_raw[[#This Row],[storage_cost]]+tbl_raw[[#This Row],[fulfillment_cost]]+tbl_raw[[#This Row],[freight_cost]])</f>
        <v>1632.0099999999984</v>
      </c>
      <c r="K76" s="42">
        <f>tbl_scenarios[[#This Row],[net_profit_B]]/tbl_raw[[#This Row],[gross_revenue]]</f>
        <v>0.14518421914142551</v>
      </c>
      <c r="L76" s="43">
        <f>tbl_scenarios[[#This Row],[net_margin_B]]-tbl_scenarios[[#This Row],[net_margin_pct]]</f>
        <v>-1.0168170690047912E-2</v>
      </c>
      <c r="M7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76" s="2">
        <f>tbl_raw[[#This Row],[gross_revenue]]*(1-scn_C_price_down)-tbl_raw[[#This Row],[return_loss]]-tbl_raw[[#This Row],[cogs]]-(tbl_raw[[#This Row],[storage_cost]]+tbl_raw[[#This Row],[fulfillment_cost]]+tbl_raw[[#This Row],[freight_cost]])</f>
        <v>1184.2619999999988</v>
      </c>
      <c r="O76" s="42">
        <f>tbl_scenarios[[#This Row],[net_profit_C]]/(tbl_raw[[#This Row],[gross_revenue]]*(1-scn_C_price_down))</f>
        <v>0.1108972524541825</v>
      </c>
      <c r="P76" s="43">
        <f>tbl_scenarios[[#This Row],[net_margin_C]]-tbl_scenarios[[#This Row],[net_margin_pct]]</f>
        <v>-4.4455137377290926E-2</v>
      </c>
      <c r="Q7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7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77" spans="1:18" x14ac:dyDescent="0.35">
      <c r="A77" s="17" t="str">
        <f>tbl_raw[[#This Row],[product_id]]</f>
        <v>2ffdf10e724b958c0f7ea69e97d32f64</v>
      </c>
      <c r="B77" t="str">
        <f>tbl_raw[[#This Row],[category]]</f>
        <v>watches_gifts</v>
      </c>
      <c r="C77" s="2">
        <f>tbl_profitability[[#This Row],[net_profit]]</f>
        <v>5030.2300000000014</v>
      </c>
      <c r="D77" s="42">
        <f>tbl_profitability[[#This Row],[net_margin_pct]]</f>
        <v>0.46078724144880284</v>
      </c>
      <c r="E77" s="49" t="str">
        <f>tbl_profitability[[#This Row],[decision]]</f>
        <v>OPTIMIZE</v>
      </c>
      <c r="F77" s="2">
        <f>tbl_raw[[#This Row],[gross_revenue]]-tbl_raw[[#This Row],[return_loss]]-tbl_raw[[#This Row],[cogs]]*(1+scn_A_cogs_up)-(tbl_raw[[#This Row],[storage_cost]]+tbl_raw[[#This Row],[fulfillment_cost]]+tbl_raw[[#This Row],[freight_cost]])</f>
        <v>4571.7330000000002</v>
      </c>
      <c r="G77" s="42">
        <f>tbl_scenarios[[#This Row],[net_profit_A]]/tbl_raw[[#This Row],[gross_revenue]]</f>
        <v>0.4187872597695253</v>
      </c>
      <c r="H77" s="43">
        <f>tbl_scenarios[[#This Row],[net_margin_A]]-tbl_scenarios[[#This Row],[net_margin_pct]]</f>
        <v>-4.1999981679277543E-2</v>
      </c>
      <c r="I7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77" s="2">
        <f>tbl_raw[[#This Row],[gross_revenue]]-tbl_raw[[#This Row],[return_loss]]*(1+scn_B_returns_up/0.05)-tbl_raw[[#This Row],[cogs]]-(tbl_raw[[#This Row],[storage_cost]]+tbl_raw[[#This Row],[fulfillment_cost]]+tbl_raw[[#This Row],[freight_cost]])</f>
        <v>5011.51</v>
      </c>
      <c r="K77" s="42">
        <f>tbl_scenarios[[#This Row],[net_profit_B]]/tbl_raw[[#This Row],[gross_revenue]]</f>
        <v>0.45907242181631647</v>
      </c>
      <c r="L77" s="43">
        <f>tbl_scenarios[[#This Row],[net_margin_B]]-tbl_scenarios[[#This Row],[net_margin_pct]]</f>
        <v>-1.7148196324863751E-3</v>
      </c>
      <c r="M7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77" s="2">
        <f>tbl_raw[[#This Row],[gross_revenue]]*(1-scn_C_price_down)-tbl_raw[[#This Row],[return_loss]]-tbl_raw[[#This Row],[cogs]]-(tbl_raw[[#This Row],[storage_cost]]+tbl_raw[[#This Row],[fulfillment_cost]]+tbl_raw[[#This Row],[freight_cost]])</f>
        <v>4484.4000000000015</v>
      </c>
      <c r="O77" s="42">
        <f>tbl_scenarios[[#This Row],[net_profit_C]]/(tbl_raw[[#This Row],[gross_revenue]]*(1-scn_C_price_down))</f>
        <v>0.43240762257768722</v>
      </c>
      <c r="P77" s="43">
        <f>tbl_scenarios[[#This Row],[net_margin_C]]-tbl_scenarios[[#This Row],[net_margin_pct]]</f>
        <v>-2.8379618871115619E-2</v>
      </c>
      <c r="Q7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7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78" spans="1:18" x14ac:dyDescent="0.35">
      <c r="A78" s="17" t="str">
        <f>tbl_raw[[#This Row],[product_id]]</f>
        <v>42a2c92a0979a949ca4ea89ec5c7b934</v>
      </c>
      <c r="B78" t="str">
        <f>tbl_raw[[#This Row],[category]]</f>
        <v>housewares</v>
      </c>
      <c r="C78" s="2">
        <f>tbl_profitability[[#This Row],[net_profit]]</f>
        <v>1072.0600000000013</v>
      </c>
      <c r="D78" s="42">
        <f>tbl_profitability[[#This Row],[net_margin_pct]]</f>
        <v>9.8624667666350932E-2</v>
      </c>
      <c r="E78" s="49" t="str">
        <f>tbl_profitability[[#This Row],[decision]]</f>
        <v>EXIT</v>
      </c>
      <c r="F78" s="2">
        <f>tbl_raw[[#This Row],[gross_revenue]]-tbl_raw[[#This Row],[return_loss]]-tbl_raw[[#This Row],[cogs]]*(1+scn_A_cogs_up)-(tbl_raw[[#This Row],[storage_cost]]+tbl_raw[[#This Row],[fulfillment_cost]]+tbl_raw[[#This Row],[freight_cost]])</f>
        <v>582.90600000000086</v>
      </c>
      <c r="G78" s="42">
        <f>tbl_scenarios[[#This Row],[net_profit_A]]/tbl_raw[[#This Row],[gross_revenue]]</f>
        <v>5.3624713664087803E-2</v>
      </c>
      <c r="H78" s="43">
        <f>tbl_scenarios[[#This Row],[net_margin_A]]-tbl_scenarios[[#This Row],[net_margin_pct]]</f>
        <v>-4.4999954002263129E-2</v>
      </c>
      <c r="I78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78" s="2">
        <f>tbl_raw[[#This Row],[gross_revenue]]-tbl_raw[[#This Row],[return_loss]]*(1+scn_B_returns_up/0.05)-tbl_raw[[#This Row],[cogs]]-(tbl_raw[[#This Row],[storage_cost]]+tbl_raw[[#This Row],[fulfillment_cost]]+tbl_raw[[#This Row],[freight_cost]])</f>
        <v>1006.1800000000003</v>
      </c>
      <c r="K78" s="42">
        <f>tbl_scenarios[[#This Row],[net_profit_B]]/tbl_raw[[#This Row],[gross_revenue]]</f>
        <v>9.2564005850912165E-2</v>
      </c>
      <c r="L78" s="43">
        <f>tbl_scenarios[[#This Row],[net_margin_B]]-tbl_scenarios[[#This Row],[net_margin_pct]]</f>
        <v>-6.060661815438767E-3</v>
      </c>
      <c r="M78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78" s="2">
        <f>tbl_raw[[#This Row],[gross_revenue]]*(1-scn_C_price_down)-tbl_raw[[#This Row],[return_loss]]-tbl_raw[[#This Row],[cogs]]-(tbl_raw[[#This Row],[storage_cost]]+tbl_raw[[#This Row],[fulfillment_cost]]+tbl_raw[[#This Row],[freight_cost]])</f>
        <v>528.55500000000029</v>
      </c>
      <c r="O78" s="42">
        <f>tbl_scenarios[[#This Row],[net_profit_C]]/(tbl_raw[[#This Row],[gross_revenue]]*(1-scn_C_price_down))</f>
        <v>5.1183860701421946E-2</v>
      </c>
      <c r="P78" s="43">
        <f>tbl_scenarios[[#This Row],[net_margin_C]]-tbl_scenarios[[#This Row],[net_margin_pct]]</f>
        <v>-4.7440806964928986E-2</v>
      </c>
      <c r="Q78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7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79" spans="1:18" x14ac:dyDescent="0.35">
      <c r="A79" s="17" t="str">
        <f>tbl_raw[[#This Row],[product_id]]</f>
        <v>afeeea6271148ee1bb15173b8187c431</v>
      </c>
      <c r="B79" t="str">
        <f>tbl_raw[[#This Row],[category]]</f>
        <v>telephony</v>
      </c>
      <c r="C79" s="2">
        <f>tbl_profitability[[#This Row],[net_profit]]</f>
        <v>3245.8999999999996</v>
      </c>
      <c r="D79" s="42">
        <f>tbl_profitability[[#This Row],[net_margin_pct]]</f>
        <v>0.29904773486933989</v>
      </c>
      <c r="E79" s="49" t="str">
        <f>tbl_profitability[[#This Row],[decision]]</f>
        <v>SCALE</v>
      </c>
      <c r="F79" s="2">
        <f>tbl_raw[[#This Row],[gross_revenue]]-tbl_raw[[#This Row],[return_loss]]-tbl_raw[[#This Row],[cogs]]*(1+scn_A_cogs_up)-(tbl_raw[[#This Row],[storage_cost]]+tbl_raw[[#This Row],[fulfillment_cost]]+tbl_raw[[#This Row],[freight_cost]])</f>
        <v>2627.2149999999992</v>
      </c>
      <c r="G79" s="42">
        <f>tbl_scenarios[[#This Row],[net_profit_A]]/tbl_raw[[#This Row],[gross_revenue]]</f>
        <v>0.24204772012839357</v>
      </c>
      <c r="H79" s="43">
        <f>tbl_scenarios[[#This Row],[net_margin_A]]-tbl_scenarios[[#This Row],[net_margin_pct]]</f>
        <v>-5.700001474094632E-2</v>
      </c>
      <c r="I79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79" s="2">
        <f>tbl_raw[[#This Row],[gross_revenue]]-tbl_raw[[#This Row],[return_loss]]*(1+scn_B_returns_up/0.05)-tbl_raw[[#This Row],[cogs]]-(tbl_raw[[#This Row],[storage_cost]]+tbl_raw[[#This Row],[fulfillment_cost]]+tbl_raw[[#This Row],[freight_cost]])</f>
        <v>3198.2000000000007</v>
      </c>
      <c r="K79" s="42">
        <f>tbl_scenarios[[#This Row],[net_profit_B]]/tbl_raw[[#This Row],[gross_revenue]]</f>
        <v>0.29465309025512898</v>
      </c>
      <c r="L79" s="43">
        <f>tbl_scenarios[[#This Row],[net_margin_B]]-tbl_scenarios[[#This Row],[net_margin_pct]]</f>
        <v>-4.3946446142109075E-3</v>
      </c>
      <c r="M7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79" s="2">
        <f>tbl_raw[[#This Row],[gross_revenue]]*(1-scn_C_price_down)-tbl_raw[[#This Row],[return_loss]]-tbl_raw[[#This Row],[cogs]]-(tbl_raw[[#This Row],[storage_cost]]+tbl_raw[[#This Row],[fulfillment_cost]]+tbl_raw[[#This Row],[freight_cost]])</f>
        <v>2703.1939999999995</v>
      </c>
      <c r="O79" s="42">
        <f>tbl_scenarios[[#This Row],[net_profit_C]]/(tbl_raw[[#This Row],[gross_revenue]]*(1-scn_C_price_down))</f>
        <v>0.26215551038877882</v>
      </c>
      <c r="P79" s="43">
        <f>tbl_scenarios[[#This Row],[net_margin_C]]-tbl_scenarios[[#This Row],[net_margin_pct]]</f>
        <v>-3.6892224480561064E-2</v>
      </c>
      <c r="Q7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7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80" spans="1:18" x14ac:dyDescent="0.35">
      <c r="A80" s="17" t="str">
        <f>tbl_raw[[#This Row],[product_id]]</f>
        <v>ddceb6eef6af67e9fbbd4c148dbe5fd9</v>
      </c>
      <c r="B80" t="str">
        <f>tbl_raw[[#This Row],[category]]</f>
        <v>cool_stuff</v>
      </c>
      <c r="C80" s="2">
        <f>tbl_profitability[[#This Row],[net_profit]]</f>
        <v>4301.0399999999991</v>
      </c>
      <c r="D80" s="42">
        <f>tbl_profitability[[#This Row],[net_margin_pct]]</f>
        <v>0.39715117551407092</v>
      </c>
      <c r="E80" s="49" t="str">
        <f>tbl_profitability[[#This Row],[decision]]</f>
        <v>SCALE</v>
      </c>
      <c r="F80" s="2">
        <f>tbl_raw[[#This Row],[gross_revenue]]-tbl_raw[[#This Row],[return_loss]]-tbl_raw[[#This Row],[cogs]]*(1+scn_A_cogs_up)-(tbl_raw[[#This Row],[storage_cost]]+tbl_raw[[#This Row],[fulfillment_cost]]+tbl_raw[[#This Row],[freight_cost]])</f>
        <v>3813.7019999999984</v>
      </c>
      <c r="G80" s="42">
        <f>tbl_scenarios[[#This Row],[net_profit_A]]/tbl_raw[[#This Row],[gross_revenue]]</f>
        <v>0.35215116166331001</v>
      </c>
      <c r="H80" s="43">
        <f>tbl_scenarios[[#This Row],[net_margin_A]]-tbl_scenarios[[#This Row],[net_margin_pct]]</f>
        <v>-4.5000013850760912E-2</v>
      </c>
      <c r="I8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80" s="2">
        <f>tbl_raw[[#This Row],[gross_revenue]]-tbl_raw[[#This Row],[return_loss]]*(1+scn_B_returns_up/0.05)-tbl_raw[[#This Row],[cogs]]-(tbl_raw[[#This Row],[storage_cost]]+tbl_raw[[#This Row],[fulfillment_cost]]+tbl_raw[[#This Row],[freight_cost]])</f>
        <v>4282.68</v>
      </c>
      <c r="K80" s="42">
        <f>tbl_scenarios[[#This Row],[net_profit_B]]/tbl_raw[[#This Row],[gross_revenue]]</f>
        <v>0.3954558423894225</v>
      </c>
      <c r="L80" s="43">
        <f>tbl_scenarios[[#This Row],[net_margin_B]]-tbl_scenarios[[#This Row],[net_margin_pct]]</f>
        <v>-1.6953331246484238E-3</v>
      </c>
      <c r="M8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80" s="2">
        <f>tbl_raw[[#This Row],[gross_revenue]]*(1-scn_C_price_down)-tbl_raw[[#This Row],[return_loss]]-tbl_raw[[#This Row],[cogs]]-(tbl_raw[[#This Row],[storage_cost]]+tbl_raw[[#This Row],[fulfillment_cost]]+tbl_raw[[#This Row],[freight_cost]])</f>
        <v>3759.5534999999982</v>
      </c>
      <c r="O80" s="42">
        <f>tbl_scenarios[[#This Row],[net_profit_C]]/(tbl_raw[[#This Row],[gross_revenue]]*(1-scn_C_price_down))</f>
        <v>0.36542229001481141</v>
      </c>
      <c r="P80" s="43">
        <f>tbl_scenarios[[#This Row],[net_margin_C]]-tbl_scenarios[[#This Row],[net_margin_pct]]</f>
        <v>-3.1728885499259507E-2</v>
      </c>
      <c r="Q8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8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81" spans="1:18" x14ac:dyDescent="0.35">
      <c r="A81" s="17" t="str">
        <f>tbl_raw[[#This Row],[product_id]]</f>
        <v>4fe644d766c7566dbc46fb851363cb3b</v>
      </c>
      <c r="B81" t="str">
        <f>tbl_raw[[#This Row],[category]]</f>
        <v>art</v>
      </c>
      <c r="C81" s="2">
        <f>tbl_profitability[[#This Row],[net_profit]]</f>
        <v>3864.2099999999991</v>
      </c>
      <c r="D81" s="42">
        <f>tbl_profitability[[#This Row],[net_margin_pct]]</f>
        <v>0.35767402339194271</v>
      </c>
      <c r="E81" s="49" t="str">
        <f>tbl_profitability[[#This Row],[decision]]</f>
        <v>OPTIMIZE</v>
      </c>
      <c r="F81" s="2">
        <f>tbl_raw[[#This Row],[gross_revenue]]-tbl_raw[[#This Row],[return_loss]]-tbl_raw[[#This Row],[cogs]]*(1+scn_A_cogs_up)-(tbl_raw[[#This Row],[storage_cost]]+tbl_raw[[#This Row],[fulfillment_cost]]+tbl_raw[[#This Row],[freight_cost]])</f>
        <v>3432.0609999999988</v>
      </c>
      <c r="G81" s="42">
        <f>tbl_scenarios[[#This Row],[net_profit_A]]/tbl_raw[[#This Row],[gross_revenue]]</f>
        <v>0.31767400487980058</v>
      </c>
      <c r="H81" s="43">
        <f>tbl_scenarios[[#This Row],[net_margin_A]]-tbl_scenarios[[#This Row],[net_margin_pct]]</f>
        <v>-4.0000018512142133E-2</v>
      </c>
      <c r="I8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81" s="2">
        <f>tbl_raw[[#This Row],[gross_revenue]]-tbl_raw[[#This Row],[return_loss]]*(1+scn_B_returns_up/0.05)-tbl_raw[[#This Row],[cogs]]-(tbl_raw[[#This Row],[storage_cost]]+tbl_raw[[#This Row],[fulfillment_cost]]+tbl_raw[[#This Row],[freight_cost]])</f>
        <v>3825.6899999999987</v>
      </c>
      <c r="K81" s="42">
        <f>tbl_scenarios[[#This Row],[net_profit_B]]/tbl_raw[[#This Row],[gross_revenue]]</f>
        <v>0.35410858482078383</v>
      </c>
      <c r="L81" s="43">
        <f>tbl_scenarios[[#This Row],[net_margin_B]]-tbl_scenarios[[#This Row],[net_margin_pct]]</f>
        <v>-3.5654385711588743E-3</v>
      </c>
      <c r="M8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81" s="2">
        <f>tbl_raw[[#This Row],[gross_revenue]]*(1-scn_C_price_down)-tbl_raw[[#This Row],[return_loss]]-tbl_raw[[#This Row],[cogs]]-(tbl_raw[[#This Row],[storage_cost]]+tbl_raw[[#This Row],[fulfillment_cost]]+tbl_raw[[#This Row],[freight_cost]])</f>
        <v>3324.0239999999994</v>
      </c>
      <c r="O81" s="42">
        <f>tbl_scenarios[[#This Row],[net_profit_C]]/(tbl_raw[[#This Row],[gross_revenue]]*(1-scn_C_price_down))</f>
        <v>0.32386739304415024</v>
      </c>
      <c r="P81" s="43">
        <f>tbl_scenarios[[#This Row],[net_margin_C]]-tbl_scenarios[[#This Row],[net_margin_pct]]</f>
        <v>-3.3806630347792466E-2</v>
      </c>
      <c r="Q8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8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82" spans="1:18" x14ac:dyDescent="0.35">
      <c r="A82" s="17" t="str">
        <f>tbl_raw[[#This Row],[product_id]]</f>
        <v>f22c9d6ce2431ff939aad39e026cc7ef</v>
      </c>
      <c r="B82" t="str">
        <f>tbl_raw[[#This Row],[category]]</f>
        <v>auto</v>
      </c>
      <c r="C82" s="2">
        <f>tbl_profitability[[#This Row],[net_profit]]</f>
        <v>5507.0700000000006</v>
      </c>
      <c r="D82" s="42">
        <f>tbl_profitability[[#This Row],[net_margin_pct]]</f>
        <v>0.50995638525432674</v>
      </c>
      <c r="E82" s="49" t="str">
        <f>tbl_profitability[[#This Row],[decision]]</f>
        <v>SCALE</v>
      </c>
      <c r="F82" s="2">
        <f>tbl_raw[[#This Row],[gross_revenue]]-tbl_raw[[#This Row],[return_loss]]-tbl_raw[[#This Row],[cogs]]*(1+scn_A_cogs_up)-(tbl_raw[[#This Row],[storage_cost]]+tbl_raw[[#This Row],[fulfillment_cost]]+tbl_raw[[#This Row],[freight_cost]])</f>
        <v>5021.1100000000006</v>
      </c>
      <c r="G82" s="42">
        <f>tbl_scenarios[[#This Row],[net_profit_A]]/tbl_raw[[#This Row],[gross_revenue]]</f>
        <v>0.46495633895417215</v>
      </c>
      <c r="H82" s="43">
        <f>tbl_scenarios[[#This Row],[net_margin_A]]-tbl_scenarios[[#This Row],[net_margin_pct]]</f>
        <v>-4.5000046300154584E-2</v>
      </c>
      <c r="I8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82" s="2">
        <f>tbl_raw[[#This Row],[gross_revenue]]-tbl_raw[[#This Row],[return_loss]]*(1+scn_B_returns_up/0.05)-tbl_raw[[#This Row],[cogs]]-(tbl_raw[[#This Row],[storage_cost]]+tbl_raw[[#This Row],[fulfillment_cost]]+tbl_raw[[#This Row],[freight_cost]])</f>
        <v>5503.8300000000008</v>
      </c>
      <c r="K82" s="42">
        <f>tbl_scenarios[[#This Row],[net_profit_B]]/tbl_raw[[#This Row],[gross_revenue]]</f>
        <v>0.50965636025224326</v>
      </c>
      <c r="L82" s="43">
        <f>tbl_scenarios[[#This Row],[net_margin_B]]-tbl_scenarios[[#This Row],[net_margin_pct]]</f>
        <v>-3.000250020834816E-4</v>
      </c>
      <c r="M8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82" s="2">
        <f>tbl_raw[[#This Row],[gross_revenue]]*(1-scn_C_price_down)-tbl_raw[[#This Row],[return_loss]]-tbl_raw[[#This Row],[cogs]]-(tbl_raw[[#This Row],[storage_cost]]+tbl_raw[[#This Row],[fulfillment_cost]]+tbl_raw[[#This Row],[freight_cost]])</f>
        <v>4967.1150000000007</v>
      </c>
      <c r="O82" s="42">
        <f>tbl_scenarios[[#This Row],[net_profit_C]]/(tbl_raw[[#This Row],[gross_revenue]]*(1-scn_C_price_down))</f>
        <v>0.48416461605718608</v>
      </c>
      <c r="P82" s="43">
        <f>tbl_scenarios[[#This Row],[net_margin_C]]-tbl_scenarios[[#This Row],[net_margin_pct]]</f>
        <v>-2.5791769197140657E-2</v>
      </c>
      <c r="Q8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8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83" spans="1:18" x14ac:dyDescent="0.35">
      <c r="A83" s="17" t="str">
        <f>tbl_raw[[#This Row],[product_id]]</f>
        <v>08574b074924071f4e201e151b152b4e</v>
      </c>
      <c r="B83" t="str">
        <f>tbl_raw[[#This Row],[category]]</f>
        <v>garden_tools</v>
      </c>
      <c r="C83" s="2">
        <f>tbl_profitability[[#This Row],[net_profit]]</f>
        <v>-118.60000000000036</v>
      </c>
      <c r="D83" s="42">
        <f>tbl_profitability[[#This Row],[net_margin_pct]]</f>
        <v>-1.1023021943806787E-2</v>
      </c>
      <c r="E83" s="49" t="str">
        <f>tbl_profitability[[#This Row],[decision]]</f>
        <v>EXIT</v>
      </c>
      <c r="F83" s="2">
        <f>tbl_raw[[#This Row],[gross_revenue]]-tbl_raw[[#This Row],[return_loss]]-tbl_raw[[#This Row],[cogs]]*(1+scn_A_cogs_up)-(tbl_raw[[#This Row],[storage_cost]]+tbl_raw[[#This Row],[fulfillment_cost]]+tbl_raw[[#This Row],[freight_cost]])</f>
        <v>-602.76900000000114</v>
      </c>
      <c r="G83" s="42">
        <f>tbl_scenarios[[#This Row],[net_profit_A]]/tbl_raw[[#This Row],[gross_revenue]]</f>
        <v>-5.6023068415231587E-2</v>
      </c>
      <c r="H83" s="43">
        <f>tbl_scenarios[[#This Row],[net_margin_A]]-tbl_scenarios[[#This Row],[net_margin_pct]]</f>
        <v>-4.5000046471424804E-2</v>
      </c>
      <c r="I83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83" s="2">
        <f>tbl_raw[[#This Row],[gross_revenue]]-tbl_raw[[#This Row],[return_loss]]*(1+scn_B_returns_up/0.05)-tbl_raw[[#This Row],[cogs]]-(tbl_raw[[#This Row],[storage_cost]]+tbl_raw[[#This Row],[fulfillment_cost]]+tbl_raw[[#This Row],[freight_cost]])</f>
        <v>-159.28000000000065</v>
      </c>
      <c r="K83" s="42">
        <f>tbl_scenarios[[#This Row],[net_profit_B]]/tbl_raw[[#This Row],[gross_revenue]]</f>
        <v>-1.4803937059102421E-2</v>
      </c>
      <c r="L83" s="43">
        <f>tbl_scenarios[[#This Row],[net_margin_B]]-tbl_scenarios[[#This Row],[net_margin_pct]]</f>
        <v>-3.7809151152956334E-3</v>
      </c>
      <c r="M83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83" s="2">
        <f>tbl_raw[[#This Row],[gross_revenue]]*(1-scn_C_price_down)-tbl_raw[[#This Row],[return_loss]]-tbl_raw[[#This Row],[cogs]]-(tbl_raw[[#This Row],[storage_cost]]+tbl_raw[[#This Row],[fulfillment_cost]]+tbl_raw[[#This Row],[freight_cost]])</f>
        <v>-656.56500000000051</v>
      </c>
      <c r="O83" s="42">
        <f>tbl_scenarios[[#This Row],[net_profit_C]]/(tbl_raw[[#This Row],[gross_revenue]]*(1-scn_C_price_down))</f>
        <v>-6.4234759940849276E-2</v>
      </c>
      <c r="P83" s="43">
        <f>tbl_scenarios[[#This Row],[net_margin_C]]-tbl_scenarios[[#This Row],[net_margin_pct]]</f>
        <v>-5.3211737997042485E-2</v>
      </c>
      <c r="Q83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8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84" spans="1:18" x14ac:dyDescent="0.35">
      <c r="A84" s="17" t="str">
        <f>tbl_raw[[#This Row],[product_id]]</f>
        <v>cc971e0365873137b8bef2ebad633e6f</v>
      </c>
      <c r="B84" t="str">
        <f>tbl_raw[[#This Row],[category]]</f>
        <v>cool_stuff</v>
      </c>
      <c r="C84" s="2">
        <f>tbl_profitability[[#This Row],[net_profit]]</f>
        <v>4673.9000000000015</v>
      </c>
      <c r="D84" s="42">
        <f>tbl_profitability[[#This Row],[net_margin_pct]]</f>
        <v>0.43642397339194783</v>
      </c>
      <c r="E84" s="49" t="str">
        <f>tbl_profitability[[#This Row],[decision]]</f>
        <v>SCALE</v>
      </c>
      <c r="F84" s="2">
        <f>tbl_raw[[#This Row],[gross_revenue]]-tbl_raw[[#This Row],[return_loss]]-tbl_raw[[#This Row],[cogs]]*(1+scn_A_cogs_up)-(tbl_raw[[#This Row],[storage_cost]]+tbl_raw[[#This Row],[fulfillment_cost]]+tbl_raw[[#This Row],[freight_cost]])</f>
        <v>4191.9710000000014</v>
      </c>
      <c r="G84" s="42">
        <f>tbl_scenarios[[#This Row],[net_profit_A]]/tbl_raw[[#This Row],[gross_revenue]]</f>
        <v>0.39142400140435546</v>
      </c>
      <c r="H84" s="43">
        <f>tbl_scenarios[[#This Row],[net_margin_A]]-tbl_scenarios[[#This Row],[net_margin_pct]]</f>
        <v>-4.4999971987592369E-2</v>
      </c>
      <c r="I8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84" s="2">
        <f>tbl_raw[[#This Row],[gross_revenue]]-tbl_raw[[#This Row],[return_loss]]*(1+scn_B_returns_up/0.05)-tbl_raw[[#This Row],[cogs]]-(tbl_raw[[#This Row],[storage_cost]]+tbl_raw[[#This Row],[fulfillment_cost]]+tbl_raw[[#This Row],[freight_cost]])</f>
        <v>4657.34</v>
      </c>
      <c r="K84" s="42">
        <f>tbl_scenarios[[#This Row],[net_profit_B]]/tbl_raw[[#This Row],[gross_revenue]]</f>
        <v>0.4348776884908222</v>
      </c>
      <c r="L84" s="43">
        <f>tbl_scenarios[[#This Row],[net_margin_B]]-tbl_scenarios[[#This Row],[net_margin_pct]]</f>
        <v>-1.5462849011256274E-3</v>
      </c>
      <c r="M8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84" s="2">
        <f>tbl_raw[[#This Row],[gross_revenue]]*(1-scn_C_price_down)-tbl_raw[[#This Row],[return_loss]]-tbl_raw[[#This Row],[cogs]]-(tbl_raw[[#This Row],[storage_cost]]+tbl_raw[[#This Row],[fulfillment_cost]]+tbl_raw[[#This Row],[freight_cost]])</f>
        <v>4138.4230000000007</v>
      </c>
      <c r="O84" s="42">
        <f>tbl_scenarios[[#This Row],[net_profit_C]]/(tbl_raw[[#This Row],[gross_revenue]]*(1-scn_C_price_down))</f>
        <v>0.40676207725468189</v>
      </c>
      <c r="P84" s="43">
        <f>tbl_scenarios[[#This Row],[net_margin_C]]-tbl_scenarios[[#This Row],[net_margin_pct]]</f>
        <v>-2.9661896137265942E-2</v>
      </c>
      <c r="Q8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8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85" spans="1:18" x14ac:dyDescent="0.35">
      <c r="A85" s="17" t="str">
        <f>tbl_raw[[#This Row],[product_id]]</f>
        <v>9c5cec867c62c0ec4674b002eb1c3e0c</v>
      </c>
      <c r="B85" t="str">
        <f>tbl_raw[[#This Row],[category]]</f>
        <v>home_appliances</v>
      </c>
      <c r="C85" s="2">
        <f>tbl_profitability[[#This Row],[net_profit]]</f>
        <v>3607.6199999999994</v>
      </c>
      <c r="D85" s="42">
        <f>tbl_profitability[[#This Row],[net_margin_pct]]</f>
        <v>0.34227893738140414</v>
      </c>
      <c r="E85" s="49" t="str">
        <f>tbl_profitability[[#This Row],[decision]]</f>
        <v>SCALE</v>
      </c>
      <c r="F85" s="2">
        <f>tbl_raw[[#This Row],[gross_revenue]]-tbl_raw[[#This Row],[return_loss]]-tbl_raw[[#This Row],[cogs]]*(1+scn_A_cogs_up)-(tbl_raw[[#This Row],[storage_cost]]+tbl_raw[[#This Row],[fulfillment_cost]]+tbl_raw[[#This Row],[freight_cost]])</f>
        <v>3006.8399999999988</v>
      </c>
      <c r="G85" s="42">
        <f>tbl_scenarios[[#This Row],[net_profit_A]]/tbl_raw[[#This Row],[gross_revenue]]</f>
        <v>0.28527893738140409</v>
      </c>
      <c r="H85" s="43">
        <f>tbl_scenarios[[#This Row],[net_margin_A]]-tbl_scenarios[[#This Row],[net_margin_pct]]</f>
        <v>-5.7000000000000051E-2</v>
      </c>
      <c r="I8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85" s="2">
        <f>tbl_raw[[#This Row],[gross_revenue]]-tbl_raw[[#This Row],[return_loss]]*(1+scn_B_returns_up/0.05)-tbl_raw[[#This Row],[cogs]]-(tbl_raw[[#This Row],[storage_cost]]+tbl_raw[[#This Row],[fulfillment_cost]]+tbl_raw[[#This Row],[freight_cost]])</f>
        <v>3604.0199999999991</v>
      </c>
      <c r="K85" s="42">
        <f>tbl_scenarios[[#This Row],[net_profit_B]]/tbl_raw[[#This Row],[gross_revenue]]</f>
        <v>0.34193738140417451</v>
      </c>
      <c r="L85" s="43">
        <f>tbl_scenarios[[#This Row],[net_margin_B]]-tbl_scenarios[[#This Row],[net_margin_pct]]</f>
        <v>-3.4155597722962394E-4</v>
      </c>
      <c r="M8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85" s="2">
        <f>tbl_raw[[#This Row],[gross_revenue]]*(1-scn_C_price_down)-tbl_raw[[#This Row],[return_loss]]-tbl_raw[[#This Row],[cogs]]-(tbl_raw[[#This Row],[storage_cost]]+tbl_raw[[#This Row],[fulfillment_cost]]+tbl_raw[[#This Row],[freight_cost]])</f>
        <v>3080.6199999999994</v>
      </c>
      <c r="O85" s="42">
        <f>tbl_scenarios[[#This Row],[net_profit_C]]/(tbl_raw[[#This Row],[gross_revenue]]*(1-scn_C_price_down))</f>
        <v>0.30766203934884645</v>
      </c>
      <c r="P85" s="43">
        <f>tbl_scenarios[[#This Row],[net_margin_C]]-tbl_scenarios[[#This Row],[net_margin_pct]]</f>
        <v>-3.4616898032557686E-2</v>
      </c>
      <c r="Q8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8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86" spans="1:18" x14ac:dyDescent="0.35">
      <c r="A86" s="17" t="str">
        <f>tbl_raw[[#This Row],[product_id]]</f>
        <v>19936fa4f614ee0590d3b77ac83fd648</v>
      </c>
      <c r="B86" t="str">
        <f>tbl_raw[[#This Row],[category]]</f>
        <v>fixed_telephony</v>
      </c>
      <c r="C86" s="2">
        <f>tbl_profitability[[#This Row],[net_profit]]</f>
        <v>4305.2800000000007</v>
      </c>
      <c r="D86" s="42">
        <f>tbl_profitability[[#This Row],[net_margin_pct]]</f>
        <v>0.4115946462715106</v>
      </c>
      <c r="E86" s="49" t="str">
        <f>tbl_profitability[[#This Row],[decision]]</f>
        <v>EXIT</v>
      </c>
      <c r="F86" s="2">
        <f>tbl_raw[[#This Row],[gross_revenue]]-tbl_raw[[#This Row],[return_loss]]-tbl_raw[[#This Row],[cogs]]*(1+scn_A_cogs_up)-(tbl_raw[[#This Row],[storage_cost]]+tbl_raw[[#This Row],[fulfillment_cost]]+tbl_raw[[#This Row],[freight_cost]])</f>
        <v>3709.0600000000004</v>
      </c>
      <c r="G86" s="42">
        <f>tbl_scenarios[[#This Row],[net_profit_A]]/tbl_raw[[#This Row],[gross_revenue]]</f>
        <v>0.35459464627151055</v>
      </c>
      <c r="H86" s="43">
        <f>tbl_scenarios[[#This Row],[net_margin_A]]-tbl_scenarios[[#This Row],[net_margin_pct]]</f>
        <v>-5.7000000000000051E-2</v>
      </c>
      <c r="I86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86" s="2">
        <f>tbl_raw[[#This Row],[gross_revenue]]-tbl_raw[[#This Row],[return_loss]]*(1+scn_B_returns_up/0.05)-tbl_raw[[#This Row],[cogs]]-(tbl_raw[[#This Row],[storage_cost]]+tbl_raw[[#This Row],[fulfillment_cost]]+tbl_raw[[#This Row],[freight_cost]])</f>
        <v>4299.880000000001</v>
      </c>
      <c r="K86" s="42">
        <f>tbl_scenarios[[#This Row],[net_profit_B]]/tbl_raw[[#This Row],[gross_revenue]]</f>
        <v>0.41107839388145323</v>
      </c>
      <c r="L86" s="43">
        <f>tbl_scenarios[[#This Row],[net_margin_B]]-tbl_scenarios[[#This Row],[net_margin_pct]]</f>
        <v>-5.1625239005737011E-4</v>
      </c>
      <c r="M86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86" s="2">
        <f>tbl_raw[[#This Row],[gross_revenue]]*(1-scn_C_price_down)-tbl_raw[[#This Row],[return_loss]]-tbl_raw[[#This Row],[cogs]]-(tbl_raw[[#This Row],[storage_cost]]+tbl_raw[[#This Row],[fulfillment_cost]]+tbl_raw[[#This Row],[freight_cost]])</f>
        <v>3782.2800000000007</v>
      </c>
      <c r="O86" s="42">
        <f>tbl_scenarios[[#This Row],[net_profit_C]]/(tbl_raw[[#This Row],[gross_revenue]]*(1-scn_C_price_down))</f>
        <v>0.38062594344369532</v>
      </c>
      <c r="P86" s="43">
        <f>tbl_scenarios[[#This Row],[net_margin_C]]-tbl_scenarios[[#This Row],[net_margin_pct]]</f>
        <v>-3.0968702827815275E-2</v>
      </c>
      <c r="Q86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8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87" spans="1:18" x14ac:dyDescent="0.35">
      <c r="A87" s="17" t="str">
        <f>tbl_raw[[#This Row],[product_id]]</f>
        <v>4c2394abfbac7ff59ec7a420918562fa</v>
      </c>
      <c r="B87" t="str">
        <f>tbl_raw[[#This Row],[category]]</f>
        <v>health_beauty</v>
      </c>
      <c r="C87" s="2">
        <f>tbl_profitability[[#This Row],[net_profit]]</f>
        <v>3336.42</v>
      </c>
      <c r="D87" s="42">
        <f>tbl_profitability[[#This Row],[net_margin_pct]]</f>
        <v>0.32177556086636999</v>
      </c>
      <c r="E87" s="49" t="str">
        <f>tbl_profitability[[#This Row],[decision]]</f>
        <v>OPTIMIZE</v>
      </c>
      <c r="F87" s="2">
        <f>tbl_raw[[#This Row],[gross_revenue]]-tbl_raw[[#This Row],[return_loss]]-tbl_raw[[#This Row],[cogs]]*(1+scn_A_cogs_up)-(tbl_raw[[#This Row],[storage_cost]]+tbl_raw[[#This Row],[fulfillment_cost]]+tbl_raw[[#This Row],[freight_cost]])</f>
        <v>2900.9309999999996</v>
      </c>
      <c r="G87" s="42">
        <f>tbl_scenarios[[#This Row],[net_profit_A]]/tbl_raw[[#This Row],[gross_revenue]]</f>
        <v>0.27977553771996316</v>
      </c>
      <c r="H87" s="43">
        <f>tbl_scenarios[[#This Row],[net_margin_A]]-tbl_scenarios[[#This Row],[net_margin_pct]]</f>
        <v>-4.2000023146406829E-2</v>
      </c>
      <c r="I8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87" s="2">
        <f>tbl_raw[[#This Row],[gross_revenue]]-tbl_raw[[#This Row],[return_loss]]*(1+scn_B_returns_up/0.05)-tbl_raw[[#This Row],[cogs]]-(tbl_raw[[#This Row],[storage_cost]]+tbl_raw[[#This Row],[fulfillment_cost]]+tbl_raw[[#This Row],[freight_cost]])</f>
        <v>3292.5</v>
      </c>
      <c r="K87" s="42">
        <f>tbl_scenarios[[#This Row],[net_profit_B]]/tbl_raw[[#This Row],[gross_revenue]]</f>
        <v>0.31753976842019987</v>
      </c>
      <c r="L87" s="43">
        <f>tbl_scenarios[[#This Row],[net_margin_B]]-tbl_scenarios[[#This Row],[net_margin_pct]]</f>
        <v>-4.2357924461701169E-3</v>
      </c>
      <c r="M8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87" s="2">
        <f>tbl_raw[[#This Row],[gross_revenue]]*(1-scn_C_price_down)-tbl_raw[[#This Row],[return_loss]]-tbl_raw[[#This Row],[cogs]]-(tbl_raw[[#This Row],[storage_cost]]+tbl_raw[[#This Row],[fulfillment_cost]]+tbl_raw[[#This Row],[freight_cost]])</f>
        <v>2817.9809999999998</v>
      </c>
      <c r="O87" s="42">
        <f>tbl_scenarios[[#This Row],[net_profit_C]]/(tbl_raw[[#This Row],[gross_revenue]]*(1-scn_C_price_down))</f>
        <v>0.28607953775407363</v>
      </c>
      <c r="P87" s="43">
        <f>tbl_scenarios[[#This Row],[net_margin_C]]-tbl_scenarios[[#This Row],[net_margin_pct]]</f>
        <v>-3.569602311229636E-2</v>
      </c>
      <c r="Q8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8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88" spans="1:18" x14ac:dyDescent="0.35">
      <c r="A88" s="17" t="str">
        <f>tbl_raw[[#This Row],[product_id]]</f>
        <v>3225c54bb2785c33f49f50398fcdb88c</v>
      </c>
      <c r="B88" t="str">
        <f>tbl_raw[[#This Row],[category]]</f>
        <v>watches_gifts</v>
      </c>
      <c r="C88" s="2">
        <f>tbl_profitability[[#This Row],[net_profit]]</f>
        <v>5184.6400000000003</v>
      </c>
      <c r="D88" s="42">
        <f>tbl_profitability[[#This Row],[net_margin_pct]]</f>
        <v>0.50186384945168661</v>
      </c>
      <c r="E88" s="49" t="str">
        <f>tbl_profitability[[#This Row],[decision]]</f>
        <v>OPTIMIZE</v>
      </c>
      <c r="F88" s="2">
        <f>tbl_raw[[#This Row],[gross_revenue]]-tbl_raw[[#This Row],[return_loss]]-tbl_raw[[#This Row],[cogs]]*(1+scn_A_cogs_up)-(tbl_raw[[#This Row],[storage_cost]]+tbl_raw[[#This Row],[fulfillment_cost]]+tbl_raw[[#This Row],[freight_cost]])</f>
        <v>4750.7479999999996</v>
      </c>
      <c r="G88" s="42">
        <f>tbl_scenarios[[#This Row],[net_profit_A]]/tbl_raw[[#This Row],[gross_revenue]]</f>
        <v>0.45986388236307646</v>
      </c>
      <c r="H88" s="43">
        <f>tbl_scenarios[[#This Row],[net_margin_A]]-tbl_scenarios[[#This Row],[net_margin_pct]]</f>
        <v>-4.1999967088610146E-2</v>
      </c>
      <c r="I8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88" s="2">
        <f>tbl_raw[[#This Row],[gross_revenue]]-tbl_raw[[#This Row],[return_loss]]*(1+scn_B_returns_up/0.05)-tbl_raw[[#This Row],[cogs]]-(tbl_raw[[#This Row],[storage_cost]]+tbl_raw[[#This Row],[fulfillment_cost]]+tbl_raw[[#This Row],[freight_cost]])</f>
        <v>5171.3200000000006</v>
      </c>
      <c r="K88" s="42">
        <f>tbl_scenarios[[#This Row],[net_profit_B]]/tbl_raw[[#This Row],[gross_revenue]]</f>
        <v>0.50057449735111714</v>
      </c>
      <c r="L88" s="43">
        <f>tbl_scenarios[[#This Row],[net_margin_B]]-tbl_scenarios[[#This Row],[net_margin_pct]]</f>
        <v>-1.289352100569463E-3</v>
      </c>
      <c r="M8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88" s="2">
        <f>tbl_raw[[#This Row],[gross_revenue]]*(1-scn_C_price_down)-tbl_raw[[#This Row],[return_loss]]-tbl_raw[[#This Row],[cogs]]-(tbl_raw[[#This Row],[storage_cost]]+tbl_raw[[#This Row],[fulfillment_cost]]+tbl_raw[[#This Row],[freight_cost]])</f>
        <v>4668.1014999999998</v>
      </c>
      <c r="O88" s="42">
        <f>tbl_scenarios[[#This Row],[net_profit_C]]/(tbl_raw[[#This Row],[gross_revenue]]*(1-scn_C_price_down))</f>
        <v>0.47564615731756477</v>
      </c>
      <c r="P88" s="43">
        <f>tbl_scenarios[[#This Row],[net_margin_C]]-tbl_scenarios[[#This Row],[net_margin_pct]]</f>
        <v>-2.6217692134121839E-2</v>
      </c>
      <c r="Q8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8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89" spans="1:18" x14ac:dyDescent="0.35">
      <c r="A89" s="17" t="str">
        <f>tbl_raw[[#This Row],[product_id]]</f>
        <v>84f456958365164420cfc80fbe4c7fab</v>
      </c>
      <c r="B89" t="str">
        <f>tbl_raw[[#This Row],[category]]</f>
        <v>bed_bath_table</v>
      </c>
      <c r="C89" s="2">
        <f>tbl_profitability[[#This Row],[net_profit]]</f>
        <v>2833.5300000000007</v>
      </c>
      <c r="D89" s="42">
        <f>tbl_profitability[[#This Row],[net_margin_pct]]</f>
        <v>0.27496758842343888</v>
      </c>
      <c r="E89" s="49" t="str">
        <f>tbl_profitability[[#This Row],[decision]]</f>
        <v>OPTIMIZE</v>
      </c>
      <c r="F89" s="2">
        <f>tbl_raw[[#This Row],[gross_revenue]]-tbl_raw[[#This Row],[return_loss]]-tbl_raw[[#This Row],[cogs]]*(1+scn_A_cogs_up)-(tbl_raw[[#This Row],[storage_cost]]+tbl_raw[[#This Row],[fulfillment_cost]]+tbl_raw[[#This Row],[freight_cost]])</f>
        <v>2369.8070000000007</v>
      </c>
      <c r="G89" s="42">
        <f>tbl_scenarios[[#This Row],[net_profit_A]]/tbl_raw[[#This Row],[gross_revenue]]</f>
        <v>0.22996760783156858</v>
      </c>
      <c r="H89" s="43">
        <f>tbl_scenarios[[#This Row],[net_margin_A]]-tbl_scenarios[[#This Row],[net_margin_pct]]</f>
        <v>-4.4999980591870298E-2</v>
      </c>
      <c r="I89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89" s="2">
        <f>tbl_raw[[#This Row],[gross_revenue]]-tbl_raw[[#This Row],[return_loss]]*(1+scn_B_returns_up/0.05)-tbl_raw[[#This Row],[cogs]]-(tbl_raw[[#This Row],[storage_cost]]+tbl_raw[[#This Row],[fulfillment_cost]]+tbl_raw[[#This Row],[freight_cost]])</f>
        <v>2793.5699999999997</v>
      </c>
      <c r="K89" s="42">
        <f>tbl_scenarios[[#This Row],[net_profit_B]]/tbl_raw[[#This Row],[gross_revenue]]</f>
        <v>0.27108984411390241</v>
      </c>
      <c r="L89" s="43">
        <f>tbl_scenarios[[#This Row],[net_margin_B]]-tbl_scenarios[[#This Row],[net_margin_pct]]</f>
        <v>-3.8777443095364683E-3</v>
      </c>
      <c r="M89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89" s="2">
        <f>tbl_raw[[#This Row],[gross_revenue]]*(1-scn_C_price_down)-tbl_raw[[#This Row],[return_loss]]-tbl_raw[[#This Row],[cogs]]-(tbl_raw[[#This Row],[storage_cost]]+tbl_raw[[#This Row],[fulfillment_cost]]+tbl_raw[[#This Row],[freight_cost]])</f>
        <v>2318.2820000000011</v>
      </c>
      <c r="O89" s="42">
        <f>tbl_scenarios[[#This Row],[net_profit_C]]/(tbl_raw[[#This Row],[gross_revenue]]*(1-scn_C_price_down))</f>
        <v>0.23680798781414625</v>
      </c>
      <c r="P89" s="43">
        <f>tbl_scenarios[[#This Row],[net_margin_C]]-tbl_scenarios[[#This Row],[net_margin_pct]]</f>
        <v>-3.8159600609292632E-2</v>
      </c>
      <c r="Q89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8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90" spans="1:18" x14ac:dyDescent="0.35">
      <c r="A90" s="17" t="str">
        <f>tbl_raw[[#This Row],[product_id]]</f>
        <v>f27aff266ad97e75d4a24c893b2c311e</v>
      </c>
      <c r="B90" t="str">
        <f>tbl_raw[[#This Row],[category]]</f>
        <v>home_appliances_2</v>
      </c>
      <c r="C90" s="2">
        <f>tbl_profitability[[#This Row],[net_profit]]</f>
        <v>3139.5299999999997</v>
      </c>
      <c r="D90" s="42">
        <f>tbl_profitability[[#This Row],[net_margin_pct]]</f>
        <v>0.31161588089330022</v>
      </c>
      <c r="E90" s="49" t="str">
        <f>tbl_profitability[[#This Row],[decision]]</f>
        <v>SCALE</v>
      </c>
      <c r="F90" s="2">
        <f>tbl_raw[[#This Row],[gross_revenue]]-tbl_raw[[#This Row],[return_loss]]-tbl_raw[[#This Row],[cogs]]*(1+scn_A_cogs_up)-(tbl_raw[[#This Row],[storage_cost]]+tbl_raw[[#This Row],[fulfillment_cost]]+tbl_raw[[#This Row],[freight_cost]])</f>
        <v>2565.2549999999992</v>
      </c>
      <c r="G90" s="42">
        <f>tbl_scenarios[[#This Row],[net_profit_A]]/tbl_raw[[#This Row],[gross_revenue]]</f>
        <v>0.25461588089330017</v>
      </c>
      <c r="H90" s="43">
        <f>tbl_scenarios[[#This Row],[net_margin_A]]-tbl_scenarios[[#This Row],[net_margin_pct]]</f>
        <v>-5.7000000000000051E-2</v>
      </c>
      <c r="I9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90" s="2">
        <f>tbl_raw[[#This Row],[gross_revenue]]-tbl_raw[[#This Row],[return_loss]]*(1+scn_B_returns_up/0.05)-tbl_raw[[#This Row],[cogs]]-(tbl_raw[[#This Row],[storage_cost]]+tbl_raw[[#This Row],[fulfillment_cost]]+tbl_raw[[#This Row],[freight_cost]])</f>
        <v>3134.8499999999995</v>
      </c>
      <c r="K90" s="42">
        <f>tbl_scenarios[[#This Row],[net_profit_B]]/tbl_raw[[#This Row],[gross_revenue]]</f>
        <v>0.31115136476426791</v>
      </c>
      <c r="L90" s="43">
        <f>tbl_scenarios[[#This Row],[net_margin_B]]-tbl_scenarios[[#This Row],[net_margin_pct]]</f>
        <v>-4.6451612903231077E-4</v>
      </c>
      <c r="M9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90" s="2">
        <f>tbl_raw[[#This Row],[gross_revenue]]*(1-scn_C_price_down)-tbl_raw[[#This Row],[return_loss]]-tbl_raw[[#This Row],[cogs]]-(tbl_raw[[#This Row],[storage_cost]]+tbl_raw[[#This Row],[fulfillment_cost]]+tbl_raw[[#This Row],[freight_cost]])</f>
        <v>2635.7799999999997</v>
      </c>
      <c r="O90" s="42">
        <f>tbl_scenarios[[#This Row],[net_profit_C]]/(tbl_raw[[#This Row],[gross_revenue]]*(1-scn_C_price_down))</f>
        <v>0.2753851377824213</v>
      </c>
      <c r="P90" s="43">
        <f>tbl_scenarios[[#This Row],[net_margin_C]]-tbl_scenarios[[#This Row],[net_margin_pct]]</f>
        <v>-3.6230743110878927E-2</v>
      </c>
      <c r="Q9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9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91" spans="1:18" x14ac:dyDescent="0.35">
      <c r="A91" s="17" t="str">
        <f>tbl_raw[[#This Row],[product_id]]</f>
        <v>53ea9da485f6aed8a6f03a85831fe021</v>
      </c>
      <c r="B91" t="str">
        <f>tbl_raw[[#This Row],[category]]</f>
        <v>watches_gifts</v>
      </c>
      <c r="C91" s="2">
        <f>tbl_profitability[[#This Row],[net_profit]]</f>
        <v>4886.3999999999978</v>
      </c>
      <c r="D91" s="42">
        <f>tbl_profitability[[#This Row],[net_margin_pct]]</f>
        <v>0.48724113071372072</v>
      </c>
      <c r="E91" s="49" t="str">
        <f>tbl_profitability[[#This Row],[decision]]</f>
        <v>OPTIMIZE</v>
      </c>
      <c r="F91" s="2">
        <f>tbl_raw[[#This Row],[gross_revenue]]-tbl_raw[[#This Row],[return_loss]]-tbl_raw[[#This Row],[cogs]]*(1+scn_A_cogs_up)-(tbl_raw[[#This Row],[storage_cost]]+tbl_raw[[#This Row],[fulfillment_cost]]+tbl_raw[[#This Row],[freight_cost]])</f>
        <v>4465.1939999999977</v>
      </c>
      <c r="G91" s="42">
        <f>tbl_scenarios[[#This Row],[net_profit_A]]/tbl_raw[[#This Row],[gross_revenue]]</f>
        <v>0.44524111276525075</v>
      </c>
      <c r="H91" s="43">
        <f>tbl_scenarios[[#This Row],[net_margin_A]]-tbl_scenarios[[#This Row],[net_margin_pct]]</f>
        <v>-4.200001794846997E-2</v>
      </c>
      <c r="I9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91" s="2">
        <f>tbl_raw[[#This Row],[gross_revenue]]-tbl_raw[[#This Row],[return_loss]]*(1+scn_B_returns_up/0.05)-tbl_raw[[#This Row],[cogs]]-(tbl_raw[[#This Row],[storage_cost]]+tbl_raw[[#This Row],[fulfillment_cost]]+tbl_raw[[#This Row],[freight_cost]])</f>
        <v>4872.3599999999988</v>
      </c>
      <c r="K91" s="42">
        <f>tbl_scenarios[[#This Row],[net_profit_B]]/tbl_raw[[#This Row],[gross_revenue]]</f>
        <v>0.4858411500581829</v>
      </c>
      <c r="L91" s="43">
        <f>tbl_scenarios[[#This Row],[net_margin_B]]-tbl_scenarios[[#This Row],[net_margin_pct]]</f>
        <v>-1.3999806555378136E-3</v>
      </c>
      <c r="M9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91" s="2">
        <f>tbl_raw[[#This Row],[gross_revenue]]*(1-scn_C_price_down)-tbl_raw[[#This Row],[return_loss]]-tbl_raw[[#This Row],[cogs]]-(tbl_raw[[#This Row],[storage_cost]]+tbl_raw[[#This Row],[fulfillment_cost]]+tbl_raw[[#This Row],[freight_cost]])</f>
        <v>4384.9644999999982</v>
      </c>
      <c r="O91" s="42">
        <f>tbl_scenarios[[#This Row],[net_profit_C]]/(tbl_raw[[#This Row],[gross_revenue]]*(1-scn_C_price_down))</f>
        <v>0.46025382180391661</v>
      </c>
      <c r="P91" s="43">
        <f>tbl_scenarios[[#This Row],[net_margin_C]]-tbl_scenarios[[#This Row],[net_margin_pct]]</f>
        <v>-2.6987308909804109E-2</v>
      </c>
      <c r="Q9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9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92" spans="1:18" x14ac:dyDescent="0.35">
      <c r="A92" s="17" t="str">
        <f>tbl_raw[[#This Row],[product_id]]</f>
        <v>fe6a9515d655fa7936b8a7c841039f34</v>
      </c>
      <c r="B92" t="str">
        <f>tbl_raw[[#This Row],[category]]</f>
        <v>cool_stuff</v>
      </c>
      <c r="C92" s="2">
        <f>tbl_profitability[[#This Row],[net_profit]]</f>
        <v>2571.0900000000006</v>
      </c>
      <c r="D92" s="42">
        <f>tbl_profitability[[#This Row],[net_margin_pct]]</f>
        <v>0.25669828274760387</v>
      </c>
      <c r="E92" s="49" t="str">
        <f>tbl_profitability[[#This Row],[decision]]</f>
        <v>SCALE</v>
      </c>
      <c r="F92" s="2">
        <f>tbl_raw[[#This Row],[gross_revenue]]-tbl_raw[[#This Row],[return_loss]]-tbl_raw[[#This Row],[cogs]]*(1+scn_A_cogs_up)-(tbl_raw[[#This Row],[storage_cost]]+tbl_raw[[#This Row],[fulfillment_cost]]+tbl_raw[[#This Row],[freight_cost]])</f>
        <v>2120.3700000000003</v>
      </c>
      <c r="G92" s="42">
        <f>tbl_scenarios[[#This Row],[net_profit_A]]/tbl_raw[[#This Row],[gross_revenue]]</f>
        <v>0.21169828274760386</v>
      </c>
      <c r="H92" s="43">
        <f>tbl_scenarios[[#This Row],[net_margin_A]]-tbl_scenarios[[#This Row],[net_margin_pct]]</f>
        <v>-4.5000000000000012E-2</v>
      </c>
      <c r="I9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92" s="2">
        <f>tbl_raw[[#This Row],[gross_revenue]]-tbl_raw[[#This Row],[return_loss]]*(1+scn_B_returns_up/0.05)-tbl_raw[[#This Row],[cogs]]-(tbl_raw[[#This Row],[storage_cost]]+tbl_raw[[#This Row],[fulfillment_cost]]+tbl_raw[[#This Row],[freight_cost]])</f>
        <v>2556.690000000001</v>
      </c>
      <c r="K92" s="42">
        <f>tbl_scenarios[[#This Row],[net_profit_B]]/tbl_raw[[#This Row],[gross_revenue]]</f>
        <v>0.25526058306709276</v>
      </c>
      <c r="L92" s="43">
        <f>tbl_scenarios[[#This Row],[net_margin_B]]-tbl_scenarios[[#This Row],[net_margin_pct]]</f>
        <v>-1.4376996805111064E-3</v>
      </c>
      <c r="M9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92" s="2">
        <f>tbl_raw[[#This Row],[gross_revenue]]*(1-scn_C_price_down)-tbl_raw[[#This Row],[return_loss]]-tbl_raw[[#This Row],[cogs]]-(tbl_raw[[#This Row],[storage_cost]]+tbl_raw[[#This Row],[fulfillment_cost]]+tbl_raw[[#This Row],[freight_cost]])</f>
        <v>2070.2899999999995</v>
      </c>
      <c r="O92" s="42">
        <f>tbl_scenarios[[#This Row],[net_profit_C]]/(tbl_raw[[#This Row],[gross_revenue]]*(1-scn_C_price_down))</f>
        <v>0.2175771397343198</v>
      </c>
      <c r="P92" s="43">
        <f>tbl_scenarios[[#This Row],[net_margin_C]]-tbl_scenarios[[#This Row],[net_margin_pct]]</f>
        <v>-3.9121143013284065E-2</v>
      </c>
      <c r="Q9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9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93" spans="1:18" x14ac:dyDescent="0.35">
      <c r="A93" s="17" t="str">
        <f>tbl_raw[[#This Row],[product_id]]</f>
        <v>cac9e5692471a0700418aa3400b9b2b1</v>
      </c>
      <c r="B93" t="str">
        <f>tbl_raw[[#This Row],[category]]</f>
        <v>baby</v>
      </c>
      <c r="C93" s="2">
        <f>tbl_profitability[[#This Row],[net_profit]]</f>
        <v>3853.2099999999991</v>
      </c>
      <c r="D93" s="42">
        <f>tbl_profitability[[#This Row],[net_margin_pct]]</f>
        <v>0.38505723579348139</v>
      </c>
      <c r="E93" s="49" t="str">
        <f>tbl_profitability[[#This Row],[decision]]</f>
        <v>SCALE</v>
      </c>
      <c r="F93" s="2">
        <f>tbl_raw[[#This Row],[gross_revenue]]-tbl_raw[[#This Row],[return_loss]]-tbl_raw[[#This Row],[cogs]]*(1+scn_A_cogs_up)-(tbl_raw[[#This Row],[storage_cost]]+tbl_raw[[#This Row],[fulfillment_cost]]+tbl_raw[[#This Row],[freight_cost]])</f>
        <v>3432.9219999999987</v>
      </c>
      <c r="G93" s="42">
        <f>tbl_scenarios[[#This Row],[net_profit_A]]/tbl_raw[[#This Row],[gross_revenue]]</f>
        <v>0.34305720581401727</v>
      </c>
      <c r="H93" s="43">
        <f>tbl_scenarios[[#This Row],[net_margin_A]]-tbl_scenarios[[#This Row],[net_margin_pct]]</f>
        <v>-4.2000029979464115E-2</v>
      </c>
      <c r="I9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93" s="2">
        <f>tbl_raw[[#This Row],[gross_revenue]]-tbl_raw[[#This Row],[return_loss]]*(1+scn_B_returns_up/0.05)-tbl_raw[[#This Row],[cogs]]-(tbl_raw[[#This Row],[storage_cost]]+tbl_raw[[#This Row],[fulfillment_cost]]+tbl_raw[[#This Row],[freight_cost]])</f>
        <v>3821.17</v>
      </c>
      <c r="K93" s="42">
        <f>tbl_scenarios[[#This Row],[net_profit_B]]/tbl_raw[[#This Row],[gross_revenue]]</f>
        <v>0.38185542903111369</v>
      </c>
      <c r="L93" s="43">
        <f>tbl_scenarios[[#This Row],[net_margin_B]]-tbl_scenarios[[#This Row],[net_margin_pct]]</f>
        <v>-3.2018067623676982E-3</v>
      </c>
      <c r="M9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93" s="2">
        <f>tbl_raw[[#This Row],[gross_revenue]]*(1-scn_C_price_down)-tbl_raw[[#This Row],[return_loss]]-tbl_raw[[#This Row],[cogs]]-(tbl_raw[[#This Row],[storage_cost]]+tbl_raw[[#This Row],[fulfillment_cost]]+tbl_raw[[#This Row],[freight_cost]])</f>
        <v>3352.8674999999985</v>
      </c>
      <c r="O93" s="42">
        <f>tbl_scenarios[[#This Row],[net_profit_C]]/(tbl_raw[[#This Row],[gross_revenue]]*(1-scn_C_price_down))</f>
        <v>0.35269182715103298</v>
      </c>
      <c r="P93" s="43">
        <f>tbl_scenarios[[#This Row],[net_margin_C]]-tbl_scenarios[[#This Row],[net_margin_pct]]</f>
        <v>-3.2365408642448412E-2</v>
      </c>
      <c r="Q9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9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94" spans="1:18" x14ac:dyDescent="0.35">
      <c r="A94" s="17" t="str">
        <f>tbl_raw[[#This Row],[product_id]]</f>
        <v>8a12c0e223d9dbd49ccfcd2ad25d1b30</v>
      </c>
      <c r="B94" t="str">
        <f>tbl_raw[[#This Row],[category]]</f>
        <v>construction_tools_construction</v>
      </c>
      <c r="C94" s="2">
        <f>tbl_profitability[[#This Row],[net_profit]]</f>
        <v>5265.2100000000009</v>
      </c>
      <c r="D94" s="42">
        <f>tbl_profitability[[#This Row],[net_margin_pct]]</f>
        <v>0.52704804804804817</v>
      </c>
      <c r="E94" s="49" t="str">
        <f>tbl_profitability[[#This Row],[decision]]</f>
        <v>SCALE</v>
      </c>
      <c r="F94" s="2">
        <f>tbl_raw[[#This Row],[gross_revenue]]-tbl_raw[[#This Row],[return_loss]]-tbl_raw[[#This Row],[cogs]]*(1+scn_A_cogs_up)-(tbl_raw[[#This Row],[storage_cost]]+tbl_raw[[#This Row],[fulfillment_cost]]+tbl_raw[[#This Row],[freight_cost]])</f>
        <v>4815.6600000000008</v>
      </c>
      <c r="G94" s="42">
        <f>tbl_scenarios[[#This Row],[net_profit_A]]/tbl_raw[[#This Row],[gross_revenue]]</f>
        <v>0.48204804804804813</v>
      </c>
      <c r="H94" s="43">
        <f>tbl_scenarios[[#This Row],[net_margin_A]]-tbl_scenarios[[#This Row],[net_margin_pct]]</f>
        <v>-4.500000000000004E-2</v>
      </c>
      <c r="I9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94" s="2">
        <f>tbl_raw[[#This Row],[gross_revenue]]-tbl_raw[[#This Row],[return_loss]]*(1+scn_B_returns_up/0.05)-tbl_raw[[#This Row],[cogs]]-(tbl_raw[[#This Row],[storage_cost]]+tbl_raw[[#This Row],[fulfillment_cost]]+tbl_raw[[#This Row],[freight_cost]])</f>
        <v>5263.41</v>
      </c>
      <c r="K94" s="42">
        <f>tbl_scenarios[[#This Row],[net_profit_B]]/tbl_raw[[#This Row],[gross_revenue]]</f>
        <v>0.52686786786786788</v>
      </c>
      <c r="L94" s="43">
        <f>tbl_scenarios[[#This Row],[net_margin_B]]-tbl_scenarios[[#This Row],[net_margin_pct]]</f>
        <v>-1.8018018018028936E-4</v>
      </c>
      <c r="M9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94" s="2">
        <f>tbl_raw[[#This Row],[gross_revenue]]*(1-scn_C_price_down)-tbl_raw[[#This Row],[return_loss]]-tbl_raw[[#This Row],[cogs]]-(tbl_raw[[#This Row],[storage_cost]]+tbl_raw[[#This Row],[fulfillment_cost]]+tbl_raw[[#This Row],[freight_cost]])</f>
        <v>4765.7100000000009</v>
      </c>
      <c r="O94" s="42">
        <f>tbl_scenarios[[#This Row],[net_profit_C]]/(tbl_raw[[#This Row],[gross_revenue]]*(1-scn_C_price_down))</f>
        <v>0.50215584005057701</v>
      </c>
      <c r="P94" s="43">
        <f>tbl_scenarios[[#This Row],[net_margin_C]]-tbl_scenarios[[#This Row],[net_margin_pct]]</f>
        <v>-2.4892207997471161E-2</v>
      </c>
      <c r="Q9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9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95" spans="1:18" x14ac:dyDescent="0.35">
      <c r="A95" s="17" t="str">
        <f>tbl_raw[[#This Row],[product_id]]</f>
        <v>2a2d22ae30e026f1893083c8405ca522</v>
      </c>
      <c r="B95" t="str">
        <f>tbl_raw[[#This Row],[category]]</f>
        <v>bed_bath_table</v>
      </c>
      <c r="C95" s="2">
        <f>tbl_profitability[[#This Row],[net_profit]]</f>
        <v>3066.2199999999993</v>
      </c>
      <c r="D95" s="42">
        <f>tbl_profitability[[#This Row],[net_margin_pct]]</f>
        <v>0.3081473292799356</v>
      </c>
      <c r="E95" s="49" t="str">
        <f>tbl_profitability[[#This Row],[decision]]</f>
        <v>SCALE</v>
      </c>
      <c r="F95" s="2">
        <f>tbl_raw[[#This Row],[gross_revenue]]-tbl_raw[[#This Row],[return_loss]]-tbl_raw[[#This Row],[cogs]]*(1+scn_A_cogs_up)-(tbl_raw[[#This Row],[storage_cost]]+tbl_raw[[#This Row],[fulfillment_cost]]+tbl_raw[[#This Row],[freight_cost]])</f>
        <v>2618.4479999999985</v>
      </c>
      <c r="G95" s="42">
        <f>tbl_scenarios[[#This Row],[net_profit_A]]/tbl_raw[[#This Row],[gross_revenue]]</f>
        <v>0.26314737952866674</v>
      </c>
      <c r="H95" s="43">
        <f>tbl_scenarios[[#This Row],[net_margin_A]]-tbl_scenarios[[#This Row],[net_margin_pct]]</f>
        <v>-4.4999949751268864E-2</v>
      </c>
      <c r="I9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95" s="2">
        <f>tbl_raw[[#This Row],[gross_revenue]]-tbl_raw[[#This Row],[return_loss]]*(1+scn_B_returns_up/0.05)-tbl_raw[[#This Row],[cogs]]-(tbl_raw[[#This Row],[storage_cost]]+tbl_raw[[#This Row],[fulfillment_cost]]+tbl_raw[[#This Row],[freight_cost]])</f>
        <v>3041.0200000000004</v>
      </c>
      <c r="K95" s="42">
        <f>tbl_scenarios[[#This Row],[net_profit_B]]/tbl_raw[[#This Row],[gross_revenue]]</f>
        <v>0.30561479322647106</v>
      </c>
      <c r="L95" s="43">
        <f>tbl_scenarios[[#This Row],[net_margin_B]]-tbl_scenarios[[#This Row],[net_margin_pct]]</f>
        <v>-2.5325360534645402E-3</v>
      </c>
      <c r="M9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95" s="2">
        <f>tbl_raw[[#This Row],[gross_revenue]]*(1-scn_C_price_down)-tbl_raw[[#This Row],[return_loss]]-tbl_raw[[#This Row],[cogs]]-(tbl_raw[[#This Row],[storage_cost]]+tbl_raw[[#This Row],[fulfillment_cost]]+tbl_raw[[#This Row],[freight_cost]])</f>
        <v>2568.6949999999997</v>
      </c>
      <c r="O95" s="42">
        <f>tbl_scenarios[[#This Row],[net_profit_C]]/(tbl_raw[[#This Row],[gross_revenue]]*(1-scn_C_price_down))</f>
        <v>0.27173403082098491</v>
      </c>
      <c r="P95" s="43">
        <f>tbl_scenarios[[#This Row],[net_margin_C]]-tbl_scenarios[[#This Row],[net_margin_pct]]</f>
        <v>-3.6413298458950694E-2</v>
      </c>
      <c r="Q9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9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96" spans="1:18" x14ac:dyDescent="0.35">
      <c r="A96" s="17" t="str">
        <f>tbl_raw[[#This Row],[product_id]]</f>
        <v>3fbc0ef745950c7932d5f2a446189725</v>
      </c>
      <c r="B96" t="str">
        <f>tbl_raw[[#This Row],[category]]</f>
        <v>health_beauty</v>
      </c>
      <c r="C96" s="2">
        <f>tbl_profitability[[#This Row],[net_profit]]</f>
        <v>1030.1000000000004</v>
      </c>
      <c r="D96" s="42">
        <f>tbl_profitability[[#This Row],[net_margin_pct]]</f>
        <v>0.10444613434727507</v>
      </c>
      <c r="E96" s="49" t="str">
        <f>tbl_profitability[[#This Row],[decision]]</f>
        <v>OPTIMIZE</v>
      </c>
      <c r="F96" s="2">
        <f>tbl_raw[[#This Row],[gross_revenue]]-tbl_raw[[#This Row],[return_loss]]-tbl_raw[[#This Row],[cogs]]*(1+scn_A_cogs_up)-(tbl_raw[[#This Row],[storage_cost]]+tbl_raw[[#This Row],[fulfillment_cost]]+tbl_raw[[#This Row],[freight_cost]])</f>
        <v>615.875</v>
      </c>
      <c r="G96" s="42">
        <f>tbl_scenarios[[#This Row],[net_profit_A]]/tbl_raw[[#This Row],[gross_revenue]]</f>
        <v>6.2446134347275029E-2</v>
      </c>
      <c r="H96" s="43">
        <f>tbl_scenarios[[#This Row],[net_margin_A]]-tbl_scenarios[[#This Row],[net_margin_pct]]</f>
        <v>-4.2000000000000037E-2</v>
      </c>
      <c r="I96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96" s="2">
        <f>tbl_raw[[#This Row],[gross_revenue]]-tbl_raw[[#This Row],[return_loss]]*(1+scn_B_returns_up/0.05)-tbl_raw[[#This Row],[cogs]]-(tbl_raw[[#This Row],[storage_cost]]+tbl_raw[[#This Row],[fulfillment_cost]]+tbl_raw[[#This Row],[freight_cost]])</f>
        <v>976.10000000000036</v>
      </c>
      <c r="K96" s="42">
        <f>tbl_scenarios[[#This Row],[net_profit_B]]/tbl_raw[[#This Row],[gross_revenue]]</f>
        <v>9.897084917617241E-2</v>
      </c>
      <c r="L96" s="43">
        <f>tbl_scenarios[[#This Row],[net_margin_B]]-tbl_scenarios[[#This Row],[net_margin_pct]]</f>
        <v>-5.4752851711026562E-3</v>
      </c>
      <c r="M96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96" s="2">
        <f>tbl_raw[[#This Row],[gross_revenue]]*(1-scn_C_price_down)-tbl_raw[[#This Row],[return_loss]]-tbl_raw[[#This Row],[cogs]]-(tbl_raw[[#This Row],[storage_cost]]+tbl_raw[[#This Row],[fulfillment_cost]]+tbl_raw[[#This Row],[freight_cost]])</f>
        <v>536.97500000000036</v>
      </c>
      <c r="O96" s="42">
        <f>tbl_scenarios[[#This Row],[net_profit_C]]/(tbl_raw[[#This Row],[gross_revenue]]*(1-scn_C_price_down))</f>
        <v>5.7311720365552703E-2</v>
      </c>
      <c r="P96" s="43">
        <f>tbl_scenarios[[#This Row],[net_margin_C]]-tbl_scenarios[[#This Row],[net_margin_pct]]</f>
        <v>-4.7134413981722363E-2</v>
      </c>
      <c r="Q96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9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97" spans="1:18" x14ac:dyDescent="0.35">
      <c r="A97" s="17" t="str">
        <f>tbl_raw[[#This Row],[product_id]]</f>
        <v>d696750e550fd0f733979dd7e5dff921</v>
      </c>
      <c r="B97" t="str">
        <f>tbl_raw[[#This Row],[category]]</f>
        <v>housewares</v>
      </c>
      <c r="C97" s="2">
        <f>tbl_profitability[[#This Row],[net_profit]]</f>
        <v>3744.2200000000003</v>
      </c>
      <c r="D97" s="42">
        <f>tbl_profitability[[#This Row],[net_margin_pct]]</f>
        <v>0.37982077245974277</v>
      </c>
      <c r="E97" s="49" t="str">
        <f>tbl_profitability[[#This Row],[decision]]</f>
        <v>SCALE</v>
      </c>
      <c r="F97" s="2">
        <f>tbl_raw[[#This Row],[gross_revenue]]-tbl_raw[[#This Row],[return_loss]]-tbl_raw[[#This Row],[cogs]]*(1+scn_A_cogs_up)-(tbl_raw[[#This Row],[storage_cost]]+tbl_raw[[#This Row],[fulfillment_cost]]+tbl_raw[[#This Row],[freight_cost]])</f>
        <v>3300.616</v>
      </c>
      <c r="G97" s="42">
        <f>tbl_scenarios[[#This Row],[net_profit_A]]/tbl_raw[[#This Row],[gross_revenue]]</f>
        <v>0.33482074202717421</v>
      </c>
      <c r="H97" s="43">
        <f>tbl_scenarios[[#This Row],[net_margin_A]]-tbl_scenarios[[#This Row],[net_margin_pct]]</f>
        <v>-4.5000030432568561E-2</v>
      </c>
      <c r="I9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97" s="2">
        <f>tbl_raw[[#This Row],[gross_revenue]]-tbl_raw[[#This Row],[return_loss]]*(1+scn_B_returns_up/0.05)-tbl_raw[[#This Row],[cogs]]-(tbl_raw[[#This Row],[storage_cost]]+tbl_raw[[#This Row],[fulfillment_cost]]+tbl_raw[[#This Row],[freight_cost]])</f>
        <v>3723.7</v>
      </c>
      <c r="K97" s="42">
        <f>tbl_scenarios[[#This Row],[net_profit_B]]/tbl_raw[[#This Row],[gross_revenue]]</f>
        <v>0.37773918477235419</v>
      </c>
      <c r="L97" s="43">
        <f>tbl_scenarios[[#This Row],[net_margin_B]]-tbl_scenarios[[#This Row],[net_margin_pct]]</f>
        <v>-2.0815876873885863E-3</v>
      </c>
      <c r="M9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97" s="2">
        <f>tbl_raw[[#This Row],[gross_revenue]]*(1-scn_C_price_down)-tbl_raw[[#This Row],[return_loss]]-tbl_raw[[#This Row],[cogs]]-(tbl_raw[[#This Row],[storage_cost]]+tbl_raw[[#This Row],[fulfillment_cost]]+tbl_raw[[#This Row],[freight_cost]])</f>
        <v>3251.3270000000002</v>
      </c>
      <c r="O97" s="42">
        <f>tbl_scenarios[[#This Row],[net_profit_C]]/(tbl_raw[[#This Row],[gross_revenue]]*(1-scn_C_price_down))</f>
        <v>0.34717976048393978</v>
      </c>
      <c r="P97" s="43">
        <f>tbl_scenarios[[#This Row],[net_margin_C]]-tbl_scenarios[[#This Row],[net_margin_pct]]</f>
        <v>-3.2641011975802992E-2</v>
      </c>
      <c r="Q9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9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98" spans="1:18" x14ac:dyDescent="0.35">
      <c r="A98" s="17" t="str">
        <f>tbl_raw[[#This Row],[product_id]]</f>
        <v>a50acd33ba7a8da8e9db65094fa990a4</v>
      </c>
      <c r="B98" t="str">
        <f>tbl_raw[[#This Row],[category]]</f>
        <v>auto</v>
      </c>
      <c r="C98" s="2">
        <f>tbl_profitability[[#This Row],[net_profit]]</f>
        <v>2760.7100000000005</v>
      </c>
      <c r="D98" s="42">
        <f>tbl_profitability[[#This Row],[net_margin_pct]]</f>
        <v>0.28355981470639596</v>
      </c>
      <c r="E98" s="49" t="str">
        <f>tbl_profitability[[#This Row],[decision]]</f>
        <v>SCALE</v>
      </c>
      <c r="F98" s="2">
        <f>tbl_raw[[#This Row],[gross_revenue]]-tbl_raw[[#This Row],[return_loss]]-tbl_raw[[#This Row],[cogs]]*(1+scn_A_cogs_up)-(tbl_raw[[#This Row],[storage_cost]]+tbl_raw[[#This Row],[fulfillment_cost]]+tbl_raw[[#This Row],[freight_cost]])</f>
        <v>2322.5940000000005</v>
      </c>
      <c r="G98" s="42">
        <f>tbl_scenarios[[#This Row],[net_profit_A]]/tbl_raw[[#This Row],[gross_revenue]]</f>
        <v>0.23855976335007556</v>
      </c>
      <c r="H98" s="43">
        <f>tbl_scenarios[[#This Row],[net_margin_A]]-tbl_scenarios[[#This Row],[net_margin_pct]]</f>
        <v>-4.5000051356320403E-2</v>
      </c>
      <c r="I9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98" s="2">
        <f>tbl_raw[[#This Row],[gross_revenue]]-tbl_raw[[#This Row],[return_loss]]*(1+scn_B_returns_up/0.05)-tbl_raw[[#This Row],[cogs]]-(tbl_raw[[#This Row],[storage_cost]]+tbl_raw[[#This Row],[fulfillment_cost]]+tbl_raw[[#This Row],[freight_cost]])</f>
        <v>2730.8299999999995</v>
      </c>
      <c r="K98" s="42">
        <f>tbl_scenarios[[#This Row],[net_profit_B]]/tbl_raw[[#This Row],[gross_revenue]]</f>
        <v>0.280490760997956</v>
      </c>
      <c r="L98" s="43">
        <f>tbl_scenarios[[#This Row],[net_margin_B]]-tbl_scenarios[[#This Row],[net_margin_pct]]</f>
        <v>-3.0690537084399616E-3</v>
      </c>
      <c r="M9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98" s="2">
        <f>tbl_raw[[#This Row],[gross_revenue]]*(1-scn_C_price_down)-tbl_raw[[#This Row],[return_loss]]-tbl_raw[[#This Row],[cogs]]-(tbl_raw[[#This Row],[storage_cost]]+tbl_raw[[#This Row],[fulfillment_cost]]+tbl_raw[[#This Row],[freight_cost]])</f>
        <v>2273.9150000000004</v>
      </c>
      <c r="O98" s="42">
        <f>tbl_scenarios[[#This Row],[net_profit_C]]/(tbl_raw[[#This Row],[gross_revenue]]*(1-scn_C_price_down))</f>
        <v>0.24585243653304839</v>
      </c>
      <c r="P98" s="43">
        <f>tbl_scenarios[[#This Row],[net_margin_C]]-tbl_scenarios[[#This Row],[net_margin_pct]]</f>
        <v>-3.7707378173347572E-2</v>
      </c>
      <c r="Q9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9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99" spans="1:18" x14ac:dyDescent="0.35">
      <c r="A99" s="17" t="str">
        <f>tbl_raw[[#This Row],[product_id]]</f>
        <v>933f4f76eae38d2a97ecfb7c6355f0bc</v>
      </c>
      <c r="B99" t="str">
        <f>tbl_raw[[#This Row],[category]]</f>
        <v>health_beauty</v>
      </c>
      <c r="C99" s="2">
        <f>tbl_profitability[[#This Row],[net_profit]]</f>
        <v>5250.8899999999985</v>
      </c>
      <c r="D99" s="42">
        <f>tbl_profitability[[#This Row],[net_margin_pct]]</f>
        <v>0.54306162446155504</v>
      </c>
      <c r="E99" s="49" t="str">
        <f>tbl_profitability[[#This Row],[decision]]</f>
        <v>OPTIMIZE</v>
      </c>
      <c r="F99" s="2">
        <f>tbl_raw[[#This Row],[gross_revenue]]-tbl_raw[[#This Row],[return_loss]]-tbl_raw[[#This Row],[cogs]]*(1+scn_A_cogs_up)-(tbl_raw[[#This Row],[storage_cost]]+tbl_raw[[#This Row],[fulfillment_cost]]+tbl_raw[[#This Row],[freight_cost]])</f>
        <v>4844.7899999999981</v>
      </c>
      <c r="G99" s="42">
        <f>tbl_scenarios[[#This Row],[net_profit_A]]/tbl_raw[[#This Row],[gross_revenue]]</f>
        <v>0.5010616348038327</v>
      </c>
      <c r="H99" s="43">
        <f>tbl_scenarios[[#This Row],[net_margin_A]]-tbl_scenarios[[#This Row],[net_margin_pct]]</f>
        <v>-4.1999989657722336E-2</v>
      </c>
      <c r="I99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99" s="2">
        <f>tbl_raw[[#This Row],[gross_revenue]]-tbl_raw[[#This Row],[return_loss]]*(1+scn_B_returns_up/0.05)-tbl_raw[[#This Row],[cogs]]-(tbl_raw[[#This Row],[storage_cost]]+tbl_raw[[#This Row],[fulfillment_cost]]+tbl_raw[[#This Row],[freight_cost]])</f>
        <v>5248.3699999999981</v>
      </c>
      <c r="K99" s="42">
        <f>tbl_scenarios[[#This Row],[net_profit_B]]/tbl_raw[[#This Row],[gross_revenue]]</f>
        <v>0.54280099906402368</v>
      </c>
      <c r="L99" s="43">
        <f>tbl_scenarios[[#This Row],[net_margin_B]]-tbl_scenarios[[#This Row],[net_margin_pct]]</f>
        <v>-2.606253975313555E-4</v>
      </c>
      <c r="M99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99" s="2">
        <f>tbl_raw[[#This Row],[gross_revenue]]*(1-scn_C_price_down)-tbl_raw[[#This Row],[return_loss]]-tbl_raw[[#This Row],[cogs]]-(tbl_raw[[#This Row],[storage_cost]]+tbl_raw[[#This Row],[fulfillment_cost]]+tbl_raw[[#This Row],[freight_cost]])</f>
        <v>4767.4374999999973</v>
      </c>
      <c r="O99" s="42">
        <f>tbl_scenarios[[#This Row],[net_profit_C]]/(tbl_raw[[#This Row],[gross_revenue]]*(1-scn_C_price_down))</f>
        <v>0.519012236275321</v>
      </c>
      <c r="P99" s="43">
        <f>tbl_scenarios[[#This Row],[net_margin_C]]-tbl_scenarios[[#This Row],[net_margin_pct]]</f>
        <v>-2.4049388186234033E-2</v>
      </c>
      <c r="Q99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9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00" spans="1:18" x14ac:dyDescent="0.35">
      <c r="A100" s="17" t="str">
        <f>tbl_raw[[#This Row],[product_id]]</f>
        <v>e9a69340883a438c3f91739d14d3a56d</v>
      </c>
      <c r="B100" t="str">
        <f>tbl_raw[[#This Row],[category]]</f>
        <v>housewares</v>
      </c>
      <c r="C100" s="2">
        <f>tbl_profitability[[#This Row],[net_profit]]</f>
        <v>3048.8900000000003</v>
      </c>
      <c r="D100" s="42">
        <f>tbl_profitability[[#This Row],[net_margin_pct]]</f>
        <v>0.31541078849334969</v>
      </c>
      <c r="E100" s="49" t="str">
        <f>tbl_profitability[[#This Row],[decision]]</f>
        <v>SCALE</v>
      </c>
      <c r="F100" s="2">
        <f>tbl_raw[[#This Row],[gross_revenue]]-tbl_raw[[#This Row],[return_loss]]-tbl_raw[[#This Row],[cogs]]*(1+scn_A_cogs_up)-(tbl_raw[[#This Row],[storage_cost]]+tbl_raw[[#This Row],[fulfillment_cost]]+tbl_raw[[#This Row],[freight_cost]])</f>
        <v>2613.902</v>
      </c>
      <c r="G100" s="42">
        <f>tbl_scenarios[[#This Row],[net_profit_A]]/tbl_raw[[#This Row],[gross_revenue]]</f>
        <v>0.27041083504630986</v>
      </c>
      <c r="H100" s="43">
        <f>tbl_scenarios[[#This Row],[net_margin_A]]-tbl_scenarios[[#This Row],[net_margin_pct]]</f>
        <v>-4.4999953447039831E-2</v>
      </c>
      <c r="I10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00" s="2">
        <f>tbl_raw[[#This Row],[gross_revenue]]-tbl_raw[[#This Row],[return_loss]]*(1+scn_B_returns_up/0.05)-tbl_raw[[#This Row],[cogs]]-(tbl_raw[[#This Row],[storage_cost]]+tbl_raw[[#This Row],[fulfillment_cost]]+tbl_raw[[#This Row],[freight_cost]])</f>
        <v>3028.0099999999993</v>
      </c>
      <c r="K100" s="42">
        <f>tbl_scenarios[[#This Row],[net_profit_B]]/tbl_raw[[#This Row],[gross_revenue]]</f>
        <v>0.3132507311401026</v>
      </c>
      <c r="L100" s="43">
        <f>tbl_scenarios[[#This Row],[net_margin_B]]-tbl_scenarios[[#This Row],[net_margin_pct]]</f>
        <v>-2.1600573532470912E-3</v>
      </c>
      <c r="M10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00" s="2">
        <f>tbl_raw[[#This Row],[gross_revenue]]*(1-scn_C_price_down)-tbl_raw[[#This Row],[return_loss]]-tbl_raw[[#This Row],[cogs]]-(tbl_raw[[#This Row],[storage_cost]]+tbl_raw[[#This Row],[fulfillment_cost]]+tbl_raw[[#This Row],[freight_cost]])</f>
        <v>2565.5695000000005</v>
      </c>
      <c r="O100" s="42">
        <f>tbl_scenarios[[#This Row],[net_profit_C]]/(tbl_raw[[#This Row],[gross_revenue]]*(1-scn_C_price_down))</f>
        <v>0.27937977736142072</v>
      </c>
      <c r="P100" s="43">
        <f>tbl_scenarios[[#This Row],[net_margin_C]]-tbl_scenarios[[#This Row],[net_margin_pct]]</f>
        <v>-3.6031011131928969E-2</v>
      </c>
      <c r="Q10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0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01" spans="1:18" x14ac:dyDescent="0.35">
      <c r="A101" s="17" t="str">
        <f>tbl_raw[[#This Row],[product_id]]</f>
        <v>78efe838c04bbc568be034082200ac20</v>
      </c>
      <c r="B101" t="str">
        <f>tbl_raw[[#This Row],[category]]</f>
        <v>furniture_decor</v>
      </c>
      <c r="C101" s="2">
        <f>tbl_profitability[[#This Row],[net_profit]]</f>
        <v>1383.13</v>
      </c>
      <c r="D101" s="42">
        <f>tbl_profitability[[#This Row],[net_margin_pct]]</f>
        <v>0.14338599655823017</v>
      </c>
      <c r="E101" s="49" t="str">
        <f>tbl_profitability[[#This Row],[decision]]</f>
        <v>OPTIMIZE</v>
      </c>
      <c r="F101" s="2">
        <f>tbl_raw[[#This Row],[gross_revenue]]-tbl_raw[[#This Row],[return_loss]]-tbl_raw[[#This Row],[cogs]]*(1+scn_A_cogs_up)-(tbl_raw[[#This Row],[storage_cost]]+tbl_raw[[#This Row],[fulfillment_cost]]+tbl_raw[[#This Row],[freight_cost]])</f>
        <v>949.05099999999948</v>
      </c>
      <c r="G101" s="42">
        <f>tbl_scenarios[[#This Row],[net_profit_A]]/tbl_raw[[#This Row],[gross_revenue]]</f>
        <v>9.8385996558230118E-2</v>
      </c>
      <c r="H101" s="43">
        <f>tbl_scenarios[[#This Row],[net_margin_A]]-tbl_scenarios[[#This Row],[net_margin_pct]]</f>
        <v>-4.5000000000000054E-2</v>
      </c>
      <c r="I101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101" s="2">
        <f>tbl_raw[[#This Row],[gross_revenue]]-tbl_raw[[#This Row],[return_loss]]*(1+scn_B_returns_up/0.05)-tbl_raw[[#This Row],[cogs]]-(tbl_raw[[#This Row],[storage_cost]]+tbl_raw[[#This Row],[fulfillment_cost]]+tbl_raw[[#This Row],[freight_cost]])</f>
        <v>1346.7700000000013</v>
      </c>
      <c r="K101" s="42">
        <f>tbl_scenarios[[#This Row],[net_profit_B]]/tbl_raw[[#This Row],[gross_revenue]]</f>
        <v>0.13961663660301479</v>
      </c>
      <c r="L101" s="43">
        <f>tbl_scenarios[[#This Row],[net_margin_B]]-tbl_scenarios[[#This Row],[net_margin_pct]]</f>
        <v>-3.7693599552153789E-3</v>
      </c>
      <c r="M10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01" s="2">
        <f>tbl_raw[[#This Row],[gross_revenue]]*(1-scn_C_price_down)-tbl_raw[[#This Row],[return_loss]]-tbl_raw[[#This Row],[cogs]]-(tbl_raw[[#This Row],[storage_cost]]+tbl_raw[[#This Row],[fulfillment_cost]]+tbl_raw[[#This Row],[freight_cost]])</f>
        <v>900.8199999999988</v>
      </c>
      <c r="O101" s="42">
        <f>tbl_scenarios[[#This Row],[net_profit_C]]/(tbl_raw[[#This Row],[gross_revenue]]*(1-scn_C_price_down))</f>
        <v>9.8301049008663224E-2</v>
      </c>
      <c r="P101" s="43">
        <f>tbl_scenarios[[#This Row],[net_margin_C]]-tbl_scenarios[[#This Row],[net_margin_pct]]</f>
        <v>-4.5084947549566948E-2</v>
      </c>
      <c r="Q101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10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102" spans="1:18" x14ac:dyDescent="0.35">
      <c r="A102" s="17" t="str">
        <f>tbl_raw[[#This Row],[product_id]]</f>
        <v>29427de7f8a9ee983d9dbc51cec569b4</v>
      </c>
      <c r="B102" t="str">
        <f>tbl_raw[[#This Row],[category]]</f>
        <v>cool_stuff</v>
      </c>
      <c r="C102" s="2">
        <f>tbl_profitability[[#This Row],[net_profit]]</f>
        <v>3012.5699999999997</v>
      </c>
      <c r="D102" s="42">
        <f>tbl_profitability[[#This Row],[net_margin_pct]]</f>
        <v>0.31290813438378001</v>
      </c>
      <c r="E102" s="49" t="str">
        <f>tbl_profitability[[#This Row],[decision]]</f>
        <v>SCALE</v>
      </c>
      <c r="F102" s="2">
        <f>tbl_raw[[#This Row],[gross_revenue]]-tbl_raw[[#This Row],[return_loss]]-tbl_raw[[#This Row],[cogs]]*(1+scn_A_cogs_up)-(tbl_raw[[#This Row],[storage_cost]]+tbl_raw[[#This Row],[fulfillment_cost]]+tbl_raw[[#This Row],[freight_cost]])</f>
        <v>2579.3259999999991</v>
      </c>
      <c r="G102" s="42">
        <f>tbl_scenarios[[#This Row],[net_profit_A]]/tbl_raw[[#This Row],[gross_revenue]]</f>
        <v>0.26790816035065662</v>
      </c>
      <c r="H102" s="43">
        <f>tbl_scenarios[[#This Row],[net_margin_A]]-tbl_scenarios[[#This Row],[net_margin_pct]]</f>
        <v>-4.4999974033123391E-2</v>
      </c>
      <c r="I10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02" s="2">
        <f>tbl_raw[[#This Row],[gross_revenue]]-tbl_raw[[#This Row],[return_loss]]*(1+scn_B_returns_up/0.05)-tbl_raw[[#This Row],[cogs]]-(tbl_raw[[#This Row],[storage_cost]]+tbl_raw[[#This Row],[fulfillment_cost]]+tbl_raw[[#This Row],[freight_cost]])</f>
        <v>2977.6499999999996</v>
      </c>
      <c r="K102" s="42">
        <f>tbl_scenarios[[#This Row],[net_profit_B]]/tbl_raw[[#This Row],[gross_revenue]]</f>
        <v>0.30928108105300878</v>
      </c>
      <c r="L102" s="43">
        <f>tbl_scenarios[[#This Row],[net_margin_B]]-tbl_scenarios[[#This Row],[net_margin_pct]]</f>
        <v>-3.6270533307712349E-3</v>
      </c>
      <c r="M10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02" s="2">
        <f>tbl_raw[[#This Row],[gross_revenue]]*(1-scn_C_price_down)-tbl_raw[[#This Row],[return_loss]]-tbl_raw[[#This Row],[cogs]]-(tbl_raw[[#This Row],[storage_cost]]+tbl_raw[[#This Row],[fulfillment_cost]]+tbl_raw[[#This Row],[freight_cost]])</f>
        <v>2531.1875</v>
      </c>
      <c r="O102" s="42">
        <f>tbl_scenarios[[#This Row],[net_profit_C]]/(tbl_raw[[#This Row],[gross_revenue]]*(1-scn_C_price_down))</f>
        <v>0.27674540461450531</v>
      </c>
      <c r="P102" s="43">
        <f>tbl_scenarios[[#This Row],[net_margin_C]]-tbl_scenarios[[#This Row],[net_margin_pct]]</f>
        <v>-3.6162729769274704E-2</v>
      </c>
      <c r="Q10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0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03" spans="1:18" x14ac:dyDescent="0.35">
      <c r="A103" s="17" t="str">
        <f>tbl_raw[[#This Row],[product_id]]</f>
        <v>b4436da747c3a53ab07ac0e71de17dcd</v>
      </c>
      <c r="B103" t="str">
        <f>tbl_raw[[#This Row],[category]]</f>
        <v>sports_leisure</v>
      </c>
      <c r="C103" s="2">
        <f>tbl_profitability[[#This Row],[net_profit]]</f>
        <v>5051.18</v>
      </c>
      <c r="D103" s="42">
        <f>tbl_profitability[[#This Row],[net_margin_pct]]</f>
        <v>0.52649364185949554</v>
      </c>
      <c r="E103" s="49" t="str">
        <f>tbl_profitability[[#This Row],[decision]]</f>
        <v>EXIT</v>
      </c>
      <c r="F103" s="2">
        <f>tbl_raw[[#This Row],[gross_revenue]]-tbl_raw[[#This Row],[return_loss]]-tbl_raw[[#This Row],[cogs]]*(1+scn_A_cogs_up)-(tbl_raw[[#This Row],[storage_cost]]+tbl_raw[[#This Row],[fulfillment_cost]]+tbl_raw[[#This Row],[freight_cost]])</f>
        <v>4648.2319999999991</v>
      </c>
      <c r="G103" s="42">
        <f>tbl_scenarios[[#This Row],[net_profit_A]]/tbl_raw[[#This Row],[gross_revenue]]</f>
        <v>0.48449364185949539</v>
      </c>
      <c r="H103" s="43">
        <f>tbl_scenarios[[#This Row],[net_margin_A]]-tbl_scenarios[[#This Row],[net_margin_pct]]</f>
        <v>-4.2000000000000148E-2</v>
      </c>
      <c r="I103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103" s="2">
        <f>tbl_raw[[#This Row],[gross_revenue]]-tbl_raw[[#This Row],[return_loss]]*(1+scn_B_returns_up/0.05)-tbl_raw[[#This Row],[cogs]]-(tbl_raw[[#This Row],[storage_cost]]+tbl_raw[[#This Row],[fulfillment_cost]]+tbl_raw[[#This Row],[freight_cost]])</f>
        <v>5049.0200000000004</v>
      </c>
      <c r="K103" s="42">
        <f>tbl_scenarios[[#This Row],[net_profit_B]]/tbl_raw[[#This Row],[gross_revenue]]</f>
        <v>0.52626850114654999</v>
      </c>
      <c r="L103" s="43">
        <f>tbl_scenarios[[#This Row],[net_margin_B]]-tbl_scenarios[[#This Row],[net_margin_pct]]</f>
        <v>-2.2514071294554849E-4</v>
      </c>
      <c r="M103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103" s="2">
        <f>tbl_raw[[#This Row],[gross_revenue]]*(1-scn_C_price_down)-tbl_raw[[#This Row],[return_loss]]-tbl_raw[[#This Row],[cogs]]-(tbl_raw[[#This Row],[storage_cost]]+tbl_raw[[#This Row],[fulfillment_cost]]+tbl_raw[[#This Row],[freight_cost]])</f>
        <v>4571.4799999999996</v>
      </c>
      <c r="O103" s="42">
        <f>tbl_scenarios[[#This Row],[net_profit_C]]/(tbl_raw[[#This Row],[gross_revenue]]*(1-scn_C_price_down))</f>
        <v>0.50157225458894261</v>
      </c>
      <c r="P103" s="43">
        <f>tbl_scenarios[[#This Row],[net_margin_C]]-tbl_scenarios[[#This Row],[net_margin_pct]]</f>
        <v>-2.492138727055293E-2</v>
      </c>
      <c r="Q103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10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04" spans="1:18" x14ac:dyDescent="0.35">
      <c r="A104" s="17" t="str">
        <f>tbl_raw[[#This Row],[product_id]]</f>
        <v>25f86162fee18735fffdb762dcb10d7c</v>
      </c>
      <c r="B104" t="str">
        <f>tbl_raw[[#This Row],[category]]</f>
        <v>bed_bath_table</v>
      </c>
      <c r="C104" s="2">
        <f>tbl_profitability[[#This Row],[net_profit]]</f>
        <v>3285.2699999999995</v>
      </c>
      <c r="D104" s="42">
        <f>tbl_profitability[[#This Row],[net_margin_pct]]</f>
        <v>0.34495369495369493</v>
      </c>
      <c r="E104" s="49" t="str">
        <f>tbl_profitability[[#This Row],[decision]]</f>
        <v>SCALE</v>
      </c>
      <c r="F104" s="2">
        <f>tbl_raw[[#This Row],[gross_revenue]]-tbl_raw[[#This Row],[return_loss]]-tbl_raw[[#This Row],[cogs]]*(1+scn_A_cogs_up)-(tbl_raw[[#This Row],[storage_cost]]+tbl_raw[[#This Row],[fulfillment_cost]]+tbl_raw[[#This Row],[freight_cost]])</f>
        <v>2856.6989999999987</v>
      </c>
      <c r="G104" s="42">
        <f>tbl_scenarios[[#This Row],[net_profit_A]]/tbl_raw[[#This Row],[gross_revenue]]</f>
        <v>0.29995369495369484</v>
      </c>
      <c r="H104" s="43">
        <f>tbl_scenarios[[#This Row],[net_margin_A]]-tbl_scenarios[[#This Row],[net_margin_pct]]</f>
        <v>-4.5000000000000095E-2</v>
      </c>
      <c r="I10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04" s="2">
        <f>tbl_raw[[#This Row],[gross_revenue]]-tbl_raw[[#This Row],[return_loss]]*(1+scn_B_returns_up/0.05)-tbl_raw[[#This Row],[cogs]]-(tbl_raw[[#This Row],[storage_cost]]+tbl_raw[[#This Row],[fulfillment_cost]]+tbl_raw[[#This Row],[freight_cost]])</f>
        <v>3262.95</v>
      </c>
      <c r="K104" s="42">
        <f>tbl_scenarios[[#This Row],[net_profit_B]]/tbl_raw[[#This Row],[gross_revenue]]</f>
        <v>0.34261009261009262</v>
      </c>
      <c r="L104" s="43">
        <f>tbl_scenarios[[#This Row],[net_margin_B]]-tbl_scenarios[[#This Row],[net_margin_pct]]</f>
        <v>-2.3436023436023135E-3</v>
      </c>
      <c r="M10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04" s="2">
        <f>tbl_raw[[#This Row],[gross_revenue]]*(1-scn_C_price_down)-tbl_raw[[#This Row],[return_loss]]-tbl_raw[[#This Row],[cogs]]-(tbl_raw[[#This Row],[storage_cost]]+tbl_raw[[#This Row],[fulfillment_cost]]+tbl_raw[[#This Row],[freight_cost]])</f>
        <v>2809.079999999999</v>
      </c>
      <c r="O104" s="42">
        <f>tbl_scenarios[[#This Row],[net_profit_C]]/(tbl_raw[[#This Row],[gross_revenue]]*(1-scn_C_price_down))</f>
        <v>0.3104775736354683</v>
      </c>
      <c r="P104" s="43">
        <f>tbl_scenarios[[#This Row],[net_margin_C]]-tbl_scenarios[[#This Row],[net_margin_pct]]</f>
        <v>-3.4476121318226638E-2</v>
      </c>
      <c r="Q10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0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05" spans="1:18" x14ac:dyDescent="0.35">
      <c r="A105" s="17" t="str">
        <f>tbl_raw[[#This Row],[product_id]]</f>
        <v>4df83a41105e00e0845b9d12b5fe601c</v>
      </c>
      <c r="B105" t="str">
        <f>tbl_raw[[#This Row],[category]]</f>
        <v>watches_gifts</v>
      </c>
      <c r="C105" s="2">
        <f>tbl_profitability[[#This Row],[net_profit]]</f>
        <v>5211.3700000000008</v>
      </c>
      <c r="D105" s="42">
        <f>tbl_profitability[[#This Row],[net_margin_pct]]</f>
        <v>0.55070431465376046</v>
      </c>
      <c r="E105" s="49" t="str">
        <f>tbl_profitability[[#This Row],[decision]]</f>
        <v>SCALE</v>
      </c>
      <c r="F105" s="2">
        <f>tbl_raw[[#This Row],[gross_revenue]]-tbl_raw[[#This Row],[return_loss]]-tbl_raw[[#This Row],[cogs]]*(1+scn_A_cogs_up)-(tbl_raw[[#This Row],[storage_cost]]+tbl_raw[[#This Row],[fulfillment_cost]]+tbl_raw[[#This Row],[freight_cost]])</f>
        <v>4813.92</v>
      </c>
      <c r="G105" s="42">
        <f>tbl_scenarios[[#This Row],[net_profit_A]]/tbl_raw[[#This Row],[gross_revenue]]</f>
        <v>0.50870433578848373</v>
      </c>
      <c r="H105" s="43">
        <f>tbl_scenarios[[#This Row],[net_margin_A]]-tbl_scenarios[[#This Row],[net_margin_pct]]</f>
        <v>-4.1999978865276733E-2</v>
      </c>
      <c r="I10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05" s="2">
        <f>tbl_raw[[#This Row],[gross_revenue]]-tbl_raw[[#This Row],[return_loss]]*(1+scn_B_returns_up/0.05)-tbl_raw[[#This Row],[cogs]]-(tbl_raw[[#This Row],[storage_cost]]+tbl_raw[[#This Row],[fulfillment_cost]]+tbl_raw[[#This Row],[freight_cost]])</f>
        <v>5207.41</v>
      </c>
      <c r="K105" s="42">
        <f>tbl_scenarios[[#This Row],[net_profit_B]]/tbl_raw[[#This Row],[gross_revenue]]</f>
        <v>0.55028584713254636</v>
      </c>
      <c r="L105" s="43">
        <f>tbl_scenarios[[#This Row],[net_margin_B]]-tbl_scenarios[[#This Row],[net_margin_pct]]</f>
        <v>-4.1846752121410535E-4</v>
      </c>
      <c r="M10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05" s="2">
        <f>tbl_raw[[#This Row],[gross_revenue]]*(1-scn_C_price_down)-tbl_raw[[#This Row],[return_loss]]-tbl_raw[[#This Row],[cogs]]-(tbl_raw[[#This Row],[storage_cost]]+tbl_raw[[#This Row],[fulfillment_cost]]+tbl_raw[[#This Row],[freight_cost]])</f>
        <v>4738.2150000000001</v>
      </c>
      <c r="O105" s="42">
        <f>tbl_scenarios[[#This Row],[net_profit_C]]/(tbl_raw[[#This Row],[gross_revenue]]*(1-scn_C_price_down))</f>
        <v>0.52705717331974777</v>
      </c>
      <c r="P105" s="43">
        <f>tbl_scenarios[[#This Row],[net_margin_C]]-tbl_scenarios[[#This Row],[net_margin_pct]]</f>
        <v>-2.3647141334012689E-2</v>
      </c>
      <c r="Q10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0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06" spans="1:18" x14ac:dyDescent="0.35">
      <c r="A106" s="17" t="str">
        <f>tbl_raw[[#This Row],[product_id]]</f>
        <v>9bfc55df037ce3ac01bfd84781adf7e5</v>
      </c>
      <c r="B106" t="str">
        <f>tbl_raw[[#This Row],[category]]</f>
        <v>audio</v>
      </c>
      <c r="C106" s="2">
        <f>tbl_profitability[[#This Row],[net_profit]]</f>
        <v>3591.5400000000009</v>
      </c>
      <c r="D106" s="42">
        <f>tbl_profitability[[#This Row],[net_margin_pct]]</f>
        <v>0.38038157412565643</v>
      </c>
      <c r="E106" s="49" t="str">
        <f>tbl_profitability[[#This Row],[decision]]</f>
        <v>SCALE</v>
      </c>
      <c r="F106" s="2">
        <f>tbl_raw[[#This Row],[gross_revenue]]-tbl_raw[[#This Row],[return_loss]]-tbl_raw[[#This Row],[cogs]]*(1+scn_A_cogs_up)-(tbl_raw[[#This Row],[storage_cost]]+tbl_raw[[#This Row],[fulfillment_cost]]+tbl_raw[[#This Row],[freight_cost]])</f>
        <v>3053.3490000000002</v>
      </c>
      <c r="G106" s="42">
        <f>tbl_scenarios[[#This Row],[net_profit_A]]/tbl_raw[[#This Row],[gross_revenue]]</f>
        <v>0.32338152964327244</v>
      </c>
      <c r="H106" s="43">
        <f>tbl_scenarios[[#This Row],[net_margin_A]]-tbl_scenarios[[#This Row],[net_margin_pct]]</f>
        <v>-5.7000044482383994E-2</v>
      </c>
      <c r="I10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06" s="2">
        <f>tbl_raw[[#This Row],[gross_revenue]]-tbl_raw[[#This Row],[return_loss]]*(1+scn_B_returns_up/0.05)-tbl_raw[[#This Row],[cogs]]-(tbl_raw[[#This Row],[storage_cost]]+tbl_raw[[#This Row],[fulfillment_cost]]+tbl_raw[[#This Row],[freight_cost]])</f>
        <v>3577.1400000000012</v>
      </c>
      <c r="K106" s="42">
        <f>tbl_scenarios[[#This Row],[net_profit_B]]/tbl_raw[[#This Row],[gross_revenue]]</f>
        <v>0.37885646381993543</v>
      </c>
      <c r="L106" s="43">
        <f>tbl_scenarios[[#This Row],[net_margin_B]]-tbl_scenarios[[#This Row],[net_margin_pct]]</f>
        <v>-1.5251103057210003E-3</v>
      </c>
      <c r="M10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06" s="2">
        <f>tbl_raw[[#This Row],[gross_revenue]]*(1-scn_C_price_down)-tbl_raw[[#This Row],[return_loss]]-tbl_raw[[#This Row],[cogs]]-(tbl_raw[[#This Row],[storage_cost]]+tbl_raw[[#This Row],[fulfillment_cost]]+tbl_raw[[#This Row],[freight_cost]])</f>
        <v>3119.4430000000011</v>
      </c>
      <c r="O106" s="42">
        <f>tbl_scenarios[[#This Row],[net_profit_C]]/(tbl_raw[[#This Row],[gross_revenue]]*(1-scn_C_price_down))</f>
        <v>0.34777007802700682</v>
      </c>
      <c r="P106" s="43">
        <f>tbl_scenarios[[#This Row],[net_margin_C]]-tbl_scenarios[[#This Row],[net_margin_pct]]</f>
        <v>-3.2611496098649606E-2</v>
      </c>
      <c r="Q10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0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07" spans="1:18" x14ac:dyDescent="0.35">
      <c r="A107" s="17" t="str">
        <f>tbl_raw[[#This Row],[product_id]]</f>
        <v>db5efde3ad0cc579b130d71c4b2db522</v>
      </c>
      <c r="B107" t="str">
        <f>tbl_raw[[#This Row],[category]]</f>
        <v>audio</v>
      </c>
      <c r="C107" s="2">
        <f>tbl_profitability[[#This Row],[net_profit]]</f>
        <v>2844.28</v>
      </c>
      <c r="D107" s="42">
        <f>tbl_profitability[[#This Row],[net_margin_pct]]</f>
        <v>0.30175539849222027</v>
      </c>
      <c r="E107" s="49" t="str">
        <f>tbl_profitability[[#This Row],[decision]]</f>
        <v>OPTIMIZE</v>
      </c>
      <c r="F107" s="2">
        <f>tbl_raw[[#This Row],[gross_revenue]]-tbl_raw[[#This Row],[return_loss]]-tbl_raw[[#This Row],[cogs]]*(1+scn_A_cogs_up)-(tbl_raw[[#This Row],[storage_cost]]+tbl_raw[[#This Row],[fulfillment_cost]]+tbl_raw[[#This Row],[freight_cost]])</f>
        <v>2307.011</v>
      </c>
      <c r="G107" s="42">
        <f>tbl_scenarios[[#This Row],[net_profit_A]]/tbl_raw[[#This Row],[gross_revenue]]</f>
        <v>0.24475544729454748</v>
      </c>
      <c r="H107" s="43">
        <f>tbl_scenarios[[#This Row],[net_margin_A]]-tbl_scenarios[[#This Row],[net_margin_pct]]</f>
        <v>-5.6999951197672788E-2</v>
      </c>
      <c r="I10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07" s="2">
        <f>tbl_raw[[#This Row],[gross_revenue]]-tbl_raw[[#This Row],[return_loss]]*(1+scn_B_returns_up/0.05)-tbl_raw[[#This Row],[cogs]]-(tbl_raw[[#This Row],[storage_cost]]+tbl_raw[[#This Row],[fulfillment_cost]]+tbl_raw[[#This Row],[freight_cost]])</f>
        <v>2801.0800000000013</v>
      </c>
      <c r="K107" s="42">
        <f>tbl_scenarios[[#This Row],[net_profit_B]]/tbl_raw[[#This Row],[gross_revenue]]</f>
        <v>0.29717222341281052</v>
      </c>
      <c r="L107" s="43">
        <f>tbl_scenarios[[#This Row],[net_margin_B]]-tbl_scenarios[[#This Row],[net_margin_pct]]</f>
        <v>-4.5831750794097514E-3</v>
      </c>
      <c r="M10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07" s="2">
        <f>tbl_raw[[#This Row],[gross_revenue]]*(1-scn_C_price_down)-tbl_raw[[#This Row],[return_loss]]-tbl_raw[[#This Row],[cogs]]-(tbl_raw[[#This Row],[storage_cost]]+tbl_raw[[#This Row],[fulfillment_cost]]+tbl_raw[[#This Row],[freight_cost]])</f>
        <v>2372.9909999999995</v>
      </c>
      <c r="O107" s="42">
        <f>tbl_scenarios[[#This Row],[net_profit_C]]/(tbl_raw[[#This Row],[gross_revenue]]*(1-scn_C_price_down))</f>
        <v>0.26500568262338969</v>
      </c>
      <c r="P107" s="43">
        <f>tbl_scenarios[[#This Row],[net_margin_C]]-tbl_scenarios[[#This Row],[net_margin_pct]]</f>
        <v>-3.6749715868830579E-2</v>
      </c>
      <c r="Q10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0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08" spans="1:18" x14ac:dyDescent="0.35">
      <c r="A108" s="17" t="str">
        <f>tbl_raw[[#This Row],[product_id]]</f>
        <v>2a5806f10d0f00e5ad032dd2e3c8806e</v>
      </c>
      <c r="B108" t="str">
        <f>tbl_raw[[#This Row],[category]]</f>
        <v>office_furniture</v>
      </c>
      <c r="C108" s="2">
        <f>tbl_profitability[[#This Row],[net_profit]]</f>
        <v>1967.550000000002</v>
      </c>
      <c r="D108" s="42">
        <f>tbl_profitability[[#This Row],[net_margin_pct]]</f>
        <v>0.20883728088563883</v>
      </c>
      <c r="E108" s="49" t="str">
        <f>tbl_profitability[[#This Row],[decision]]</f>
        <v>OPTIMIZE</v>
      </c>
      <c r="F108" s="2">
        <f>tbl_raw[[#This Row],[gross_revenue]]-tbl_raw[[#This Row],[return_loss]]-tbl_raw[[#This Row],[cogs]]*(1+scn_A_cogs_up)-(tbl_raw[[#This Row],[storage_cost]]+tbl_raw[[#This Row],[fulfillment_cost]]+tbl_raw[[#This Row],[freight_cost]])</f>
        <v>1543.5850000000019</v>
      </c>
      <c r="G108" s="42">
        <f>tbl_scenarios[[#This Row],[net_profit_A]]/tbl_raw[[#This Row],[gross_revenue]]</f>
        <v>0.16383730742083244</v>
      </c>
      <c r="H108" s="43">
        <f>tbl_scenarios[[#This Row],[net_margin_A]]-tbl_scenarios[[#This Row],[net_margin_pct]]</f>
        <v>-4.4999973464806386E-2</v>
      </c>
      <c r="I10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08" s="2">
        <f>tbl_raw[[#This Row],[gross_revenue]]-tbl_raw[[#This Row],[return_loss]]*(1+scn_B_returns_up/0.05)-tbl_raw[[#This Row],[cogs]]-(tbl_raw[[#This Row],[storage_cost]]+tbl_raw[[#This Row],[fulfillment_cost]]+tbl_raw[[#This Row],[freight_cost]])</f>
        <v>1947.7500000000009</v>
      </c>
      <c r="K108" s="42">
        <f>tbl_scenarios[[#This Row],[net_profit_B]]/tbl_raw[[#This Row],[gross_revenue]]</f>
        <v>0.20673569355035593</v>
      </c>
      <c r="L108" s="43">
        <f>tbl_scenarios[[#This Row],[net_margin_B]]-tbl_scenarios[[#This Row],[net_margin_pct]]</f>
        <v>-2.1015873352829006E-3</v>
      </c>
      <c r="M10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08" s="2">
        <f>tbl_raw[[#This Row],[gross_revenue]]*(1-scn_C_price_down)-tbl_raw[[#This Row],[return_loss]]-tbl_raw[[#This Row],[cogs]]-(tbl_raw[[#This Row],[storage_cost]]+tbl_raw[[#This Row],[fulfillment_cost]]+tbl_raw[[#This Row],[freight_cost]])</f>
        <v>1496.4775000000018</v>
      </c>
      <c r="O108" s="42">
        <f>tbl_scenarios[[#This Row],[net_profit_C]]/(tbl_raw[[#This Row],[gross_revenue]]*(1-scn_C_price_down))</f>
        <v>0.16719713777435663</v>
      </c>
      <c r="P108" s="43">
        <f>tbl_scenarios[[#This Row],[net_margin_C]]-tbl_scenarios[[#This Row],[net_margin_pct]]</f>
        <v>-4.1640143111282196E-2</v>
      </c>
      <c r="Q10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0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09" spans="1:18" x14ac:dyDescent="0.35">
      <c r="A109" s="17" t="str">
        <f>tbl_raw[[#This Row],[product_id]]</f>
        <v>34f99d82cfc355d08d8db780d14aa002</v>
      </c>
      <c r="B109" t="str">
        <f>tbl_raw[[#This Row],[category]]</f>
        <v>computers</v>
      </c>
      <c r="C109" s="2">
        <f>tbl_profitability[[#This Row],[net_profit]]</f>
        <v>3623.0499999999993</v>
      </c>
      <c r="D109" s="42">
        <f>tbl_profitability[[#This Row],[net_margin_pct]]</f>
        <v>0.38543208116621641</v>
      </c>
      <c r="E109" s="49" t="str">
        <f>tbl_profitability[[#This Row],[decision]]</f>
        <v>SCALE</v>
      </c>
      <c r="F109" s="2">
        <f>tbl_raw[[#This Row],[gross_revenue]]-tbl_raw[[#This Row],[return_loss]]-tbl_raw[[#This Row],[cogs]]*(1+scn_A_cogs_up)-(tbl_raw[[#This Row],[storage_cost]]+tbl_raw[[#This Row],[fulfillment_cost]]+tbl_raw[[#This Row],[freight_cost]])</f>
        <v>3087.2519999999986</v>
      </c>
      <c r="G109" s="42">
        <f>tbl_scenarios[[#This Row],[net_profit_A]]/tbl_raw[[#This Row],[gross_revenue]]</f>
        <v>0.32843211201737865</v>
      </c>
      <c r="H109" s="43">
        <f>tbl_scenarios[[#This Row],[net_margin_A]]-tbl_scenarios[[#This Row],[net_margin_pct]]</f>
        <v>-5.6999969148837759E-2</v>
      </c>
      <c r="I10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09" s="2">
        <f>tbl_raw[[#This Row],[gross_revenue]]-tbl_raw[[#This Row],[return_loss]]*(1+scn_B_returns_up/0.05)-tbl_raw[[#This Row],[cogs]]-(tbl_raw[[#This Row],[storage_cost]]+tbl_raw[[#This Row],[fulfillment_cost]]+tbl_raw[[#This Row],[freight_cost]])</f>
        <v>3620.3500000000004</v>
      </c>
      <c r="K109" s="42">
        <f>tbl_scenarios[[#This Row],[net_profit_B]]/tbl_raw[[#This Row],[gross_revenue]]</f>
        <v>0.38514484620695605</v>
      </c>
      <c r="L109" s="43">
        <f>tbl_scenarios[[#This Row],[net_margin_B]]-tbl_scenarios[[#This Row],[net_margin_pct]]</f>
        <v>-2.8723495926036291E-4</v>
      </c>
      <c r="M10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09" s="2">
        <f>tbl_raw[[#This Row],[gross_revenue]]*(1-scn_C_price_down)-tbl_raw[[#This Row],[return_loss]]-tbl_raw[[#This Row],[cogs]]-(tbl_raw[[#This Row],[storage_cost]]+tbl_raw[[#This Row],[fulfillment_cost]]+tbl_raw[[#This Row],[freight_cost]])</f>
        <v>3153.0514999999996</v>
      </c>
      <c r="O109" s="42">
        <f>tbl_scenarios[[#This Row],[net_profit_C]]/(tbl_raw[[#This Row],[gross_revenue]]*(1-scn_C_price_down))</f>
        <v>0.35308640122759627</v>
      </c>
      <c r="P109" s="43">
        <f>tbl_scenarios[[#This Row],[net_margin_C]]-tbl_scenarios[[#This Row],[net_margin_pct]]</f>
        <v>-3.2345679938620142E-2</v>
      </c>
      <c r="Q10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0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10" spans="1:18" x14ac:dyDescent="0.35">
      <c r="A110" s="17" t="str">
        <f>tbl_raw[[#This Row],[product_id]]</f>
        <v>cce3ce6484896041ae3dafdd4308a39c</v>
      </c>
      <c r="B110" t="str">
        <f>tbl_raw[[#This Row],[category]]</f>
        <v>consoles_games</v>
      </c>
      <c r="C110" s="2">
        <f>tbl_profitability[[#This Row],[net_profit]]</f>
        <v>3692.8599999999997</v>
      </c>
      <c r="D110" s="42">
        <f>tbl_profitability[[#This Row],[net_margin_pct]]</f>
        <v>0.39475099172520095</v>
      </c>
      <c r="E110" s="49" t="str">
        <f>tbl_profitability[[#This Row],[decision]]</f>
        <v>SCALE</v>
      </c>
      <c r="F110" s="2">
        <f>tbl_raw[[#This Row],[gross_revenue]]-tbl_raw[[#This Row],[return_loss]]-tbl_raw[[#This Row],[cogs]]*(1+scn_A_cogs_up)-(tbl_raw[[#This Row],[storage_cost]]+tbl_raw[[#This Row],[fulfillment_cost]]+tbl_raw[[#This Row],[freight_cost]])</f>
        <v>3159.6299999999992</v>
      </c>
      <c r="G110" s="42">
        <f>tbl_scenarios[[#This Row],[net_profit_A]]/tbl_raw[[#This Row],[gross_revenue]]</f>
        <v>0.33775097782875507</v>
      </c>
      <c r="H110" s="43">
        <f>tbl_scenarios[[#This Row],[net_margin_A]]-tbl_scenarios[[#This Row],[net_margin_pct]]</f>
        <v>-5.7000013896445878E-2</v>
      </c>
      <c r="I11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10" s="2">
        <f>tbl_raw[[#This Row],[gross_revenue]]-tbl_raw[[#This Row],[return_loss]]*(1+scn_B_returns_up/0.05)-tbl_raw[[#This Row],[cogs]]-(tbl_raw[[#This Row],[storage_cost]]+tbl_raw[[#This Row],[fulfillment_cost]]+tbl_raw[[#This Row],[freight_cost]])</f>
        <v>3689.62</v>
      </c>
      <c r="K110" s="42">
        <f>tbl_scenarios[[#This Row],[net_profit_B]]/tbl_raw[[#This Row],[gross_revenue]]</f>
        <v>0.39440464953698112</v>
      </c>
      <c r="L110" s="43">
        <f>tbl_scenarios[[#This Row],[net_margin_B]]-tbl_scenarios[[#This Row],[net_margin_pct]]</f>
        <v>-3.463421882198281E-4</v>
      </c>
      <c r="M11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10" s="2">
        <f>tbl_raw[[#This Row],[gross_revenue]]*(1-scn_C_price_down)-tbl_raw[[#This Row],[return_loss]]-tbl_raw[[#This Row],[cogs]]-(tbl_raw[[#This Row],[storage_cost]]+tbl_raw[[#This Row],[fulfillment_cost]]+tbl_raw[[#This Row],[freight_cost]])</f>
        <v>3225.1144999999988</v>
      </c>
      <c r="O110" s="42">
        <f>tbl_scenarios[[#This Row],[net_profit_C]]/(tbl_raw[[#This Row],[gross_revenue]]*(1-scn_C_price_down))</f>
        <v>0.36289578076336937</v>
      </c>
      <c r="P110" s="43">
        <f>tbl_scenarios[[#This Row],[net_margin_C]]-tbl_scenarios[[#This Row],[net_margin_pct]]</f>
        <v>-3.1855210961831582E-2</v>
      </c>
      <c r="Q11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1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11" spans="1:18" x14ac:dyDescent="0.35">
      <c r="A111" s="17" t="str">
        <f>tbl_raw[[#This Row],[product_id]]</f>
        <v>5411e9269501a870cabf632f05655131</v>
      </c>
      <c r="B111" t="str">
        <f>tbl_raw[[#This Row],[category]]</f>
        <v>stationery</v>
      </c>
      <c r="C111" s="2">
        <f>tbl_profitability[[#This Row],[net_profit]]</f>
        <v>3508.1699999999992</v>
      </c>
      <c r="D111" s="42">
        <f>tbl_profitability[[#This Row],[net_margin_pct]]</f>
        <v>0.38328089151097994</v>
      </c>
      <c r="E111" s="49" t="str">
        <f>tbl_profitability[[#This Row],[decision]]</f>
        <v>SCALE</v>
      </c>
      <c r="F111" s="2">
        <f>tbl_raw[[#This Row],[gross_revenue]]-tbl_raw[[#This Row],[return_loss]]-tbl_raw[[#This Row],[cogs]]*(1+scn_A_cogs_up)-(tbl_raw[[#This Row],[storage_cost]]+tbl_raw[[#This Row],[fulfillment_cost]]+tbl_raw[[#This Row],[freight_cost]])</f>
        <v>3142.0499999999993</v>
      </c>
      <c r="G111" s="42">
        <f>tbl_scenarios[[#This Row],[net_profit_A]]/tbl_raw[[#This Row],[gross_revenue]]</f>
        <v>0.3432808915109799</v>
      </c>
      <c r="H111" s="43">
        <f>tbl_scenarios[[#This Row],[net_margin_A]]-tbl_scenarios[[#This Row],[net_margin_pct]]</f>
        <v>-4.0000000000000036E-2</v>
      </c>
      <c r="I11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11" s="2">
        <f>tbl_raw[[#This Row],[gross_revenue]]-tbl_raw[[#This Row],[return_loss]]*(1+scn_B_returns_up/0.05)-tbl_raw[[#This Row],[cogs]]-(tbl_raw[[#This Row],[storage_cost]]+tbl_raw[[#This Row],[fulfillment_cost]]+tbl_raw[[#This Row],[freight_cost]])</f>
        <v>3500.4700000000003</v>
      </c>
      <c r="K111" s="42">
        <f>tbl_scenarios[[#This Row],[net_profit_B]]/tbl_raw[[#This Row],[gross_revenue]]</f>
        <v>0.38243963727739544</v>
      </c>
      <c r="L111" s="43">
        <f>tbl_scenarios[[#This Row],[net_margin_B]]-tbl_scenarios[[#This Row],[net_margin_pct]]</f>
        <v>-8.4125423358449858E-4</v>
      </c>
      <c r="M11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11" s="2">
        <f>tbl_raw[[#This Row],[gross_revenue]]*(1-scn_C_price_down)-tbl_raw[[#This Row],[return_loss]]-tbl_raw[[#This Row],[cogs]]-(tbl_raw[[#This Row],[storage_cost]]+tbl_raw[[#This Row],[fulfillment_cost]]+tbl_raw[[#This Row],[freight_cost]])</f>
        <v>3050.5199999999995</v>
      </c>
      <c r="O111" s="42">
        <f>tbl_scenarios[[#This Row],[net_profit_C]]/(tbl_raw[[#This Row],[gross_revenue]]*(1-scn_C_price_down))</f>
        <v>0.35082199106418943</v>
      </c>
      <c r="P111" s="43">
        <f>tbl_scenarios[[#This Row],[net_margin_C]]-tbl_scenarios[[#This Row],[net_margin_pct]]</f>
        <v>-3.2458900446790506E-2</v>
      </c>
      <c r="Q11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1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12" spans="1:18" x14ac:dyDescent="0.35">
      <c r="A112" s="17" t="str">
        <f>tbl_raw[[#This Row],[product_id]]</f>
        <v>fe59a1e006df3ac42bf0ceb876d70969</v>
      </c>
      <c r="B112" t="str">
        <f>tbl_raw[[#This Row],[category]]</f>
        <v>computers_accessories</v>
      </c>
      <c r="C112" s="2">
        <f>tbl_profitability[[#This Row],[net_profit]]</f>
        <v>3226.5900000000006</v>
      </c>
      <c r="D112" s="42">
        <f>tbl_profitability[[#This Row],[net_margin_pct]]</f>
        <v>0.35286031430102477</v>
      </c>
      <c r="E112" s="49" t="str">
        <f>tbl_profitability[[#This Row],[decision]]</f>
        <v>OPTIMIZE</v>
      </c>
      <c r="F112" s="2">
        <f>tbl_raw[[#This Row],[gross_revenue]]-tbl_raw[[#This Row],[return_loss]]-tbl_raw[[#This Row],[cogs]]*(1+scn_A_cogs_up)-(tbl_raw[[#This Row],[storage_cost]]+tbl_raw[[#This Row],[fulfillment_cost]]+tbl_raw[[#This Row],[freight_cost]])</f>
        <v>2705.3759999999997</v>
      </c>
      <c r="G112" s="42">
        <f>tbl_scenarios[[#This Row],[net_profit_A]]/tbl_raw[[#This Row],[gross_revenue]]</f>
        <v>0.29586028149298449</v>
      </c>
      <c r="H112" s="43">
        <f>tbl_scenarios[[#This Row],[net_margin_A]]-tbl_scenarios[[#This Row],[net_margin_pct]]</f>
        <v>-5.700003280804028E-2</v>
      </c>
      <c r="I11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12" s="2">
        <f>tbl_raw[[#This Row],[gross_revenue]]-tbl_raw[[#This Row],[return_loss]]*(1+scn_B_returns_up/0.05)-tbl_raw[[#This Row],[cogs]]-(tbl_raw[[#This Row],[storage_cost]]+tbl_raw[[#This Row],[fulfillment_cost]]+tbl_raw[[#This Row],[freight_cost]])</f>
        <v>3215.7899999999995</v>
      </c>
      <c r="K112" s="42">
        <f>tbl_scenarios[[#This Row],[net_profit_B]]/tbl_raw[[#This Row],[gross_revenue]]</f>
        <v>0.35167922485537118</v>
      </c>
      <c r="L112" s="43">
        <f>tbl_scenarios[[#This Row],[net_margin_B]]-tbl_scenarios[[#This Row],[net_margin_pct]]</f>
        <v>-1.1810894456535936E-3</v>
      </c>
      <c r="M11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12" s="2">
        <f>tbl_raw[[#This Row],[gross_revenue]]*(1-scn_C_price_down)-tbl_raw[[#This Row],[return_loss]]-tbl_raw[[#This Row],[cogs]]-(tbl_raw[[#This Row],[storage_cost]]+tbl_raw[[#This Row],[fulfillment_cost]]+tbl_raw[[#This Row],[freight_cost]])</f>
        <v>2769.3850000000007</v>
      </c>
      <c r="O112" s="42">
        <f>tbl_scenarios[[#This Row],[net_profit_C]]/(tbl_raw[[#This Row],[gross_revenue]]*(1-scn_C_price_down))</f>
        <v>0.31880033084318399</v>
      </c>
      <c r="P112" s="43">
        <f>tbl_scenarios[[#This Row],[net_margin_C]]-tbl_scenarios[[#This Row],[net_margin_pct]]</f>
        <v>-3.4059983457840781E-2</v>
      </c>
      <c r="Q11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1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13" spans="1:18" x14ac:dyDescent="0.35">
      <c r="A113" s="17" t="str">
        <f>tbl_raw[[#This Row],[product_id]]</f>
        <v>11250b0d4b709fee92441c5f34122aed</v>
      </c>
      <c r="B113" t="str">
        <f>tbl_raw[[#This Row],[category]]</f>
        <v>agro_industry_and_commerce</v>
      </c>
      <c r="C113" s="2">
        <f>tbl_profitability[[#This Row],[net_profit]]</f>
        <v>4297.6499999999996</v>
      </c>
      <c r="D113" s="42">
        <f>tbl_profitability[[#This Row],[net_margin_pct]]</f>
        <v>0.47169904511030619</v>
      </c>
      <c r="E113" s="49" t="str">
        <f>tbl_profitability[[#This Row],[decision]]</f>
        <v>SCALE</v>
      </c>
      <c r="F113" s="2">
        <f>tbl_raw[[#This Row],[gross_revenue]]-tbl_raw[[#This Row],[return_loss]]-tbl_raw[[#This Row],[cogs]]*(1+scn_A_cogs_up)-(tbl_raw[[#This Row],[storage_cost]]+tbl_raw[[#This Row],[fulfillment_cost]]+tbl_raw[[#This Row],[freight_cost]])</f>
        <v>3887.6549999999993</v>
      </c>
      <c r="G113" s="42">
        <f>tbl_scenarios[[#This Row],[net_profit_A]]/tbl_raw[[#This Row],[gross_revenue]]</f>
        <v>0.42669904511030615</v>
      </c>
      <c r="H113" s="43">
        <f>tbl_scenarios[[#This Row],[net_margin_A]]-tbl_scenarios[[#This Row],[net_margin_pct]]</f>
        <v>-4.500000000000004E-2</v>
      </c>
      <c r="I11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13" s="2">
        <f>tbl_raw[[#This Row],[gross_revenue]]-tbl_raw[[#This Row],[return_loss]]*(1+scn_B_returns_up/0.05)-tbl_raw[[#This Row],[cogs]]-(tbl_raw[[#This Row],[storage_cost]]+tbl_raw[[#This Row],[fulfillment_cost]]+tbl_raw[[#This Row],[freight_cost]])</f>
        <v>4289.7299999999996</v>
      </c>
      <c r="K113" s="42">
        <f>tbl_scenarios[[#This Row],[net_profit_B]]/tbl_raw[[#This Row],[gross_revenue]]</f>
        <v>0.47082976621666112</v>
      </c>
      <c r="L113" s="43">
        <f>tbl_scenarios[[#This Row],[net_margin_B]]-tbl_scenarios[[#This Row],[net_margin_pct]]</f>
        <v>-8.6927889364507571E-4</v>
      </c>
      <c r="M11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13" s="2">
        <f>tbl_raw[[#This Row],[gross_revenue]]*(1-scn_C_price_down)-tbl_raw[[#This Row],[return_loss]]-tbl_raw[[#This Row],[cogs]]-(tbl_raw[[#This Row],[storage_cost]]+tbl_raw[[#This Row],[fulfillment_cost]]+tbl_raw[[#This Row],[freight_cost]])</f>
        <v>3842.099999999999</v>
      </c>
      <c r="O113" s="42">
        <f>tbl_scenarios[[#This Row],[net_profit_C]]/(tbl_raw[[#This Row],[gross_revenue]]*(1-scn_C_price_down))</f>
        <v>0.44389373169505913</v>
      </c>
      <c r="P113" s="43">
        <f>tbl_scenarios[[#This Row],[net_margin_C]]-tbl_scenarios[[#This Row],[net_margin_pct]]</f>
        <v>-2.7805313415247057E-2</v>
      </c>
      <c r="Q11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1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14" spans="1:18" x14ac:dyDescent="0.35">
      <c r="A114" s="17" t="str">
        <f>tbl_raw[[#This Row],[product_id]]</f>
        <v>f7740e5b4337a3cc4a8a204553101a85</v>
      </c>
      <c r="B114" t="str">
        <f>tbl_raw[[#This Row],[category]]</f>
        <v>health_beauty</v>
      </c>
      <c r="C114" s="2">
        <f>tbl_profitability[[#This Row],[net_profit]]</f>
        <v>4679.5199999999986</v>
      </c>
      <c r="D114" s="42">
        <f>tbl_profitability[[#This Row],[net_margin_pct]]</f>
        <v>0.51452698245151063</v>
      </c>
      <c r="E114" s="49" t="str">
        <f>tbl_profitability[[#This Row],[decision]]</f>
        <v>SCALE</v>
      </c>
      <c r="F114" s="2">
        <f>tbl_raw[[#This Row],[gross_revenue]]-tbl_raw[[#This Row],[return_loss]]-tbl_raw[[#This Row],[cogs]]*(1+scn_A_cogs_up)-(tbl_raw[[#This Row],[storage_cost]]+tbl_raw[[#This Row],[fulfillment_cost]]+tbl_raw[[#This Row],[freight_cost]])</f>
        <v>4297.5379999999977</v>
      </c>
      <c r="G114" s="42">
        <f>tbl_scenarios[[#This Row],[net_profit_A]]/tbl_raw[[#This Row],[gross_revenue]]</f>
        <v>0.4725269384703345</v>
      </c>
      <c r="H114" s="43">
        <f>tbl_scenarios[[#This Row],[net_margin_A]]-tbl_scenarios[[#This Row],[net_margin_pct]]</f>
        <v>-4.2000043981176127E-2</v>
      </c>
      <c r="I11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14" s="2">
        <f>tbl_raw[[#This Row],[gross_revenue]]-tbl_raw[[#This Row],[return_loss]]*(1+scn_B_returns_up/0.05)-tbl_raw[[#This Row],[cogs]]-(tbl_raw[[#This Row],[storage_cost]]+tbl_raw[[#This Row],[fulfillment_cost]]+tbl_raw[[#This Row],[freight_cost]])</f>
        <v>4673.3999999999996</v>
      </c>
      <c r="K114" s="42">
        <f>tbl_scenarios[[#This Row],[net_profit_B]]/tbl_raw[[#This Row],[gross_revenue]]</f>
        <v>0.51385407045784404</v>
      </c>
      <c r="L114" s="43">
        <f>tbl_scenarios[[#This Row],[net_margin_B]]-tbl_scenarios[[#This Row],[net_margin_pct]]</f>
        <v>-6.7291199366659171E-4</v>
      </c>
      <c r="M11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14" s="2">
        <f>tbl_raw[[#This Row],[gross_revenue]]*(1-scn_C_price_down)-tbl_raw[[#This Row],[return_loss]]-tbl_raw[[#This Row],[cogs]]-(tbl_raw[[#This Row],[storage_cost]]+tbl_raw[[#This Row],[fulfillment_cost]]+tbl_raw[[#This Row],[freight_cost]])</f>
        <v>4224.7799999999988</v>
      </c>
      <c r="O114" s="42">
        <f>tbl_scenarios[[#This Row],[net_profit_C]]/(tbl_raw[[#This Row],[gross_revenue]]*(1-scn_C_price_down))</f>
        <v>0.48897577100159018</v>
      </c>
      <c r="P114" s="43">
        <f>tbl_scenarios[[#This Row],[net_margin_C]]-tbl_scenarios[[#This Row],[net_margin_pct]]</f>
        <v>-2.5551211449920452E-2</v>
      </c>
      <c r="Q11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1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15" spans="1:18" x14ac:dyDescent="0.35">
      <c r="A115" s="17" t="str">
        <f>tbl_raw[[#This Row],[product_id]]</f>
        <v>0bbdc963004d9b2fd3427ee3c5ae3608</v>
      </c>
      <c r="B115" t="str">
        <f>tbl_raw[[#This Row],[category]]</f>
        <v>sports_leisure</v>
      </c>
      <c r="C115" s="2">
        <f>tbl_profitability[[#This Row],[net_profit]]</f>
        <v>4487.5300000000007</v>
      </c>
      <c r="D115" s="42">
        <f>tbl_profitability[[#This Row],[net_margin_pct]]</f>
        <v>0.49476626240352817</v>
      </c>
      <c r="E115" s="49" t="str">
        <f>tbl_profitability[[#This Row],[decision]]</f>
        <v>SCALE</v>
      </c>
      <c r="F115" s="2">
        <f>tbl_raw[[#This Row],[gross_revenue]]-tbl_raw[[#This Row],[return_loss]]-tbl_raw[[#This Row],[cogs]]*(1+scn_A_cogs_up)-(tbl_raw[[#This Row],[storage_cost]]+tbl_raw[[#This Row],[fulfillment_cost]]+tbl_raw[[#This Row],[freight_cost]])</f>
        <v>4106.59</v>
      </c>
      <c r="G115" s="42">
        <f>tbl_scenarios[[#This Row],[net_profit_A]]/tbl_raw[[#This Row],[gross_revenue]]</f>
        <v>0.45276626240352813</v>
      </c>
      <c r="H115" s="43">
        <f>tbl_scenarios[[#This Row],[net_margin_A]]-tbl_scenarios[[#This Row],[net_margin_pct]]</f>
        <v>-4.2000000000000037E-2</v>
      </c>
      <c r="I11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15" s="2">
        <f>tbl_raw[[#This Row],[gross_revenue]]-tbl_raw[[#This Row],[return_loss]]*(1+scn_B_returns_up/0.05)-tbl_raw[[#This Row],[cogs]]-(tbl_raw[[#This Row],[storage_cost]]+tbl_raw[[#This Row],[fulfillment_cost]]+tbl_raw[[#This Row],[freight_cost]])</f>
        <v>4476.7299999999996</v>
      </c>
      <c r="K115" s="42">
        <f>tbl_scenarios[[#This Row],[net_profit_B]]/tbl_raw[[#This Row],[gross_revenue]]</f>
        <v>0.49357552370452035</v>
      </c>
      <c r="L115" s="43">
        <f>tbl_scenarios[[#This Row],[net_margin_B]]-tbl_scenarios[[#This Row],[net_margin_pct]]</f>
        <v>-1.1907386990078206E-3</v>
      </c>
      <c r="M11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15" s="2">
        <f>tbl_raw[[#This Row],[gross_revenue]]*(1-scn_C_price_down)-tbl_raw[[#This Row],[return_loss]]-tbl_raw[[#This Row],[cogs]]-(tbl_raw[[#This Row],[storage_cost]]+tbl_raw[[#This Row],[fulfillment_cost]]+tbl_raw[[#This Row],[freight_cost]])</f>
        <v>4034.0300000000011</v>
      </c>
      <c r="O115" s="42">
        <f>tbl_scenarios[[#This Row],[net_profit_C]]/(tbl_raw[[#This Row],[gross_revenue]]*(1-scn_C_price_down))</f>
        <v>0.46817501305634551</v>
      </c>
      <c r="P115" s="43">
        <f>tbl_scenarios[[#This Row],[net_margin_C]]-tbl_scenarios[[#This Row],[net_margin_pct]]</f>
        <v>-2.6591249347182655E-2</v>
      </c>
      <c r="Q11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1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16" spans="1:18" x14ac:dyDescent="0.35">
      <c r="A116" s="17" t="str">
        <f>tbl_raw[[#This Row],[product_id]]</f>
        <v>e59dd207c69d86e890febadc796d1078</v>
      </c>
      <c r="B116" t="str">
        <f>tbl_raw[[#This Row],[category]]</f>
        <v>cool_stuff</v>
      </c>
      <c r="C116" s="2">
        <f>tbl_profitability[[#This Row],[net_profit]]</f>
        <v>3663.4000000000005</v>
      </c>
      <c r="D116" s="42">
        <f>tbl_profitability[[#This Row],[net_margin_pct]]</f>
        <v>0.40509234942283684</v>
      </c>
      <c r="E116" s="49" t="str">
        <f>tbl_profitability[[#This Row],[decision]]</f>
        <v>OPTIMIZE</v>
      </c>
      <c r="F116" s="2">
        <f>tbl_raw[[#This Row],[gross_revenue]]-tbl_raw[[#This Row],[return_loss]]-tbl_raw[[#This Row],[cogs]]*(1+scn_A_cogs_up)-(tbl_raw[[#This Row],[storage_cost]]+tbl_raw[[#This Row],[fulfillment_cost]]+tbl_raw[[#This Row],[freight_cost]])</f>
        <v>3256.4480000000003</v>
      </c>
      <c r="G116" s="42">
        <f>tbl_scenarios[[#This Row],[net_profit_A]]/tbl_raw[[#This Row],[gross_revenue]]</f>
        <v>0.36009231072045045</v>
      </c>
      <c r="H116" s="43">
        <f>tbl_scenarios[[#This Row],[net_margin_A]]-tbl_scenarios[[#This Row],[net_margin_pct]]</f>
        <v>-4.5000038702386391E-2</v>
      </c>
      <c r="I11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16" s="2">
        <f>tbl_raw[[#This Row],[gross_revenue]]-tbl_raw[[#This Row],[return_loss]]*(1+scn_B_returns_up/0.05)-tbl_raw[[#This Row],[cogs]]-(tbl_raw[[#This Row],[storage_cost]]+tbl_raw[[#This Row],[fulfillment_cost]]+tbl_raw[[#This Row],[freight_cost]])</f>
        <v>3641.0800000000008</v>
      </c>
      <c r="K116" s="42">
        <f>tbl_scenarios[[#This Row],[net_profit_B]]/tbl_raw[[#This Row],[gross_revenue]]</f>
        <v>0.40262424295367771</v>
      </c>
      <c r="L116" s="43">
        <f>tbl_scenarios[[#This Row],[net_margin_B]]-tbl_scenarios[[#This Row],[net_margin_pct]]</f>
        <v>-2.4681064691591259E-3</v>
      </c>
      <c r="M11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16" s="2">
        <f>tbl_raw[[#This Row],[gross_revenue]]*(1-scn_C_price_down)-tbl_raw[[#This Row],[return_loss]]-tbl_raw[[#This Row],[cogs]]-(tbl_raw[[#This Row],[storage_cost]]+tbl_raw[[#This Row],[fulfillment_cost]]+tbl_raw[[#This Row],[freight_cost]])</f>
        <v>3211.2315000000008</v>
      </c>
      <c r="O116" s="42">
        <f>tbl_scenarios[[#This Row],[net_profit_C]]/(tbl_raw[[#This Row],[gross_revenue]]*(1-scn_C_price_down))</f>
        <v>0.37378142044509144</v>
      </c>
      <c r="P116" s="43">
        <f>tbl_scenarios[[#This Row],[net_margin_C]]-tbl_scenarios[[#This Row],[net_margin_pct]]</f>
        <v>-3.13109289777454E-2</v>
      </c>
      <c r="Q11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1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17" spans="1:18" x14ac:dyDescent="0.35">
      <c r="A117" s="17" t="str">
        <f>tbl_raw[[#This Row],[product_id]]</f>
        <v>e44f675b60b3a3a2453ec36421e06f0f</v>
      </c>
      <c r="B117" t="str">
        <f>tbl_raw[[#This Row],[category]]</f>
        <v>sports_leisure</v>
      </c>
      <c r="C117" s="2">
        <f>tbl_profitability[[#This Row],[net_profit]]</f>
        <v>3156.0900000000006</v>
      </c>
      <c r="D117" s="42">
        <f>tbl_profitability[[#This Row],[net_margin_pct]]</f>
        <v>0.35267121833480469</v>
      </c>
      <c r="E117" s="49" t="str">
        <f>tbl_profitability[[#This Row],[decision]]</f>
        <v>SCALE</v>
      </c>
      <c r="F117" s="2">
        <f>tbl_raw[[#This Row],[gross_revenue]]-tbl_raw[[#This Row],[return_loss]]-tbl_raw[[#This Row],[cogs]]*(1+scn_A_cogs_up)-(tbl_raw[[#This Row],[storage_cost]]+tbl_raw[[#This Row],[fulfillment_cost]]+tbl_raw[[#This Row],[freight_cost]])</f>
        <v>2780.2280000000005</v>
      </c>
      <c r="G117" s="42">
        <f>tbl_scenarios[[#This Row],[net_profit_A]]/tbl_raw[[#This Row],[gross_revenue]]</f>
        <v>0.31067124068342072</v>
      </c>
      <c r="H117" s="43">
        <f>tbl_scenarios[[#This Row],[net_margin_A]]-tbl_scenarios[[#This Row],[net_margin_pct]]</f>
        <v>-4.1999977651383968E-2</v>
      </c>
      <c r="I11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17" s="2">
        <f>tbl_raw[[#This Row],[gross_revenue]]-tbl_raw[[#This Row],[return_loss]]*(1+scn_B_returns_up/0.05)-tbl_raw[[#This Row],[cogs]]-(tbl_raw[[#This Row],[storage_cost]]+tbl_raw[[#This Row],[fulfillment_cost]]+tbl_raw[[#This Row],[freight_cost]])</f>
        <v>3125.8500000000008</v>
      </c>
      <c r="K117" s="42">
        <f>tbl_scenarios[[#This Row],[net_profit_B]]/tbl_raw[[#This Row],[gross_revenue]]</f>
        <v>0.3492921075862378</v>
      </c>
      <c r="L117" s="43">
        <f>tbl_scenarios[[#This Row],[net_margin_B]]-tbl_scenarios[[#This Row],[net_margin_pct]]</f>
        <v>-3.3791107485668936E-3</v>
      </c>
      <c r="M11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17" s="2">
        <f>tbl_raw[[#This Row],[gross_revenue]]*(1-scn_C_price_down)-tbl_raw[[#This Row],[return_loss]]-tbl_raw[[#This Row],[cogs]]-(tbl_raw[[#This Row],[storage_cost]]+tbl_raw[[#This Row],[fulfillment_cost]]+tbl_raw[[#This Row],[freight_cost]])</f>
        <v>2708.6350000000007</v>
      </c>
      <c r="O117" s="42">
        <f>tbl_scenarios[[#This Row],[net_profit_C]]/(tbl_raw[[#This Row],[gross_revenue]]*(1-scn_C_price_down))</f>
        <v>0.31860128245768915</v>
      </c>
      <c r="P117" s="43">
        <f>tbl_scenarios[[#This Row],[net_margin_C]]-tbl_scenarios[[#This Row],[net_margin_pct]]</f>
        <v>-3.4069935877115542E-2</v>
      </c>
      <c r="Q11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1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18" spans="1:18" x14ac:dyDescent="0.35">
      <c r="A118" s="17" t="str">
        <f>tbl_raw[[#This Row],[product_id]]</f>
        <v>c1ad8ac66c91ad301cefc322ba2adf31</v>
      </c>
      <c r="B118" t="str">
        <f>tbl_raw[[#This Row],[category]]</f>
        <v>watches_gifts</v>
      </c>
      <c r="C118" s="2">
        <f>tbl_profitability[[#This Row],[net_profit]]</f>
        <v>4753.8999999999996</v>
      </c>
      <c r="D118" s="42">
        <f>tbl_profitability[[#This Row],[net_margin_pct]]</f>
        <v>0.53936518309756887</v>
      </c>
      <c r="E118" s="49" t="str">
        <f>tbl_profitability[[#This Row],[decision]]</f>
        <v>OPTIMIZE</v>
      </c>
      <c r="F118" s="2">
        <f>tbl_raw[[#This Row],[gross_revenue]]-tbl_raw[[#This Row],[return_loss]]-tbl_raw[[#This Row],[cogs]]*(1+scn_A_cogs_up)-(tbl_raw[[#This Row],[storage_cost]]+tbl_raw[[#This Row],[fulfillment_cost]]+tbl_raw[[#This Row],[freight_cost]])</f>
        <v>4383.7169999999987</v>
      </c>
      <c r="G118" s="42">
        <f>tbl_scenarios[[#This Row],[net_profit_A]]/tbl_raw[[#This Row],[gross_revenue]]</f>
        <v>0.49736517855927231</v>
      </c>
      <c r="H118" s="43">
        <f>tbl_scenarios[[#This Row],[net_margin_A]]-tbl_scenarios[[#This Row],[net_margin_pct]]</f>
        <v>-4.2000004538296554E-2</v>
      </c>
      <c r="I11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18" s="2">
        <f>tbl_raw[[#This Row],[gross_revenue]]-tbl_raw[[#This Row],[return_loss]]*(1+scn_B_returns_up/0.05)-tbl_raw[[#This Row],[cogs]]-(tbl_raw[[#This Row],[storage_cost]]+tbl_raw[[#This Row],[fulfillment_cost]]+tbl_raw[[#This Row],[freight_cost]])</f>
        <v>4748.5</v>
      </c>
      <c r="K118" s="42">
        <f>tbl_scenarios[[#This Row],[net_profit_B]]/tbl_raw[[#This Row],[gross_revenue]]</f>
        <v>0.53875251308163952</v>
      </c>
      <c r="L118" s="43">
        <f>tbl_scenarios[[#This Row],[net_margin_B]]-tbl_scenarios[[#This Row],[net_margin_pct]]</f>
        <v>-6.1267001592935078E-4</v>
      </c>
      <c r="M11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18" s="2">
        <f>tbl_raw[[#This Row],[gross_revenue]]*(1-scn_C_price_down)-tbl_raw[[#This Row],[return_loss]]-tbl_raw[[#This Row],[cogs]]-(tbl_raw[[#This Row],[storage_cost]]+tbl_raw[[#This Row],[fulfillment_cost]]+tbl_raw[[#This Row],[freight_cost]])</f>
        <v>4313.2060000000001</v>
      </c>
      <c r="O118" s="42">
        <f>tbl_scenarios[[#This Row],[net_profit_C]]/(tbl_raw[[#This Row],[gross_revenue]]*(1-scn_C_price_down))</f>
        <v>0.51512124536586201</v>
      </c>
      <c r="P118" s="43">
        <f>tbl_scenarios[[#This Row],[net_margin_C]]-tbl_scenarios[[#This Row],[net_margin_pct]]</f>
        <v>-2.4243937731706855E-2</v>
      </c>
      <c r="Q11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1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19" spans="1:18" x14ac:dyDescent="0.35">
      <c r="A119" s="17" t="str">
        <f>tbl_raw[[#This Row],[product_id]]</f>
        <v>c6ea63369936552872ae890c82175b4b</v>
      </c>
      <c r="B119" t="str">
        <f>tbl_raw[[#This Row],[category]]</f>
        <v>bed_bath_table</v>
      </c>
      <c r="C119" s="2">
        <f>tbl_profitability[[#This Row],[net_profit]]</f>
        <v>3505.96</v>
      </c>
      <c r="D119" s="42">
        <f>tbl_profitability[[#This Row],[net_margin_pct]]</f>
        <v>0.39832533303036327</v>
      </c>
      <c r="E119" s="49" t="str">
        <f>tbl_profitability[[#This Row],[decision]]</f>
        <v>SCALE</v>
      </c>
      <c r="F119" s="2">
        <f>tbl_raw[[#This Row],[gross_revenue]]-tbl_raw[[#This Row],[return_loss]]-tbl_raw[[#This Row],[cogs]]*(1+scn_A_cogs_up)-(tbl_raw[[#This Row],[storage_cost]]+tbl_raw[[#This Row],[fulfillment_cost]]+tbl_raw[[#This Row],[freight_cost]])</f>
        <v>3109.8809999999994</v>
      </c>
      <c r="G119" s="42">
        <f>tbl_scenarios[[#This Row],[net_profit_A]]/tbl_raw[[#This Row],[gross_revenue]]</f>
        <v>0.35332530462692069</v>
      </c>
      <c r="H119" s="43">
        <f>tbl_scenarios[[#This Row],[net_margin_A]]-tbl_scenarios[[#This Row],[net_margin_pct]]</f>
        <v>-4.5000028403442582E-2</v>
      </c>
      <c r="I11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19" s="2">
        <f>tbl_raw[[#This Row],[gross_revenue]]-tbl_raw[[#This Row],[return_loss]]*(1+scn_B_returns_up/0.05)-tbl_raw[[#This Row],[cogs]]-(tbl_raw[[#This Row],[storage_cost]]+tbl_raw[[#This Row],[fulfillment_cost]]+tbl_raw[[#This Row],[freight_cost]])</f>
        <v>3490.12</v>
      </c>
      <c r="K119" s="42">
        <f>tbl_scenarios[[#This Row],[net_profit_B]]/tbl_raw[[#This Row],[gross_revenue]]</f>
        <v>0.39652569091373874</v>
      </c>
      <c r="L119" s="43">
        <f>tbl_scenarios[[#This Row],[net_margin_B]]-tbl_scenarios[[#This Row],[net_margin_pct]]</f>
        <v>-1.7996421166245335E-3</v>
      </c>
      <c r="M11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19" s="2">
        <f>tbl_raw[[#This Row],[gross_revenue]]*(1-scn_C_price_down)-tbl_raw[[#This Row],[return_loss]]-tbl_raw[[#This Row],[cogs]]-(tbl_raw[[#This Row],[storage_cost]]+tbl_raw[[#This Row],[fulfillment_cost]]+tbl_raw[[#This Row],[freight_cost]])</f>
        <v>3065.8725000000004</v>
      </c>
      <c r="O119" s="42">
        <f>tbl_scenarios[[#This Row],[net_profit_C]]/(tbl_raw[[#This Row],[gross_revenue]]*(1-scn_C_price_down))</f>
        <v>0.36665824529511926</v>
      </c>
      <c r="P119" s="43">
        <f>tbl_scenarios[[#This Row],[net_margin_C]]-tbl_scenarios[[#This Row],[net_margin_pct]]</f>
        <v>-3.1667087735244015E-2</v>
      </c>
      <c r="Q11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1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20" spans="1:18" x14ac:dyDescent="0.35">
      <c r="A120" s="17" t="str">
        <f>tbl_raw[[#This Row],[product_id]]</f>
        <v>9453bde60c4ee52155c963641736cfc5</v>
      </c>
      <c r="B120" t="str">
        <f>tbl_raw[[#This Row],[category]]</f>
        <v>health_beauty</v>
      </c>
      <c r="C120" s="2">
        <f>tbl_profitability[[#This Row],[net_profit]]</f>
        <v>4626.130000000001</v>
      </c>
      <c r="D120" s="42">
        <f>tbl_profitability[[#This Row],[net_margin_pct]]</f>
        <v>0.5322633904892522</v>
      </c>
      <c r="E120" s="49" t="str">
        <f>tbl_profitability[[#This Row],[decision]]</f>
        <v>SCALE</v>
      </c>
      <c r="F120" s="2">
        <f>tbl_raw[[#This Row],[gross_revenue]]-tbl_raw[[#This Row],[return_loss]]-tbl_raw[[#This Row],[cogs]]*(1+scn_A_cogs_up)-(tbl_raw[[#This Row],[storage_cost]]+tbl_raw[[#This Row],[fulfillment_cost]]+tbl_raw[[#This Row],[freight_cost]])</f>
        <v>4261.09</v>
      </c>
      <c r="G120" s="42">
        <f>tbl_scenarios[[#This Row],[net_profit_A]]/tbl_raw[[#This Row],[gross_revenue]]</f>
        <v>0.49026339739260399</v>
      </c>
      <c r="H120" s="43">
        <f>tbl_scenarios[[#This Row],[net_margin_A]]-tbl_scenarios[[#This Row],[net_margin_pct]]</f>
        <v>-4.1999993096648203E-2</v>
      </c>
      <c r="I12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20" s="2">
        <f>tbl_raw[[#This Row],[gross_revenue]]-tbl_raw[[#This Row],[return_loss]]*(1+scn_B_returns_up/0.05)-tbl_raw[[#This Row],[cogs]]-(tbl_raw[[#This Row],[storage_cost]]+tbl_raw[[#This Row],[fulfillment_cost]]+tbl_raw[[#This Row],[freight_cost]])</f>
        <v>4619.6500000000015</v>
      </c>
      <c r="K120" s="42">
        <f>tbl_scenarios[[#This Row],[net_profit_B]]/tbl_raw[[#This Row],[gross_revenue]]</f>
        <v>0.53151782848161944</v>
      </c>
      <c r="L120" s="43">
        <f>tbl_scenarios[[#This Row],[net_margin_B]]-tbl_scenarios[[#This Row],[net_margin_pct]]</f>
        <v>-7.455620076327607E-4</v>
      </c>
      <c r="M12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20" s="2">
        <f>tbl_raw[[#This Row],[gross_revenue]]*(1-scn_C_price_down)-tbl_raw[[#This Row],[return_loss]]-tbl_raw[[#This Row],[cogs]]-(tbl_raw[[#This Row],[storage_cost]]+tbl_raw[[#This Row],[fulfillment_cost]]+tbl_raw[[#This Row],[freight_cost]])</f>
        <v>4191.558500000001</v>
      </c>
      <c r="O120" s="42">
        <f>tbl_scenarios[[#This Row],[net_profit_C]]/(tbl_raw[[#This Row],[gross_revenue]]*(1-scn_C_price_down))</f>
        <v>0.5076456741992128</v>
      </c>
      <c r="P120" s="43">
        <f>tbl_scenarios[[#This Row],[net_margin_C]]-tbl_scenarios[[#This Row],[net_margin_pct]]</f>
        <v>-2.4617716290039393E-2</v>
      </c>
      <c r="Q12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2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21" spans="1:18" x14ac:dyDescent="0.35">
      <c r="A121" s="17" t="str">
        <f>tbl_raw[[#This Row],[product_id]]</f>
        <v>69d3ff4f45d52d69e4b06760e0e154e2</v>
      </c>
      <c r="B121" t="str">
        <f>tbl_raw[[#This Row],[category]]</f>
        <v>musical_instruments</v>
      </c>
      <c r="C121" s="2">
        <f>tbl_profitability[[#This Row],[net_profit]]</f>
        <v>4942.6900000000005</v>
      </c>
      <c r="D121" s="42">
        <f>tbl_profitability[[#This Row],[net_margin_pct]]</f>
        <v>0.57076787702142806</v>
      </c>
      <c r="E121" s="49" t="str">
        <f>tbl_profitability[[#This Row],[decision]]</f>
        <v>SCALE</v>
      </c>
      <c r="F121" s="2">
        <f>tbl_raw[[#This Row],[gross_revenue]]-tbl_raw[[#This Row],[return_loss]]-tbl_raw[[#This Row],[cogs]]*(1+scn_A_cogs_up)-(tbl_raw[[#This Row],[storage_cost]]+tbl_raw[[#This Row],[fulfillment_cost]]+tbl_raw[[#This Row],[freight_cost]])</f>
        <v>4596.3009999999995</v>
      </c>
      <c r="G121" s="42">
        <f>tbl_scenarios[[#This Row],[net_profit_A]]/tbl_raw[[#This Row],[gross_revenue]]</f>
        <v>0.53076785392599302</v>
      </c>
      <c r="H121" s="43">
        <f>tbl_scenarios[[#This Row],[net_margin_A]]-tbl_scenarios[[#This Row],[net_margin_pct]]</f>
        <v>-4.0000023095435044E-2</v>
      </c>
      <c r="I12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21" s="2">
        <f>tbl_raw[[#This Row],[gross_revenue]]-tbl_raw[[#This Row],[return_loss]]*(1+scn_B_returns_up/0.05)-tbl_raw[[#This Row],[cogs]]-(tbl_raw[[#This Row],[storage_cost]]+tbl_raw[[#This Row],[fulfillment_cost]]+tbl_raw[[#This Row],[freight_cost]])</f>
        <v>4941.8899999999994</v>
      </c>
      <c r="K121" s="42">
        <f>tbl_scenarios[[#This Row],[net_profit_B]]/tbl_raw[[#This Row],[gross_revenue]]</f>
        <v>0.57067549528160266</v>
      </c>
      <c r="L121" s="43">
        <f>tbl_scenarios[[#This Row],[net_margin_B]]-tbl_scenarios[[#This Row],[net_margin_pct]]</f>
        <v>-9.2381739825397879E-5</v>
      </c>
      <c r="M12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21" s="2">
        <f>tbl_raw[[#This Row],[gross_revenue]]*(1-scn_C_price_down)-tbl_raw[[#This Row],[return_loss]]-tbl_raw[[#This Row],[cogs]]-(tbl_raw[[#This Row],[storage_cost]]+tbl_raw[[#This Row],[fulfillment_cost]]+tbl_raw[[#This Row],[freight_cost]])</f>
        <v>4509.7039999999997</v>
      </c>
      <c r="O121" s="42">
        <f>tbl_scenarios[[#This Row],[net_profit_C]]/(tbl_raw[[#This Row],[gross_revenue]]*(1-scn_C_price_down))</f>
        <v>0.5481767126541347</v>
      </c>
      <c r="P121" s="43">
        <f>tbl_scenarios[[#This Row],[net_margin_C]]-tbl_scenarios[[#This Row],[net_margin_pct]]</f>
        <v>-2.2591164367293359E-2</v>
      </c>
      <c r="Q12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2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22" spans="1:18" x14ac:dyDescent="0.35">
      <c r="A122" s="17" t="str">
        <f>tbl_raw[[#This Row],[product_id]]</f>
        <v>fbce4c4cb307679d89a3bf3d3bb353b9</v>
      </c>
      <c r="B122" t="str">
        <f>tbl_raw[[#This Row],[category]]</f>
        <v>bed_bath_table</v>
      </c>
      <c r="C122" s="2">
        <f>tbl_profitability[[#This Row],[net_profit]]</f>
        <v>1877.2799999999997</v>
      </c>
      <c r="D122" s="42">
        <f>tbl_profitability[[#This Row],[net_margin_pct]]</f>
        <v>0.22033802816901404</v>
      </c>
      <c r="E122" s="49" t="str">
        <f>tbl_profitability[[#This Row],[decision]]</f>
        <v>OPTIMIZE</v>
      </c>
      <c r="F122" s="2">
        <f>tbl_raw[[#This Row],[gross_revenue]]-tbl_raw[[#This Row],[return_loss]]-tbl_raw[[#This Row],[cogs]]*(1+scn_A_cogs_up)-(tbl_raw[[#This Row],[storage_cost]]+tbl_raw[[#This Row],[fulfillment_cost]]+tbl_raw[[#This Row],[freight_cost]])</f>
        <v>1493.8799999999992</v>
      </c>
      <c r="G122" s="42">
        <f>tbl_scenarios[[#This Row],[net_profit_A]]/tbl_raw[[#This Row],[gross_revenue]]</f>
        <v>0.175338028169014</v>
      </c>
      <c r="H122" s="43">
        <f>tbl_scenarios[[#This Row],[net_margin_A]]-tbl_scenarios[[#This Row],[net_margin_pct]]</f>
        <v>-4.500000000000004E-2</v>
      </c>
      <c r="I12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22" s="2">
        <f>tbl_raw[[#This Row],[gross_revenue]]-tbl_raw[[#This Row],[return_loss]]*(1+scn_B_returns_up/0.05)-tbl_raw[[#This Row],[cogs]]-(tbl_raw[[#This Row],[storage_cost]]+tbl_raw[[#This Row],[fulfillment_cost]]+tbl_raw[[#This Row],[freight_cost]])</f>
        <v>1855.6799999999994</v>
      </c>
      <c r="K122" s="42">
        <f>tbl_scenarios[[#This Row],[net_profit_B]]/tbl_raw[[#This Row],[gross_revenue]]</f>
        <v>0.21780281690140837</v>
      </c>
      <c r="L122" s="43">
        <f>tbl_scenarios[[#This Row],[net_margin_B]]-tbl_scenarios[[#This Row],[net_margin_pct]]</f>
        <v>-2.5352112676056693E-3</v>
      </c>
      <c r="M12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22" s="2">
        <f>tbl_raw[[#This Row],[gross_revenue]]*(1-scn_C_price_down)-tbl_raw[[#This Row],[return_loss]]-tbl_raw[[#This Row],[cogs]]-(tbl_raw[[#This Row],[storage_cost]]+tbl_raw[[#This Row],[fulfillment_cost]]+tbl_raw[[#This Row],[freight_cost]])</f>
        <v>1451.2799999999997</v>
      </c>
      <c r="O122" s="42">
        <f>tbl_scenarios[[#This Row],[net_profit_C]]/(tbl_raw[[#This Row],[gross_revenue]]*(1-scn_C_price_down))</f>
        <v>0.17930318754633059</v>
      </c>
      <c r="P122" s="43">
        <f>tbl_scenarios[[#This Row],[net_margin_C]]-tbl_scenarios[[#This Row],[net_margin_pct]]</f>
        <v>-4.1034840622683449E-2</v>
      </c>
      <c r="Q12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2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23" spans="1:18" x14ac:dyDescent="0.35">
      <c r="A123" s="17" t="str">
        <f>tbl_raw[[#This Row],[product_id]]</f>
        <v>fc1d8637c0268af3db482c14b7ef8e75</v>
      </c>
      <c r="B123" t="str">
        <f>tbl_raw[[#This Row],[category]]</f>
        <v>bed_bath_table</v>
      </c>
      <c r="C123" s="2">
        <f>tbl_profitability[[#This Row],[net_profit]]</f>
        <v>3226.0099999999984</v>
      </c>
      <c r="D123" s="42">
        <f>tbl_profitability[[#This Row],[net_margin_pct]]</f>
        <v>0.37933868748750615</v>
      </c>
      <c r="E123" s="49" t="str">
        <f>tbl_profitability[[#This Row],[decision]]</f>
        <v>SCALE</v>
      </c>
      <c r="F123" s="2">
        <f>tbl_raw[[#This Row],[gross_revenue]]-tbl_raw[[#This Row],[return_loss]]-tbl_raw[[#This Row],[cogs]]*(1+scn_A_cogs_up)-(tbl_raw[[#This Row],[storage_cost]]+tbl_raw[[#This Row],[fulfillment_cost]]+tbl_raw[[#This Row],[freight_cost]])</f>
        <v>2843.3169999999982</v>
      </c>
      <c r="G123" s="42">
        <f>tbl_scenarios[[#This Row],[net_profit_A]]/tbl_raw[[#This Row],[gross_revenue]]</f>
        <v>0.33433874628129279</v>
      </c>
      <c r="H123" s="43">
        <f>tbl_scenarios[[#This Row],[net_margin_A]]-tbl_scenarios[[#This Row],[net_margin_pct]]</f>
        <v>-4.4999941206213367E-2</v>
      </c>
      <c r="I12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23" s="2">
        <f>tbl_raw[[#This Row],[gross_revenue]]-tbl_raw[[#This Row],[return_loss]]*(1+scn_B_returns_up/0.05)-tbl_raw[[#This Row],[cogs]]-(tbl_raw[[#This Row],[storage_cost]]+tbl_raw[[#This Row],[fulfillment_cost]]+tbl_raw[[#This Row],[freight_cost]])</f>
        <v>3205.489999999998</v>
      </c>
      <c r="K123" s="42">
        <f>tbl_scenarios[[#This Row],[net_profit_B]]/tbl_raw[[#This Row],[gross_revenue]]</f>
        <v>0.37692579048246161</v>
      </c>
      <c r="L123" s="43">
        <f>tbl_scenarios[[#This Row],[net_margin_B]]-tbl_scenarios[[#This Row],[net_margin_pct]]</f>
        <v>-2.4128970050445453E-3</v>
      </c>
      <c r="M12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23" s="2">
        <f>tbl_raw[[#This Row],[gross_revenue]]*(1-scn_C_price_down)-tbl_raw[[#This Row],[return_loss]]-tbl_raw[[#This Row],[cogs]]-(tbl_raw[[#This Row],[storage_cost]]+tbl_raw[[#This Row],[fulfillment_cost]]+tbl_raw[[#This Row],[freight_cost]])</f>
        <v>2800.7949999999983</v>
      </c>
      <c r="O123" s="42">
        <f>tbl_scenarios[[#This Row],[net_profit_C]]/(tbl_raw[[#This Row],[gross_revenue]]*(1-scn_C_price_down))</f>
        <v>0.34667230261842752</v>
      </c>
      <c r="P123" s="43">
        <f>tbl_scenarios[[#This Row],[net_margin_C]]-tbl_scenarios[[#This Row],[net_margin_pct]]</f>
        <v>-3.2666384869078635E-2</v>
      </c>
      <c r="Q12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2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24" spans="1:18" x14ac:dyDescent="0.35">
      <c r="A124" s="17" t="str">
        <f>tbl_raw[[#This Row],[product_id]]</f>
        <v>fe9dfbe7f974621789683b7b78be2a16</v>
      </c>
      <c r="B124" t="str">
        <f>tbl_raw[[#This Row],[category]]</f>
        <v>health_beauty</v>
      </c>
      <c r="C124" s="2">
        <f>tbl_profitability[[#This Row],[net_profit]]</f>
        <v>3961.6099999999997</v>
      </c>
      <c r="D124" s="42">
        <f>tbl_profitability[[#This Row],[net_margin_pct]]</f>
        <v>0.46754094336438373</v>
      </c>
      <c r="E124" s="49" t="str">
        <f>tbl_profitability[[#This Row],[decision]]</f>
        <v>SCALE</v>
      </c>
      <c r="F124" s="2">
        <f>tbl_raw[[#This Row],[gross_revenue]]-tbl_raw[[#This Row],[return_loss]]-tbl_raw[[#This Row],[cogs]]*(1+scn_A_cogs_up)-(tbl_raw[[#This Row],[storage_cost]]+tbl_raw[[#This Row],[fulfillment_cost]]+tbl_raw[[#This Row],[freight_cost]])</f>
        <v>3605.732</v>
      </c>
      <c r="G124" s="42">
        <f>tbl_scenarios[[#This Row],[net_profit_A]]/tbl_raw[[#This Row],[gross_revenue]]</f>
        <v>0.4255409646076081</v>
      </c>
      <c r="H124" s="43">
        <f>tbl_scenarios[[#This Row],[net_margin_A]]-tbl_scenarios[[#This Row],[net_margin_pct]]</f>
        <v>-4.1999978756775636E-2</v>
      </c>
      <c r="I12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24" s="2">
        <f>tbl_raw[[#This Row],[gross_revenue]]-tbl_raw[[#This Row],[return_loss]]*(1+scn_B_returns_up/0.05)-tbl_raw[[#This Row],[cogs]]-(tbl_raw[[#This Row],[storage_cost]]+tbl_raw[[#This Row],[fulfillment_cost]]+tbl_raw[[#This Row],[freight_cost]])</f>
        <v>3952.2500000000009</v>
      </c>
      <c r="K124" s="42">
        <f>tbl_scenarios[[#This Row],[net_profit_B]]/tbl_raw[[#This Row],[gross_revenue]]</f>
        <v>0.46643629570096157</v>
      </c>
      <c r="L124" s="43">
        <f>tbl_scenarios[[#This Row],[net_margin_B]]-tbl_scenarios[[#This Row],[net_margin_pct]]</f>
        <v>-1.1046476634221647E-3</v>
      </c>
      <c r="M12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24" s="2">
        <f>tbl_raw[[#This Row],[gross_revenue]]*(1-scn_C_price_down)-tbl_raw[[#This Row],[return_loss]]-tbl_raw[[#This Row],[cogs]]-(tbl_raw[[#This Row],[storage_cost]]+tbl_raw[[#This Row],[fulfillment_cost]]+tbl_raw[[#This Row],[freight_cost]])</f>
        <v>3537.9455000000007</v>
      </c>
      <c r="O124" s="42">
        <f>tbl_scenarios[[#This Row],[net_profit_C]]/(tbl_raw[[#This Row],[gross_revenue]]*(1-scn_C_price_down))</f>
        <v>0.4395167824888252</v>
      </c>
      <c r="P124" s="43">
        <f>tbl_scenarios[[#This Row],[net_margin_C]]-tbl_scenarios[[#This Row],[net_margin_pct]]</f>
        <v>-2.8024160875558535E-2</v>
      </c>
      <c r="Q12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2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25" spans="1:18" x14ac:dyDescent="0.35">
      <c r="A125" s="17" t="str">
        <f>tbl_raw[[#This Row],[product_id]]</f>
        <v>8aa6223e400af9c97b07c75993142721</v>
      </c>
      <c r="B125" t="str">
        <f>tbl_raw[[#This Row],[category]]</f>
        <v>baby</v>
      </c>
      <c r="C125" s="2">
        <f>tbl_profitability[[#This Row],[net_profit]]</f>
        <v>3162.4999999999982</v>
      </c>
      <c r="D125" s="42">
        <f>tbl_profitability[[#This Row],[net_margin_pct]]</f>
        <v>0.37490101427765299</v>
      </c>
      <c r="E125" s="49" t="str">
        <f>tbl_profitability[[#This Row],[decision]]</f>
        <v>SCALE</v>
      </c>
      <c r="F125" s="2">
        <f>tbl_raw[[#This Row],[gross_revenue]]-tbl_raw[[#This Row],[return_loss]]-tbl_raw[[#This Row],[cogs]]*(1+scn_A_cogs_up)-(tbl_raw[[#This Row],[storage_cost]]+tbl_raw[[#This Row],[fulfillment_cost]]+tbl_raw[[#This Row],[freight_cost]])</f>
        <v>2808.2059999999983</v>
      </c>
      <c r="G125" s="42">
        <f>tbl_scenarios[[#This Row],[net_profit_A]]/tbl_raw[[#This Row],[gross_revenue]]</f>
        <v>0.33290095737568087</v>
      </c>
      <c r="H125" s="43">
        <f>tbl_scenarios[[#This Row],[net_margin_A]]-tbl_scenarios[[#This Row],[net_margin_pct]]</f>
        <v>-4.2000056901972116E-2</v>
      </c>
      <c r="I12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25" s="2">
        <f>tbl_raw[[#This Row],[gross_revenue]]-tbl_raw[[#This Row],[return_loss]]*(1+scn_B_returns_up/0.05)-tbl_raw[[#This Row],[cogs]]-(tbl_raw[[#This Row],[storage_cost]]+tbl_raw[[#This Row],[fulfillment_cost]]+tbl_raw[[#This Row],[freight_cost]])</f>
        <v>3145.2199999999993</v>
      </c>
      <c r="K125" s="42">
        <f>tbl_scenarios[[#This Row],[net_profit_B]]/tbl_raw[[#This Row],[gross_revenue]]</f>
        <v>0.37285254328106249</v>
      </c>
      <c r="L125" s="43">
        <f>tbl_scenarios[[#This Row],[net_margin_B]]-tbl_scenarios[[#This Row],[net_margin_pct]]</f>
        <v>-2.0484709965905012E-3</v>
      </c>
      <c r="M12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25" s="2">
        <f>tbl_raw[[#This Row],[gross_revenue]]*(1-scn_C_price_down)-tbl_raw[[#This Row],[return_loss]]-tbl_raw[[#This Row],[cogs]]-(tbl_raw[[#This Row],[storage_cost]]+tbl_raw[[#This Row],[fulfillment_cost]]+tbl_raw[[#This Row],[freight_cost]])</f>
        <v>2740.7219999999998</v>
      </c>
      <c r="O125" s="42">
        <f>tbl_scenarios[[#This Row],[net_profit_C]]/(tbl_raw[[#This Row],[gross_revenue]]*(1-scn_C_price_down))</f>
        <v>0.34200106766068755</v>
      </c>
      <c r="P125" s="43">
        <f>tbl_scenarios[[#This Row],[net_margin_C]]-tbl_scenarios[[#This Row],[net_margin_pct]]</f>
        <v>-3.2899946616965436E-2</v>
      </c>
      <c r="Q12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2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26" spans="1:18" x14ac:dyDescent="0.35">
      <c r="A126" s="17" t="str">
        <f>tbl_raw[[#This Row],[product_id]]</f>
        <v>27535386be7362e36d9e78c2afb8c0e5</v>
      </c>
      <c r="B126" t="str">
        <f>tbl_raw[[#This Row],[category]]</f>
        <v>health_beauty</v>
      </c>
      <c r="C126" s="2">
        <f>tbl_profitability[[#This Row],[net_profit]]</f>
        <v>4611.1099999999988</v>
      </c>
      <c r="D126" s="42">
        <f>tbl_profitability[[#This Row],[net_margin_pct]]</f>
        <v>0.54898741561796804</v>
      </c>
      <c r="E126" s="49" t="str">
        <f>tbl_profitability[[#This Row],[decision]]</f>
        <v>SCALE</v>
      </c>
      <c r="F126" s="2">
        <f>tbl_raw[[#This Row],[gross_revenue]]-tbl_raw[[#This Row],[return_loss]]-tbl_raw[[#This Row],[cogs]]*(1+scn_A_cogs_up)-(tbl_raw[[#This Row],[storage_cost]]+tbl_raw[[#This Row],[fulfillment_cost]]+tbl_raw[[#This Row],[freight_cost]])</f>
        <v>4258.338999999999</v>
      </c>
      <c r="G126" s="42">
        <f>tbl_scenarios[[#This Row],[net_profit_A]]/tbl_raw[[#This Row],[gross_revenue]]</f>
        <v>0.50698736799495192</v>
      </c>
      <c r="H126" s="43">
        <f>tbl_scenarios[[#This Row],[net_margin_A]]-tbl_scenarios[[#This Row],[net_margin_pct]]</f>
        <v>-4.2000047623016123E-2</v>
      </c>
      <c r="I12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26" s="2">
        <f>tbl_raw[[#This Row],[gross_revenue]]-tbl_raw[[#This Row],[return_loss]]*(1+scn_B_returns_up/0.05)-tbl_raw[[#This Row],[cogs]]-(tbl_raw[[#This Row],[storage_cost]]+tbl_raw[[#This Row],[fulfillment_cost]]+tbl_raw[[#This Row],[freight_cost]])</f>
        <v>4608.5899999999983</v>
      </c>
      <c r="K126" s="42">
        <f>tbl_scenarios[[#This Row],[net_profit_B]]/tbl_raw[[#This Row],[gross_revenue]]</f>
        <v>0.54868739061588445</v>
      </c>
      <c r="L126" s="43">
        <f>tbl_scenarios[[#This Row],[net_margin_B]]-tbl_scenarios[[#This Row],[net_margin_pct]]</f>
        <v>-3.0002500208359262E-4</v>
      </c>
      <c r="M12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26" s="2">
        <f>tbl_raw[[#This Row],[gross_revenue]]*(1-scn_C_price_down)-tbl_raw[[#This Row],[return_loss]]-tbl_raw[[#This Row],[cogs]]-(tbl_raw[[#This Row],[storage_cost]]+tbl_raw[[#This Row],[fulfillment_cost]]+tbl_raw[[#This Row],[freight_cost]])</f>
        <v>4191.1449999999986</v>
      </c>
      <c r="O126" s="42">
        <f>tbl_scenarios[[#This Row],[net_profit_C]]/(tbl_raw[[#This Row],[gross_revenue]]*(1-scn_C_price_down))</f>
        <v>0.52524991117680853</v>
      </c>
      <c r="P126" s="43">
        <f>tbl_scenarios[[#This Row],[net_margin_C]]-tbl_scenarios[[#This Row],[net_margin_pct]]</f>
        <v>-2.3737504441159518E-2</v>
      </c>
      <c r="Q12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2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27" spans="1:18" x14ac:dyDescent="0.35">
      <c r="A127" s="17" t="str">
        <f>tbl_raw[[#This Row],[product_id]]</f>
        <v>b114bf337c0626166abe574eee9e3f32</v>
      </c>
      <c r="B127" t="str">
        <f>tbl_raw[[#This Row],[category]]</f>
        <v>office_furniture</v>
      </c>
      <c r="C127" s="2">
        <f>tbl_profitability[[#This Row],[net_profit]]</f>
        <v>2087.4299999999994</v>
      </c>
      <c r="D127" s="42">
        <f>tbl_profitability[[#This Row],[net_margin_pct]]</f>
        <v>0.25005150934355524</v>
      </c>
      <c r="E127" s="49" t="str">
        <f>tbl_profitability[[#This Row],[decision]]</f>
        <v>OPTIMIZE</v>
      </c>
      <c r="F127" s="2">
        <f>tbl_raw[[#This Row],[gross_revenue]]-tbl_raw[[#This Row],[return_loss]]-tbl_raw[[#This Row],[cogs]]*(1+scn_A_cogs_up)-(tbl_raw[[#This Row],[storage_cost]]+tbl_raw[[#This Row],[fulfillment_cost]]+tbl_raw[[#This Row],[freight_cost]])</f>
        <v>1711.7699999999995</v>
      </c>
      <c r="G127" s="42">
        <f>tbl_scenarios[[#This Row],[net_profit_A]]/tbl_raw[[#This Row],[gross_revenue]]</f>
        <v>0.20505150934355529</v>
      </c>
      <c r="H127" s="43">
        <f>tbl_scenarios[[#This Row],[net_margin_A]]-tbl_scenarios[[#This Row],[net_margin_pct]]</f>
        <v>-4.4999999999999957E-2</v>
      </c>
      <c r="I12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27" s="2">
        <f>tbl_raw[[#This Row],[gross_revenue]]-tbl_raw[[#This Row],[return_loss]]*(1+scn_B_returns_up/0.05)-tbl_raw[[#This Row],[cogs]]-(tbl_raw[[#This Row],[storage_cost]]+tbl_raw[[#This Row],[fulfillment_cost]]+tbl_raw[[#This Row],[freight_cost]])</f>
        <v>2067.9900000000007</v>
      </c>
      <c r="K127" s="42">
        <f>tbl_scenarios[[#This Row],[net_profit_B]]/tbl_raw[[#This Row],[gross_revenue]]</f>
        <v>0.24772280785816969</v>
      </c>
      <c r="L127" s="43">
        <f>tbl_scenarios[[#This Row],[net_margin_B]]-tbl_scenarios[[#This Row],[net_margin_pct]]</f>
        <v>-2.3287014853855537E-3</v>
      </c>
      <c r="M12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27" s="2">
        <f>tbl_raw[[#This Row],[gross_revenue]]*(1-scn_C_price_down)-tbl_raw[[#This Row],[return_loss]]-tbl_raw[[#This Row],[cogs]]-(tbl_raw[[#This Row],[storage_cost]]+tbl_raw[[#This Row],[fulfillment_cost]]+tbl_raw[[#This Row],[freight_cost]])</f>
        <v>1670.0299999999997</v>
      </c>
      <c r="O127" s="42">
        <f>tbl_scenarios[[#This Row],[net_profit_C]]/(tbl_raw[[#This Row],[gross_revenue]]*(1-scn_C_price_down))</f>
        <v>0.21058053615111086</v>
      </c>
      <c r="P127" s="43">
        <f>tbl_scenarios[[#This Row],[net_margin_C]]-tbl_scenarios[[#This Row],[net_margin_pct]]</f>
        <v>-3.9470973192444386E-2</v>
      </c>
      <c r="Q12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2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28" spans="1:18" x14ac:dyDescent="0.35">
      <c r="A128" s="17" t="str">
        <f>tbl_raw[[#This Row],[product_id]]</f>
        <v>8317b177579dd27ff068b83205e2169b</v>
      </c>
      <c r="B128" t="str">
        <f>tbl_raw[[#This Row],[category]]</f>
        <v>cool_stuff</v>
      </c>
      <c r="C128" s="2">
        <f>tbl_profitability[[#This Row],[net_profit]]</f>
        <v>3517.0500000000006</v>
      </c>
      <c r="D128" s="42">
        <f>tbl_profitability[[#This Row],[net_margin_pct]]</f>
        <v>0.4230192827657876</v>
      </c>
      <c r="E128" s="49" t="str">
        <f>tbl_profitability[[#This Row],[decision]]</f>
        <v>SCALE</v>
      </c>
      <c r="F128" s="2">
        <f>tbl_raw[[#This Row],[gross_revenue]]-tbl_raw[[#This Row],[return_loss]]-tbl_raw[[#This Row],[cogs]]*(1+scn_A_cogs_up)-(tbl_raw[[#This Row],[storage_cost]]+tbl_raw[[#This Row],[fulfillment_cost]]+tbl_raw[[#This Row],[freight_cost]])</f>
        <v>3142.913</v>
      </c>
      <c r="G128" s="42">
        <f>tbl_scenarios[[#This Row],[net_profit_A]]/tbl_raw[[#This Row],[gross_revenue]]</f>
        <v>0.37801930682113405</v>
      </c>
      <c r="H128" s="43">
        <f>tbl_scenarios[[#This Row],[net_margin_A]]-tbl_scenarios[[#This Row],[net_margin_pct]]</f>
        <v>-4.4999975944653547E-2</v>
      </c>
      <c r="I12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28" s="2">
        <f>tbl_raw[[#This Row],[gross_revenue]]-tbl_raw[[#This Row],[return_loss]]*(1+scn_B_returns_up/0.05)-tbl_raw[[#This Row],[cogs]]-(tbl_raw[[#This Row],[storage_cost]]+tbl_raw[[#This Row],[fulfillment_cost]]+tbl_raw[[#This Row],[freight_cost]])</f>
        <v>3500.4899999999993</v>
      </c>
      <c r="K128" s="42">
        <f>tbl_scenarios[[#This Row],[net_profit_B]]/tbl_raw[[#This Row],[gross_revenue]]</f>
        <v>0.42102750007216594</v>
      </c>
      <c r="L128" s="43">
        <f>tbl_scenarios[[#This Row],[net_margin_B]]-tbl_scenarios[[#This Row],[net_margin_pct]]</f>
        <v>-1.9917826936216576E-3</v>
      </c>
      <c r="M12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28" s="2">
        <f>tbl_raw[[#This Row],[gross_revenue]]*(1-scn_C_price_down)-tbl_raw[[#This Row],[return_loss]]-tbl_raw[[#This Row],[cogs]]-(tbl_raw[[#This Row],[storage_cost]]+tbl_raw[[#This Row],[fulfillment_cost]]+tbl_raw[[#This Row],[freight_cost]])</f>
        <v>3101.3419999999992</v>
      </c>
      <c r="O128" s="42">
        <f>tbl_scenarios[[#This Row],[net_profit_C]]/(tbl_raw[[#This Row],[gross_revenue]]*(1-scn_C_price_down))</f>
        <v>0.39265187659556572</v>
      </c>
      <c r="P128" s="43">
        <f>tbl_scenarios[[#This Row],[net_margin_C]]-tbl_scenarios[[#This Row],[net_margin_pct]]</f>
        <v>-3.0367406170221878E-2</v>
      </c>
      <c r="Q12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2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29" spans="1:18" x14ac:dyDescent="0.35">
      <c r="A129" s="17" t="str">
        <f>tbl_raw[[#This Row],[product_id]]</f>
        <v>aed75ad669fbebd5a385ac7cc2ae7573</v>
      </c>
      <c r="B129" t="str">
        <f>tbl_raw[[#This Row],[category]]</f>
        <v>health_beauty</v>
      </c>
      <c r="C129" s="2">
        <f>tbl_profitability[[#This Row],[net_profit]]</f>
        <v>2740.4400000000005</v>
      </c>
      <c r="D129" s="42">
        <f>tbl_profitability[[#This Row],[net_margin_pct]]</f>
        <v>0.3321745454545455</v>
      </c>
      <c r="E129" s="49" t="str">
        <f>tbl_profitability[[#This Row],[decision]]</f>
        <v>SCALE</v>
      </c>
      <c r="F129" s="2">
        <f>tbl_raw[[#This Row],[gross_revenue]]-tbl_raw[[#This Row],[return_loss]]-tbl_raw[[#This Row],[cogs]]*(1+scn_A_cogs_up)-(tbl_raw[[#This Row],[storage_cost]]+tbl_raw[[#This Row],[fulfillment_cost]]+tbl_raw[[#This Row],[freight_cost]])</f>
        <v>2393.9400000000005</v>
      </c>
      <c r="G129" s="42">
        <f>tbl_scenarios[[#This Row],[net_profit_A]]/tbl_raw[[#This Row],[gross_revenue]]</f>
        <v>0.29017454545454552</v>
      </c>
      <c r="H129" s="43">
        <f>tbl_scenarios[[#This Row],[net_margin_A]]-tbl_scenarios[[#This Row],[net_margin_pct]]</f>
        <v>-4.1999999999999982E-2</v>
      </c>
      <c r="I12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29" s="2">
        <f>tbl_raw[[#This Row],[gross_revenue]]-tbl_raw[[#This Row],[return_loss]]*(1+scn_B_returns_up/0.05)-tbl_raw[[#This Row],[cogs]]-(tbl_raw[[#This Row],[storage_cost]]+tbl_raw[[#This Row],[fulfillment_cost]]+tbl_raw[[#This Row],[freight_cost]])</f>
        <v>2735.0400000000009</v>
      </c>
      <c r="K129" s="42">
        <f>tbl_scenarios[[#This Row],[net_profit_B]]/tbl_raw[[#This Row],[gross_revenue]]</f>
        <v>0.33152000000000009</v>
      </c>
      <c r="L129" s="43">
        <f>tbl_scenarios[[#This Row],[net_margin_B]]-tbl_scenarios[[#This Row],[net_margin_pct]]</f>
        <v>-6.5454545454540769E-4</v>
      </c>
      <c r="M12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29" s="2">
        <f>tbl_raw[[#This Row],[gross_revenue]]*(1-scn_C_price_down)-tbl_raw[[#This Row],[return_loss]]-tbl_raw[[#This Row],[cogs]]-(tbl_raw[[#This Row],[storage_cost]]+tbl_raw[[#This Row],[fulfillment_cost]]+tbl_raw[[#This Row],[freight_cost]])</f>
        <v>2327.9400000000005</v>
      </c>
      <c r="O129" s="42">
        <f>tbl_scenarios[[#This Row],[net_profit_C]]/(tbl_raw[[#This Row],[gross_revenue]]*(1-scn_C_price_down))</f>
        <v>0.29702583732057425</v>
      </c>
      <c r="P129" s="43">
        <f>tbl_scenarios[[#This Row],[net_margin_C]]-tbl_scenarios[[#This Row],[net_margin_pct]]</f>
        <v>-3.5148708133971251E-2</v>
      </c>
      <c r="Q12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2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30" spans="1:18" x14ac:dyDescent="0.35">
      <c r="A130" s="17" t="str">
        <f>tbl_raw[[#This Row],[product_id]]</f>
        <v>629e019a6f298a83aeecc7877964f935</v>
      </c>
      <c r="B130" t="str">
        <f>tbl_raw[[#This Row],[category]]</f>
        <v>auto</v>
      </c>
      <c r="C130" s="2">
        <f>tbl_profitability[[#This Row],[net_profit]]</f>
        <v>2379.1500000000005</v>
      </c>
      <c r="D130" s="42">
        <f>tbl_profitability[[#This Row],[net_margin_pct]]</f>
        <v>0.28846573548668708</v>
      </c>
      <c r="E130" s="49" t="str">
        <f>tbl_profitability[[#This Row],[decision]]</f>
        <v>SCALE</v>
      </c>
      <c r="F130" s="2">
        <f>tbl_raw[[#This Row],[gross_revenue]]-tbl_raw[[#This Row],[return_loss]]-tbl_raw[[#This Row],[cogs]]*(1+scn_A_cogs_up)-(tbl_raw[[#This Row],[storage_cost]]+tbl_raw[[#This Row],[fulfillment_cost]]+tbl_raw[[#This Row],[freight_cost]])</f>
        <v>2008.0080000000007</v>
      </c>
      <c r="G130" s="42">
        <f>tbl_scenarios[[#This Row],[net_profit_A]]/tbl_raw[[#This Row],[gross_revenue]]</f>
        <v>0.24346573548668712</v>
      </c>
      <c r="H130" s="43">
        <f>tbl_scenarios[[#This Row],[net_margin_A]]-tbl_scenarios[[#This Row],[net_margin_pct]]</f>
        <v>-4.4999999999999957E-2</v>
      </c>
      <c r="I13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30" s="2">
        <f>tbl_raw[[#This Row],[gross_revenue]]-tbl_raw[[#This Row],[return_loss]]*(1+scn_B_returns_up/0.05)-tbl_raw[[#This Row],[cogs]]-(tbl_raw[[#This Row],[storage_cost]]+tbl_raw[[#This Row],[fulfillment_cost]]+tbl_raw[[#This Row],[freight_cost]])</f>
        <v>2352.5099999999993</v>
      </c>
      <c r="K130" s="42">
        <f>tbl_scenarios[[#This Row],[net_profit_B]]/tbl_raw[[#This Row],[gross_revenue]]</f>
        <v>0.28523570493234385</v>
      </c>
      <c r="L130" s="43">
        <f>tbl_scenarios[[#This Row],[net_margin_B]]-tbl_scenarios[[#This Row],[net_margin_pct]]</f>
        <v>-3.2300305543432328E-3</v>
      </c>
      <c r="M13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30" s="2">
        <f>tbl_raw[[#This Row],[gross_revenue]]*(1-scn_C_price_down)-tbl_raw[[#This Row],[return_loss]]-tbl_raw[[#This Row],[cogs]]-(tbl_raw[[#This Row],[storage_cost]]+tbl_raw[[#This Row],[fulfillment_cost]]+tbl_raw[[#This Row],[freight_cost]])</f>
        <v>1966.7699999999995</v>
      </c>
      <c r="O130" s="42">
        <f>tbl_scenarios[[#This Row],[net_profit_C]]/(tbl_raw[[#This Row],[gross_revenue]]*(1-scn_C_price_down))</f>
        <v>0.25101656367019681</v>
      </c>
      <c r="P130" s="43">
        <f>tbl_scenarios[[#This Row],[net_margin_C]]-tbl_scenarios[[#This Row],[net_margin_pct]]</f>
        <v>-3.7449171816490268E-2</v>
      </c>
      <c r="Q13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3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131" spans="1:18" x14ac:dyDescent="0.35">
      <c r="A131" s="17" t="str">
        <f>tbl_raw[[#This Row],[product_id]]</f>
        <v>657247f6f60543b93e3cc708a8e6329c</v>
      </c>
      <c r="B131" t="str">
        <f>tbl_raw[[#This Row],[category]]</f>
        <v>luggage_accessories</v>
      </c>
      <c r="C131" s="2">
        <f>tbl_profitability[[#This Row],[net_profit]]</f>
        <v>2635.84</v>
      </c>
      <c r="D131" s="42">
        <f>tbl_profitability[[#This Row],[net_margin_pct]]</f>
        <v>0.31997358479571919</v>
      </c>
      <c r="E131" s="49" t="str">
        <f>tbl_profitability[[#This Row],[decision]]</f>
        <v>OPTIMIZE</v>
      </c>
      <c r="F131" s="2">
        <f>tbl_raw[[#This Row],[gross_revenue]]-tbl_raw[[#This Row],[return_loss]]-tbl_raw[[#This Row],[cogs]]*(1+scn_A_cogs_up)-(tbl_raw[[#This Row],[storage_cost]]+tbl_raw[[#This Row],[fulfillment_cost]]+tbl_raw[[#This Row],[freight_cost]])</f>
        <v>2289.857</v>
      </c>
      <c r="G131" s="42">
        <f>tbl_scenarios[[#This Row],[net_profit_A]]/tbl_raw[[#This Row],[gross_revenue]]</f>
        <v>0.27797353138262226</v>
      </c>
      <c r="H131" s="43">
        <f>tbl_scenarios[[#This Row],[net_margin_A]]-tbl_scenarios[[#This Row],[net_margin_pct]]</f>
        <v>-4.2000053413096927E-2</v>
      </c>
      <c r="I13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31" s="2">
        <f>tbl_raw[[#This Row],[gross_revenue]]-tbl_raw[[#This Row],[return_loss]]*(1+scn_B_returns_up/0.05)-tbl_raw[[#This Row],[cogs]]-(tbl_raw[[#This Row],[storage_cost]]+tbl_raw[[#This Row],[fulfillment_cost]]+tbl_raw[[#This Row],[freight_cost]])</f>
        <v>2624.3199999999997</v>
      </c>
      <c r="K131" s="42">
        <f>tbl_scenarios[[#This Row],[net_profit_B]]/tbl_raw[[#This Row],[gross_revenue]]</f>
        <v>0.31857513280438177</v>
      </c>
      <c r="L131" s="43">
        <f>tbl_scenarios[[#This Row],[net_margin_B]]-tbl_scenarios[[#This Row],[net_margin_pct]]</f>
        <v>-1.3984519913374238E-3</v>
      </c>
      <c r="M13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31" s="2">
        <f>tbl_raw[[#This Row],[gross_revenue]]*(1-scn_C_price_down)-tbl_raw[[#This Row],[return_loss]]-tbl_raw[[#This Row],[cogs]]-(tbl_raw[[#This Row],[storage_cost]]+tbl_raw[[#This Row],[fulfillment_cost]]+tbl_raw[[#This Row],[freight_cost]])</f>
        <v>2223.9560000000001</v>
      </c>
      <c r="O131" s="42">
        <f>tbl_scenarios[[#This Row],[net_profit_C]]/(tbl_raw[[#This Row],[gross_revenue]]*(1-scn_C_price_down))</f>
        <v>0.28418272083759916</v>
      </c>
      <c r="P131" s="43">
        <f>tbl_scenarios[[#This Row],[net_margin_C]]-tbl_scenarios[[#This Row],[net_margin_pct]]</f>
        <v>-3.5790863958120034E-2</v>
      </c>
      <c r="Q13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3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32" spans="1:18" x14ac:dyDescent="0.35">
      <c r="A132" s="17" t="str">
        <f>tbl_raw[[#This Row],[product_id]]</f>
        <v>928e52a9ad53a294fdcc91bcf59d1751</v>
      </c>
      <c r="B132" t="str">
        <f>tbl_raw[[#This Row],[category]]</f>
        <v>housewares</v>
      </c>
      <c r="C132" s="2">
        <f>tbl_profitability[[#This Row],[net_profit]]</f>
        <v>2985.0999999999995</v>
      </c>
      <c r="D132" s="42">
        <f>tbl_profitability[[#This Row],[net_margin_pct]]</f>
        <v>0.36626993865030666</v>
      </c>
      <c r="E132" s="49" t="str">
        <f>tbl_profitability[[#This Row],[decision]]</f>
        <v>OPTIMIZE</v>
      </c>
      <c r="F132" s="2">
        <f>tbl_raw[[#This Row],[gross_revenue]]-tbl_raw[[#This Row],[return_loss]]-tbl_raw[[#This Row],[cogs]]*(1+scn_A_cogs_up)-(tbl_raw[[#This Row],[storage_cost]]+tbl_raw[[#This Row],[fulfillment_cost]]+tbl_raw[[#This Row],[freight_cost]])</f>
        <v>2618.3499999999995</v>
      </c>
      <c r="G132" s="42">
        <f>tbl_scenarios[[#This Row],[net_profit_A]]/tbl_raw[[#This Row],[gross_revenue]]</f>
        <v>0.32126993865030667</v>
      </c>
      <c r="H132" s="43">
        <f>tbl_scenarios[[#This Row],[net_margin_A]]-tbl_scenarios[[#This Row],[net_margin_pct]]</f>
        <v>-4.4999999999999984E-2</v>
      </c>
      <c r="I13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32" s="2">
        <f>tbl_raw[[#This Row],[gross_revenue]]-tbl_raw[[#This Row],[return_loss]]*(1+scn_B_returns_up/0.05)-tbl_raw[[#This Row],[cogs]]-(tbl_raw[[#This Row],[storage_cost]]+tbl_raw[[#This Row],[fulfillment_cost]]+tbl_raw[[#This Row],[freight_cost]])</f>
        <v>2963.5</v>
      </c>
      <c r="K132" s="42">
        <f>tbl_scenarios[[#This Row],[net_profit_B]]/tbl_raw[[#This Row],[gross_revenue]]</f>
        <v>0.36361963190184049</v>
      </c>
      <c r="L132" s="43">
        <f>tbl_scenarios[[#This Row],[net_margin_B]]-tbl_scenarios[[#This Row],[net_margin_pct]]</f>
        <v>-2.6503067484661691E-3</v>
      </c>
      <c r="M13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32" s="2">
        <f>tbl_raw[[#This Row],[gross_revenue]]*(1-scn_C_price_down)-tbl_raw[[#This Row],[return_loss]]-tbl_raw[[#This Row],[cogs]]-(tbl_raw[[#This Row],[storage_cost]]+tbl_raw[[#This Row],[fulfillment_cost]]+tbl_raw[[#This Row],[freight_cost]])</f>
        <v>2577.5999999999995</v>
      </c>
      <c r="O132" s="42">
        <f>tbl_scenarios[[#This Row],[net_profit_C]]/(tbl_raw[[#This Row],[gross_revenue]]*(1-scn_C_price_down))</f>
        <v>0.33291572489505966</v>
      </c>
      <c r="P132" s="43">
        <f>tbl_scenarios[[#This Row],[net_margin_C]]-tbl_scenarios[[#This Row],[net_margin_pct]]</f>
        <v>-3.3354213755246997E-2</v>
      </c>
      <c r="Q13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3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33" spans="1:18" x14ac:dyDescent="0.35">
      <c r="A133" s="17" t="str">
        <f>tbl_raw[[#This Row],[product_id]]</f>
        <v>7c55ea4aea1acf1ce11440010f5aa298</v>
      </c>
      <c r="B133" t="str">
        <f>tbl_raw[[#This Row],[category]]</f>
        <v>housewares</v>
      </c>
      <c r="C133" s="2">
        <f>tbl_profitability[[#This Row],[net_profit]]</f>
        <v>3648.9399999999996</v>
      </c>
      <c r="D133" s="42">
        <f>tbl_profitability[[#This Row],[net_margin_pct]]</f>
        <v>0.44898978712932197</v>
      </c>
      <c r="E133" s="49" t="str">
        <f>tbl_profitability[[#This Row],[decision]]</f>
        <v>SCALE</v>
      </c>
      <c r="F133" s="2">
        <f>tbl_raw[[#This Row],[gross_revenue]]-tbl_raw[[#This Row],[return_loss]]-tbl_raw[[#This Row],[cogs]]*(1+scn_A_cogs_up)-(tbl_raw[[#This Row],[storage_cost]]+tbl_raw[[#This Row],[fulfillment_cost]]+tbl_raw[[#This Row],[freight_cost]])</f>
        <v>3283.2249999999995</v>
      </c>
      <c r="G133" s="42">
        <f>tbl_scenarios[[#This Row],[net_profit_A]]/tbl_raw[[#This Row],[gross_revenue]]</f>
        <v>0.40398978712932193</v>
      </c>
      <c r="H133" s="43">
        <f>tbl_scenarios[[#This Row],[net_margin_A]]-tbl_scenarios[[#This Row],[net_margin_pct]]</f>
        <v>-4.500000000000004E-2</v>
      </c>
      <c r="I13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33" s="2">
        <f>tbl_raw[[#This Row],[gross_revenue]]-tbl_raw[[#This Row],[return_loss]]*(1+scn_B_returns_up/0.05)-tbl_raw[[#This Row],[cogs]]-(tbl_raw[[#This Row],[storage_cost]]+tbl_raw[[#This Row],[fulfillment_cost]]+tbl_raw[[#This Row],[freight_cost]])</f>
        <v>3641.7400000000007</v>
      </c>
      <c r="K133" s="42">
        <f>tbl_scenarios[[#This Row],[net_profit_B]]/tbl_raw[[#This Row],[gross_revenue]]</f>
        <v>0.44810385135966541</v>
      </c>
      <c r="L133" s="43">
        <f>tbl_scenarios[[#This Row],[net_margin_B]]-tbl_scenarios[[#This Row],[net_margin_pct]]</f>
        <v>-8.8593576965656506E-4</v>
      </c>
      <c r="M13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33" s="2">
        <f>tbl_raw[[#This Row],[gross_revenue]]*(1-scn_C_price_down)-tbl_raw[[#This Row],[return_loss]]-tbl_raw[[#This Row],[cogs]]-(tbl_raw[[#This Row],[storage_cost]]+tbl_raw[[#This Row],[fulfillment_cost]]+tbl_raw[[#This Row],[freight_cost]])</f>
        <v>3242.5899999999997</v>
      </c>
      <c r="O133" s="42">
        <f>tbl_scenarios[[#This Row],[net_profit_C]]/(tbl_raw[[#This Row],[gross_revenue]]*(1-scn_C_price_down))</f>
        <v>0.4199892496098126</v>
      </c>
      <c r="P133" s="43">
        <f>tbl_scenarios[[#This Row],[net_margin_C]]-tbl_scenarios[[#This Row],[net_margin_pct]]</f>
        <v>-2.9000537519509373E-2</v>
      </c>
      <c r="Q13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3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34" spans="1:18" x14ac:dyDescent="0.35">
      <c r="A134" s="17" t="str">
        <f>tbl_raw[[#This Row],[product_id]]</f>
        <v>78819ab10b4a44927c832a21c06849e0</v>
      </c>
      <c r="B134" t="str">
        <f>tbl_raw[[#This Row],[category]]</f>
        <v>computers_accessories</v>
      </c>
      <c r="C134" s="2">
        <f>tbl_profitability[[#This Row],[net_profit]]</f>
        <v>2920.5199999999991</v>
      </c>
      <c r="D134" s="42">
        <f>tbl_profitability[[#This Row],[net_margin_pct]]</f>
        <v>0.35950259608211932</v>
      </c>
      <c r="E134" s="49" t="str">
        <f>tbl_profitability[[#This Row],[decision]]</f>
        <v>SCALE</v>
      </c>
      <c r="F134" s="2">
        <f>tbl_raw[[#This Row],[gross_revenue]]-tbl_raw[[#This Row],[return_loss]]-tbl_raw[[#This Row],[cogs]]*(1+scn_A_cogs_up)-(tbl_raw[[#This Row],[storage_cost]]+tbl_raw[[#This Row],[fulfillment_cost]]+tbl_raw[[#This Row],[freight_cost]])</f>
        <v>2457.4649999999988</v>
      </c>
      <c r="G134" s="42">
        <f>tbl_scenarios[[#This Row],[net_profit_A]]/tbl_raw[[#This Row],[gross_revenue]]</f>
        <v>0.30250265270600618</v>
      </c>
      <c r="H134" s="43">
        <f>tbl_scenarios[[#This Row],[net_margin_A]]-tbl_scenarios[[#This Row],[net_margin_pct]]</f>
        <v>-5.6999943376113138E-2</v>
      </c>
      <c r="I13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34" s="2">
        <f>tbl_raw[[#This Row],[gross_revenue]]-tbl_raw[[#This Row],[return_loss]]*(1+scn_B_returns_up/0.05)-tbl_raw[[#This Row],[cogs]]-(tbl_raw[[#This Row],[storage_cost]]+tbl_raw[[#This Row],[fulfillment_cost]]+tbl_raw[[#This Row],[freight_cost]])</f>
        <v>2907.9199999999996</v>
      </c>
      <c r="K134" s="42">
        <f>tbl_scenarios[[#This Row],[net_profit_B]]/tbl_raw[[#This Row],[gross_revenue]]</f>
        <v>0.35795159396241649</v>
      </c>
      <c r="L134" s="43">
        <f>tbl_scenarios[[#This Row],[net_margin_B]]-tbl_scenarios[[#This Row],[net_margin_pct]]</f>
        <v>-1.5510021197028268E-3</v>
      </c>
      <c r="M13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34" s="2">
        <f>tbl_raw[[#This Row],[gross_revenue]]*(1-scn_C_price_down)-tbl_raw[[#This Row],[return_loss]]-tbl_raw[[#This Row],[cogs]]-(tbl_raw[[#This Row],[storage_cost]]+tbl_raw[[#This Row],[fulfillment_cost]]+tbl_raw[[#This Row],[freight_cost]])</f>
        <v>2514.3309999999988</v>
      </c>
      <c r="O134" s="42">
        <f>tbl_scenarios[[#This Row],[net_profit_C]]/(tbl_raw[[#This Row],[gross_revenue]]*(1-scn_C_price_down))</f>
        <v>0.32579220640223083</v>
      </c>
      <c r="P134" s="43">
        <f>tbl_scenarios[[#This Row],[net_margin_C]]-tbl_scenarios[[#This Row],[net_margin_pct]]</f>
        <v>-3.3710389679888486E-2</v>
      </c>
      <c r="Q13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3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35" spans="1:18" x14ac:dyDescent="0.35">
      <c r="A135" s="17" t="str">
        <f>tbl_raw[[#This Row],[product_id]]</f>
        <v>2948658cb6abc82847412be7201bfc4c</v>
      </c>
      <c r="B135" t="str">
        <f>tbl_raw[[#This Row],[category]]</f>
        <v>health_beauty</v>
      </c>
      <c r="C135" s="2">
        <f>tbl_profitability[[#This Row],[net_profit]]</f>
        <v>2372.7499999999995</v>
      </c>
      <c r="D135" s="42">
        <f>tbl_profitability[[#This Row],[net_margin_pct]]</f>
        <v>0.29293209876543203</v>
      </c>
      <c r="E135" s="49" t="str">
        <f>tbl_profitability[[#This Row],[decision]]</f>
        <v>OPTIMIZE</v>
      </c>
      <c r="F135" s="2">
        <f>tbl_raw[[#This Row],[gross_revenue]]-tbl_raw[[#This Row],[return_loss]]-tbl_raw[[#This Row],[cogs]]*(1+scn_A_cogs_up)-(tbl_raw[[#This Row],[storage_cost]]+tbl_raw[[#This Row],[fulfillment_cost]]+tbl_raw[[#This Row],[freight_cost]])</f>
        <v>2032.5499999999997</v>
      </c>
      <c r="G135" s="42">
        <f>tbl_scenarios[[#This Row],[net_profit_A]]/tbl_raw[[#This Row],[gross_revenue]]</f>
        <v>0.25093209876543204</v>
      </c>
      <c r="H135" s="43">
        <f>tbl_scenarios[[#This Row],[net_margin_A]]-tbl_scenarios[[#This Row],[net_margin_pct]]</f>
        <v>-4.1999999999999982E-2</v>
      </c>
      <c r="I135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35" s="2">
        <f>tbl_raw[[#This Row],[gross_revenue]]-tbl_raw[[#This Row],[return_loss]]*(1+scn_B_returns_up/0.05)-tbl_raw[[#This Row],[cogs]]-(tbl_raw[[#This Row],[storage_cost]]+tbl_raw[[#This Row],[fulfillment_cost]]+tbl_raw[[#This Row],[freight_cost]])</f>
        <v>2347.19</v>
      </c>
      <c r="K135" s="42">
        <f>tbl_scenarios[[#This Row],[net_profit_B]]/tbl_raw[[#This Row],[gross_revenue]]</f>
        <v>0.28977654320987656</v>
      </c>
      <c r="L135" s="43">
        <f>tbl_scenarios[[#This Row],[net_margin_B]]-tbl_scenarios[[#This Row],[net_margin_pct]]</f>
        <v>-3.1555555555554671E-3</v>
      </c>
      <c r="M135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35" s="2">
        <f>tbl_raw[[#This Row],[gross_revenue]]*(1-scn_C_price_down)-tbl_raw[[#This Row],[return_loss]]-tbl_raw[[#This Row],[cogs]]-(tbl_raw[[#This Row],[storage_cost]]+tbl_raw[[#This Row],[fulfillment_cost]]+tbl_raw[[#This Row],[freight_cost]])</f>
        <v>1967.7499999999995</v>
      </c>
      <c r="O135" s="42">
        <f>tbl_scenarios[[#This Row],[net_profit_C]]/(tbl_raw[[#This Row],[gross_revenue]]*(1-scn_C_price_down))</f>
        <v>0.25571799870045481</v>
      </c>
      <c r="P135" s="43">
        <f>tbl_scenarios[[#This Row],[net_margin_C]]-tbl_scenarios[[#This Row],[net_margin_pct]]</f>
        <v>-3.7214100064977218E-2</v>
      </c>
      <c r="Q135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3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36" spans="1:18" x14ac:dyDescent="0.35">
      <c r="A136" s="17" t="str">
        <f>tbl_raw[[#This Row],[product_id]]</f>
        <v>4413a608a42bd21bbf9d5abbd58c249a</v>
      </c>
      <c r="B136" t="str">
        <f>tbl_raw[[#This Row],[category]]</f>
        <v>cool_stuff</v>
      </c>
      <c r="C136" s="2">
        <f>tbl_profitability[[#This Row],[net_profit]]</f>
        <v>3074.5200000000004</v>
      </c>
      <c r="D136" s="42">
        <f>tbl_profitability[[#This Row],[net_margin_pct]]</f>
        <v>0.38006351451080361</v>
      </c>
      <c r="E136" s="49" t="str">
        <f>tbl_profitability[[#This Row],[decision]]</f>
        <v>OPTIMIZE</v>
      </c>
      <c r="F136" s="2">
        <f>tbl_raw[[#This Row],[gross_revenue]]-tbl_raw[[#This Row],[return_loss]]-tbl_raw[[#This Row],[cogs]]*(1+scn_A_cogs_up)-(tbl_raw[[#This Row],[storage_cost]]+tbl_raw[[#This Row],[fulfillment_cost]]+tbl_raw[[#This Row],[freight_cost]])</f>
        <v>2710.4929999999995</v>
      </c>
      <c r="G136" s="42">
        <f>tbl_scenarios[[#This Row],[net_profit_A]]/tbl_raw[[#This Row],[gross_revenue]]</f>
        <v>0.33506352069166284</v>
      </c>
      <c r="H136" s="43">
        <f>tbl_scenarios[[#This Row],[net_margin_A]]-tbl_scenarios[[#This Row],[net_margin_pct]]</f>
        <v>-4.4999993819140771E-2</v>
      </c>
      <c r="I13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36" s="2">
        <f>tbl_raw[[#This Row],[gross_revenue]]-tbl_raw[[#This Row],[return_loss]]*(1+scn_B_returns_up/0.05)-tbl_raw[[#This Row],[cogs]]-(tbl_raw[[#This Row],[storage_cost]]+tbl_raw[[#This Row],[fulfillment_cost]]+tbl_raw[[#This Row],[freight_cost]])</f>
        <v>3056.16</v>
      </c>
      <c r="K136" s="42">
        <f>tbl_scenarios[[#This Row],[net_profit_B]]/tbl_raw[[#This Row],[gross_revenue]]</f>
        <v>0.37779390295309095</v>
      </c>
      <c r="L136" s="43">
        <f>tbl_scenarios[[#This Row],[net_margin_B]]-tbl_scenarios[[#This Row],[net_margin_pct]]</f>
        <v>-2.2696115577126585E-3</v>
      </c>
      <c r="M13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36" s="2">
        <f>tbl_raw[[#This Row],[gross_revenue]]*(1-scn_C_price_down)-tbl_raw[[#This Row],[return_loss]]-tbl_raw[[#This Row],[cogs]]-(tbl_raw[[#This Row],[storage_cost]]+tbl_raw[[#This Row],[fulfillment_cost]]+tbl_raw[[#This Row],[freight_cost]])</f>
        <v>2670.0455000000002</v>
      </c>
      <c r="O136" s="42">
        <f>tbl_scenarios[[#This Row],[net_profit_C]]/(tbl_raw[[#This Row],[gross_revenue]]*(1-scn_C_price_down))</f>
        <v>0.34743527843242483</v>
      </c>
      <c r="P136" s="43">
        <f>tbl_scenarios[[#This Row],[net_margin_C]]-tbl_scenarios[[#This Row],[net_margin_pct]]</f>
        <v>-3.2628236078378781E-2</v>
      </c>
      <c r="Q13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3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37" spans="1:18" x14ac:dyDescent="0.35">
      <c r="A137" s="17" t="str">
        <f>tbl_raw[[#This Row],[product_id]]</f>
        <v>952670bc019a73f0933157ec82ff6e4f</v>
      </c>
      <c r="B137" t="str">
        <f>tbl_raw[[#This Row],[category]]</f>
        <v>bed_bath_table</v>
      </c>
      <c r="C137" s="2">
        <f>tbl_profitability[[#This Row],[net_profit]]</f>
        <v>3189.18</v>
      </c>
      <c r="D137" s="42">
        <f>tbl_profitability[[#This Row],[net_margin_pct]]</f>
        <v>0.39431837711722428</v>
      </c>
      <c r="E137" s="49" t="str">
        <f>tbl_profitability[[#This Row],[decision]]</f>
        <v>SCALE</v>
      </c>
      <c r="F137" s="2">
        <f>tbl_raw[[#This Row],[gross_revenue]]-tbl_raw[[#This Row],[return_loss]]-tbl_raw[[#This Row],[cogs]]*(1+scn_A_cogs_up)-(tbl_raw[[#This Row],[storage_cost]]+tbl_raw[[#This Row],[fulfillment_cost]]+tbl_raw[[#This Row],[freight_cost]])</f>
        <v>2825.2280000000001</v>
      </c>
      <c r="G137" s="42">
        <f>tbl_scenarios[[#This Row],[net_profit_A]]/tbl_raw[[#This Row],[gross_revenue]]</f>
        <v>0.34931842039212002</v>
      </c>
      <c r="H137" s="43">
        <f>tbl_scenarios[[#This Row],[net_margin_A]]-tbl_scenarios[[#This Row],[net_margin_pct]]</f>
        <v>-4.4999956725104262E-2</v>
      </c>
      <c r="I13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37" s="2">
        <f>tbl_raw[[#This Row],[gross_revenue]]-tbl_raw[[#This Row],[return_loss]]*(1+scn_B_returns_up/0.05)-tbl_raw[[#This Row],[cogs]]-(tbl_raw[[#This Row],[storage_cost]]+tbl_raw[[#This Row],[fulfillment_cost]]+tbl_raw[[#This Row],[freight_cost]])</f>
        <v>3174.78</v>
      </c>
      <c r="K137" s="42">
        <f>tbl_scenarios[[#This Row],[net_profit_B]]/tbl_raw[[#This Row],[gross_revenue]]</f>
        <v>0.39253792426398676</v>
      </c>
      <c r="L137" s="43">
        <f>tbl_scenarios[[#This Row],[net_margin_B]]-tbl_scenarios[[#This Row],[net_margin_pct]]</f>
        <v>-1.7804528532375241E-3</v>
      </c>
      <c r="M13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37" s="2">
        <f>tbl_raw[[#This Row],[gross_revenue]]*(1-scn_C_price_down)-tbl_raw[[#This Row],[return_loss]]-tbl_raw[[#This Row],[cogs]]-(tbl_raw[[#This Row],[storage_cost]]+tbl_raw[[#This Row],[fulfillment_cost]]+tbl_raw[[#This Row],[freight_cost]])</f>
        <v>2784.7884999999997</v>
      </c>
      <c r="O137" s="42">
        <f>tbl_scenarios[[#This Row],[net_profit_C]]/(tbl_raw[[#This Row],[gross_revenue]]*(1-scn_C_price_down))</f>
        <v>0.36244039696549923</v>
      </c>
      <c r="P137" s="43">
        <f>tbl_scenarios[[#This Row],[net_margin_C]]-tbl_scenarios[[#This Row],[net_margin_pct]]</f>
        <v>-3.1877980151725049E-2</v>
      </c>
      <c r="Q13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3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38" spans="1:18" x14ac:dyDescent="0.35">
      <c r="A138" s="17" t="str">
        <f>tbl_raw[[#This Row],[product_id]]</f>
        <v>8b5227e28272123eefd613a10ffd7704</v>
      </c>
      <c r="B138" t="str">
        <f>tbl_raw[[#This Row],[category]]</f>
        <v>watches_gifts</v>
      </c>
      <c r="C138" s="2">
        <f>tbl_profitability[[#This Row],[net_profit]]</f>
        <v>4328.1000000000004</v>
      </c>
      <c r="D138" s="42">
        <f>tbl_profitability[[#This Row],[net_margin_pct]]</f>
        <v>0.53638616928987493</v>
      </c>
      <c r="E138" s="49" t="str">
        <f>tbl_profitability[[#This Row],[decision]]</f>
        <v>OPTIMIZE</v>
      </c>
      <c r="F138" s="2">
        <f>tbl_raw[[#This Row],[gross_revenue]]-tbl_raw[[#This Row],[return_loss]]-tbl_raw[[#This Row],[cogs]]*(1+scn_A_cogs_up)-(tbl_raw[[#This Row],[storage_cost]]+tbl_raw[[#This Row],[fulfillment_cost]]+tbl_raw[[#This Row],[freight_cost]])</f>
        <v>3989.2019999999993</v>
      </c>
      <c r="G138" s="42">
        <f>tbl_scenarios[[#This Row],[net_profit_A]]/tbl_raw[[#This Row],[gross_revenue]]</f>
        <v>0.49438616928987472</v>
      </c>
      <c r="H138" s="43">
        <f>tbl_scenarios[[#This Row],[net_margin_A]]-tbl_scenarios[[#This Row],[net_margin_pct]]</f>
        <v>-4.2000000000000204E-2</v>
      </c>
      <c r="I13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38" s="2">
        <f>tbl_raw[[#This Row],[gross_revenue]]-tbl_raw[[#This Row],[return_loss]]*(1+scn_B_returns_up/0.05)-tbl_raw[[#This Row],[cogs]]-(tbl_raw[[#This Row],[storage_cost]]+tbl_raw[[#This Row],[fulfillment_cost]]+tbl_raw[[#This Row],[freight_cost]])</f>
        <v>4322.34</v>
      </c>
      <c r="K138" s="42">
        <f>tbl_scenarios[[#This Row],[net_profit_B]]/tbl_raw[[#This Row],[gross_revenue]]</f>
        <v>0.53567232618664029</v>
      </c>
      <c r="L138" s="43">
        <f>tbl_scenarios[[#This Row],[net_margin_B]]-tbl_scenarios[[#This Row],[net_margin_pct]]</f>
        <v>-7.1384310323463485E-4</v>
      </c>
      <c r="M13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38" s="2">
        <f>tbl_raw[[#This Row],[gross_revenue]]*(1-scn_C_price_down)-tbl_raw[[#This Row],[return_loss]]-tbl_raw[[#This Row],[cogs]]-(tbl_raw[[#This Row],[storage_cost]]+tbl_raw[[#This Row],[fulfillment_cost]]+tbl_raw[[#This Row],[freight_cost]])</f>
        <v>3924.6499999999996</v>
      </c>
      <c r="O138" s="42">
        <f>tbl_scenarios[[#This Row],[net_profit_C]]/(tbl_raw[[#This Row],[gross_revenue]]*(1-scn_C_price_down))</f>
        <v>0.51198544135776303</v>
      </c>
      <c r="P138" s="43">
        <f>tbl_scenarios[[#This Row],[net_margin_C]]-tbl_scenarios[[#This Row],[net_margin_pct]]</f>
        <v>-2.4400727932111899E-2</v>
      </c>
      <c r="Q13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3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39" spans="1:18" x14ac:dyDescent="0.35">
      <c r="A139" s="17" t="str">
        <f>tbl_raw[[#This Row],[product_id]]</f>
        <v>423a6644f0aa529e8828ff1f91003690</v>
      </c>
      <c r="B139" t="str">
        <f>tbl_raw[[#This Row],[category]]</f>
        <v>agro_industry_and_commerce</v>
      </c>
      <c r="C139" s="2">
        <f>tbl_profitability[[#This Row],[net_profit]]</f>
        <v>3760.44</v>
      </c>
      <c r="D139" s="42">
        <f>tbl_profitability[[#This Row],[net_margin_pct]]</f>
        <v>0.4675419619544946</v>
      </c>
      <c r="E139" s="49" t="str">
        <f>tbl_profitability[[#This Row],[decision]]</f>
        <v>SCALE</v>
      </c>
      <c r="F139" s="2">
        <f>tbl_raw[[#This Row],[gross_revenue]]-tbl_raw[[#This Row],[return_loss]]-tbl_raw[[#This Row],[cogs]]*(1+scn_A_cogs_up)-(tbl_raw[[#This Row],[storage_cost]]+tbl_raw[[#This Row],[fulfillment_cost]]+tbl_raw[[#This Row],[freight_cost]])</f>
        <v>3398.5050000000001</v>
      </c>
      <c r="G139" s="42">
        <f>tbl_scenarios[[#This Row],[net_profit_A]]/tbl_raw[[#This Row],[gross_revenue]]</f>
        <v>0.42254196195449462</v>
      </c>
      <c r="H139" s="43">
        <f>tbl_scenarios[[#This Row],[net_margin_A]]-tbl_scenarios[[#This Row],[net_margin_pct]]</f>
        <v>-4.4999999999999984E-2</v>
      </c>
      <c r="I13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39" s="2">
        <f>tbl_raw[[#This Row],[gross_revenue]]-tbl_raw[[#This Row],[return_loss]]*(1+scn_B_returns_up/0.05)-tbl_raw[[#This Row],[cogs]]-(tbl_raw[[#This Row],[storage_cost]]+tbl_raw[[#This Row],[fulfillment_cost]]+tbl_raw[[#This Row],[freight_cost]])</f>
        <v>3753.9600000000005</v>
      </c>
      <c r="K139" s="42">
        <f>tbl_scenarios[[#This Row],[net_profit_B]]/tbl_raw[[#This Row],[gross_revenue]]</f>
        <v>0.46673629242819847</v>
      </c>
      <c r="L139" s="43">
        <f>tbl_scenarios[[#This Row],[net_margin_B]]-tbl_scenarios[[#This Row],[net_margin_pct]]</f>
        <v>-8.0566952629612665E-4</v>
      </c>
      <c r="M13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39" s="2">
        <f>tbl_raw[[#This Row],[gross_revenue]]*(1-scn_C_price_down)-tbl_raw[[#This Row],[return_loss]]-tbl_raw[[#This Row],[cogs]]-(tbl_raw[[#This Row],[storage_cost]]+tbl_raw[[#This Row],[fulfillment_cost]]+tbl_raw[[#This Row],[freight_cost]])</f>
        <v>3358.29</v>
      </c>
      <c r="O139" s="42">
        <f>tbl_scenarios[[#This Row],[net_profit_C]]/(tbl_raw[[#This Row],[gross_revenue]]*(1-scn_C_price_down))</f>
        <v>0.43951785468894172</v>
      </c>
      <c r="P139" s="43">
        <f>tbl_scenarios[[#This Row],[net_margin_C]]-tbl_scenarios[[#This Row],[net_margin_pct]]</f>
        <v>-2.8024107265552878E-2</v>
      </c>
      <c r="Q13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3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40" spans="1:18" x14ac:dyDescent="0.35">
      <c r="A140" s="17" t="str">
        <f>tbl_raw[[#This Row],[product_id]]</f>
        <v>38c56c5c5b16958d95bf8254498ad555</v>
      </c>
      <c r="B140" t="str">
        <f>tbl_raw[[#This Row],[category]]</f>
        <v>watches_gifts</v>
      </c>
      <c r="C140" s="2">
        <f>tbl_profitability[[#This Row],[net_profit]]</f>
        <v>4402.6799999999994</v>
      </c>
      <c r="D140" s="42">
        <f>tbl_profitability[[#This Row],[net_margin_pct]]</f>
        <v>0.54759701492537305</v>
      </c>
      <c r="E140" s="49" t="str">
        <f>tbl_profitability[[#This Row],[decision]]</f>
        <v>SCALE</v>
      </c>
      <c r="F140" s="2">
        <f>tbl_raw[[#This Row],[gross_revenue]]-tbl_raw[[#This Row],[return_loss]]-tbl_raw[[#This Row],[cogs]]*(1+scn_A_cogs_up)-(tbl_raw[[#This Row],[storage_cost]]+tbl_raw[[#This Row],[fulfillment_cost]]+tbl_raw[[#This Row],[freight_cost]])</f>
        <v>4064.9999999999991</v>
      </c>
      <c r="G140" s="42">
        <f>tbl_scenarios[[#This Row],[net_profit_A]]/tbl_raw[[#This Row],[gross_revenue]]</f>
        <v>0.50559701492537301</v>
      </c>
      <c r="H140" s="43">
        <f>tbl_scenarios[[#This Row],[net_margin_A]]-tbl_scenarios[[#This Row],[net_margin_pct]]</f>
        <v>-4.2000000000000037E-2</v>
      </c>
      <c r="I14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40" s="2">
        <f>tbl_raw[[#This Row],[gross_revenue]]-tbl_raw[[#This Row],[return_loss]]*(1+scn_B_returns_up/0.05)-tbl_raw[[#This Row],[cogs]]-(tbl_raw[[#This Row],[storage_cost]]+tbl_raw[[#This Row],[fulfillment_cost]]+tbl_raw[[#This Row],[freight_cost]])</f>
        <v>4399.08</v>
      </c>
      <c r="K140" s="42">
        <f>tbl_scenarios[[#This Row],[net_profit_B]]/tbl_raw[[#This Row],[gross_revenue]]</f>
        <v>0.54714925373134327</v>
      </c>
      <c r="L140" s="43">
        <f>tbl_scenarios[[#This Row],[net_margin_B]]-tbl_scenarios[[#This Row],[net_margin_pct]]</f>
        <v>-4.477611940297832E-4</v>
      </c>
      <c r="M14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40" s="2">
        <f>tbl_raw[[#This Row],[gross_revenue]]*(1-scn_C_price_down)-tbl_raw[[#This Row],[return_loss]]-tbl_raw[[#This Row],[cogs]]-(tbl_raw[[#This Row],[storage_cost]]+tbl_raw[[#This Row],[fulfillment_cost]]+tbl_raw[[#This Row],[freight_cost]])</f>
        <v>4000.6799999999994</v>
      </c>
      <c r="O140" s="42">
        <f>tbl_scenarios[[#This Row],[net_profit_C]]/(tbl_raw[[#This Row],[gross_revenue]]*(1-scn_C_price_down))</f>
        <v>0.52378633150039267</v>
      </c>
      <c r="P140" s="43">
        <f>tbl_scenarios[[#This Row],[net_margin_C]]-tbl_scenarios[[#This Row],[net_margin_pct]]</f>
        <v>-2.3810683424980383E-2</v>
      </c>
      <c r="Q14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4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41" spans="1:18" x14ac:dyDescent="0.35">
      <c r="A141" s="17" t="str">
        <f>tbl_raw[[#This Row],[product_id]]</f>
        <v>5183344b5357029cfd88c7f511ed876d</v>
      </c>
      <c r="B141" t="str">
        <f>tbl_raw[[#This Row],[category]]</f>
        <v>musical_instruments</v>
      </c>
      <c r="C141" s="2">
        <f>tbl_profitability[[#This Row],[net_profit]]</f>
        <v>4573.380000000001</v>
      </c>
      <c r="D141" s="42">
        <f>tbl_profitability[[#This Row],[net_margin_pct]]</f>
        <v>0.57195847923961995</v>
      </c>
      <c r="E141" s="49" t="str">
        <f>tbl_profitability[[#This Row],[decision]]</f>
        <v>OPTIMIZE</v>
      </c>
      <c r="F141" s="2">
        <f>tbl_raw[[#This Row],[gross_revenue]]-tbl_raw[[#This Row],[return_loss]]-tbl_raw[[#This Row],[cogs]]*(1+scn_A_cogs_up)-(tbl_raw[[#This Row],[storage_cost]]+tbl_raw[[#This Row],[fulfillment_cost]]+tbl_raw[[#This Row],[freight_cost]])</f>
        <v>4253.5400000000009</v>
      </c>
      <c r="G141" s="42">
        <f>tbl_scenarios[[#This Row],[net_profit_A]]/tbl_raw[[#This Row],[gross_revenue]]</f>
        <v>0.53195847923961992</v>
      </c>
      <c r="H141" s="43">
        <f>tbl_scenarios[[#This Row],[net_margin_A]]-tbl_scenarios[[#This Row],[net_margin_pct]]</f>
        <v>-4.0000000000000036E-2</v>
      </c>
      <c r="I14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41" s="2">
        <f>tbl_raw[[#This Row],[gross_revenue]]-tbl_raw[[#This Row],[return_loss]]*(1+scn_B_returns_up/0.05)-tbl_raw[[#This Row],[cogs]]-(tbl_raw[[#This Row],[storage_cost]]+tbl_raw[[#This Row],[fulfillment_cost]]+tbl_raw[[#This Row],[freight_cost]])</f>
        <v>4572.9799999999996</v>
      </c>
      <c r="K141" s="42">
        <f>tbl_scenarios[[#This Row],[net_profit_B]]/tbl_raw[[#This Row],[gross_revenue]]</f>
        <v>0.57190845422711345</v>
      </c>
      <c r="L141" s="43">
        <f>tbl_scenarios[[#This Row],[net_margin_B]]-tbl_scenarios[[#This Row],[net_margin_pct]]</f>
        <v>-5.0025012506504929E-5</v>
      </c>
      <c r="M14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41" s="2">
        <f>tbl_raw[[#This Row],[gross_revenue]]*(1-scn_C_price_down)-tbl_raw[[#This Row],[return_loss]]-tbl_raw[[#This Row],[cogs]]-(tbl_raw[[#This Row],[storage_cost]]+tbl_raw[[#This Row],[fulfillment_cost]]+tbl_raw[[#This Row],[freight_cost]])</f>
        <v>4173.58</v>
      </c>
      <c r="O141" s="42">
        <f>tbl_scenarios[[#This Row],[net_profit_C]]/(tbl_raw[[#This Row],[gross_revenue]]*(1-scn_C_price_down))</f>
        <v>0.54942997814696826</v>
      </c>
      <c r="P141" s="43">
        <f>tbl_scenarios[[#This Row],[net_margin_C]]-tbl_scenarios[[#This Row],[net_margin_pct]]</f>
        <v>-2.2528501092651698E-2</v>
      </c>
      <c r="Q14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4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42" spans="1:18" x14ac:dyDescent="0.35">
      <c r="A142" s="17" t="str">
        <f>tbl_raw[[#This Row],[product_id]]</f>
        <v>f39a8b27ce90ac582103bf36f09690dd</v>
      </c>
      <c r="B142" t="str">
        <f>tbl_raw[[#This Row],[category]]</f>
        <v>consoles_games</v>
      </c>
      <c r="C142" s="2">
        <f>tbl_profitability[[#This Row],[net_profit]]</f>
        <v>2969.3099999999995</v>
      </c>
      <c r="D142" s="42">
        <f>tbl_profitability[[#This Row],[net_margin_pct]]</f>
        <v>0.37181442524417724</v>
      </c>
      <c r="E142" s="49" t="str">
        <f>tbl_profitability[[#This Row],[decision]]</f>
        <v>SCALE</v>
      </c>
      <c r="F142" s="2">
        <f>tbl_raw[[#This Row],[gross_revenue]]-tbl_raw[[#This Row],[return_loss]]-tbl_raw[[#This Row],[cogs]]*(1+scn_A_cogs_up)-(tbl_raw[[#This Row],[storage_cost]]+tbl_raw[[#This Row],[fulfillment_cost]]+tbl_raw[[#This Row],[freight_cost]])</f>
        <v>2514.1079999999993</v>
      </c>
      <c r="G142" s="42">
        <f>tbl_scenarios[[#This Row],[net_profit_A]]/tbl_raw[[#This Row],[gross_revenue]]</f>
        <v>0.31481442524417724</v>
      </c>
      <c r="H142" s="43">
        <f>tbl_scenarios[[#This Row],[net_margin_A]]-tbl_scenarios[[#This Row],[net_margin_pct]]</f>
        <v>-5.6999999999999995E-2</v>
      </c>
      <c r="I14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42" s="2">
        <f>tbl_raw[[#This Row],[gross_revenue]]-tbl_raw[[#This Row],[return_loss]]*(1+scn_B_returns_up/0.05)-tbl_raw[[#This Row],[cogs]]-(tbl_raw[[#This Row],[storage_cost]]+tbl_raw[[#This Row],[fulfillment_cost]]+tbl_raw[[#This Row],[freight_cost]])</f>
        <v>2960.67</v>
      </c>
      <c r="K142" s="42">
        <f>tbl_scenarios[[#This Row],[net_profit_B]]/tbl_raw[[#This Row],[gross_revenue]]</f>
        <v>0.37073253193087907</v>
      </c>
      <c r="L142" s="43">
        <f>tbl_scenarios[[#This Row],[net_margin_B]]-tbl_scenarios[[#This Row],[net_margin_pct]]</f>
        <v>-1.0818933132981656E-3</v>
      </c>
      <c r="M14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42" s="2">
        <f>tbl_raw[[#This Row],[gross_revenue]]*(1-scn_C_price_down)-tbl_raw[[#This Row],[return_loss]]-tbl_raw[[#This Row],[cogs]]-(tbl_raw[[#This Row],[storage_cost]]+tbl_raw[[#This Row],[fulfillment_cost]]+tbl_raw[[#This Row],[freight_cost]])</f>
        <v>2570.0099999999993</v>
      </c>
      <c r="O142" s="42">
        <f>tbl_scenarios[[#This Row],[net_profit_C]]/(tbl_raw[[#This Row],[gross_revenue]]*(1-scn_C_price_down))</f>
        <v>0.33875202657281817</v>
      </c>
      <c r="P142" s="43">
        <f>tbl_scenarios[[#This Row],[net_margin_C]]-tbl_scenarios[[#This Row],[net_margin_pct]]</f>
        <v>-3.3062398671359072E-2</v>
      </c>
      <c r="Q14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4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43" spans="1:18" x14ac:dyDescent="0.35">
      <c r="A143" s="17" t="str">
        <f>tbl_raw[[#This Row],[product_id]]</f>
        <v>df0c26d7ddb998e2517658a55e46e48a</v>
      </c>
      <c r="B143" t="str">
        <f>tbl_raw[[#This Row],[category]]</f>
        <v>home_appliances_2</v>
      </c>
      <c r="C143" s="2">
        <f>tbl_profitability[[#This Row],[net_profit]]</f>
        <v>2918.6699999999996</v>
      </c>
      <c r="D143" s="42">
        <f>tbl_profitability[[#This Row],[net_margin_pct]]</f>
        <v>0.36745184439128786</v>
      </c>
      <c r="E143" s="49" t="str">
        <f>tbl_profitability[[#This Row],[decision]]</f>
        <v>SCALE</v>
      </c>
      <c r="F143" s="2">
        <f>tbl_raw[[#This Row],[gross_revenue]]-tbl_raw[[#This Row],[return_loss]]-tbl_raw[[#This Row],[cogs]]*(1+scn_A_cogs_up)-(tbl_raw[[#This Row],[storage_cost]]+tbl_raw[[#This Row],[fulfillment_cost]]+tbl_raw[[#This Row],[freight_cost]])</f>
        <v>2465.9189999999994</v>
      </c>
      <c r="G143" s="42">
        <f>tbl_scenarios[[#This Row],[net_profit_A]]/tbl_raw[[#This Row],[gross_revenue]]</f>
        <v>0.31045184439128787</v>
      </c>
      <c r="H143" s="43">
        <f>tbl_scenarios[[#This Row],[net_margin_A]]-tbl_scenarios[[#This Row],[net_margin_pct]]</f>
        <v>-5.6999999999999995E-2</v>
      </c>
      <c r="I14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43" s="2">
        <f>tbl_raw[[#This Row],[gross_revenue]]-tbl_raw[[#This Row],[return_loss]]*(1+scn_B_returns_up/0.05)-tbl_raw[[#This Row],[cogs]]-(tbl_raw[[#This Row],[storage_cost]]+tbl_raw[[#This Row],[fulfillment_cost]]+tbl_raw[[#This Row],[freight_cost]])</f>
        <v>2916.8699999999994</v>
      </c>
      <c r="K143" s="42">
        <f>tbl_scenarios[[#This Row],[net_profit_B]]/tbl_raw[[#This Row],[gross_revenue]]</f>
        <v>0.36722522976205457</v>
      </c>
      <c r="L143" s="43">
        <f>tbl_scenarios[[#This Row],[net_margin_B]]-tbl_scenarios[[#This Row],[net_margin_pct]]</f>
        <v>-2.2661462923329045E-4</v>
      </c>
      <c r="M14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43" s="2">
        <f>tbl_raw[[#This Row],[gross_revenue]]*(1-scn_C_price_down)-tbl_raw[[#This Row],[return_loss]]-tbl_raw[[#This Row],[cogs]]-(tbl_raw[[#This Row],[storage_cost]]+tbl_raw[[#This Row],[fulfillment_cost]]+tbl_raw[[#This Row],[freight_cost]])</f>
        <v>2521.5199999999991</v>
      </c>
      <c r="O143" s="42">
        <f>tbl_scenarios[[#This Row],[net_profit_C]]/(tbl_raw[[#This Row],[gross_revenue]]*(1-scn_C_price_down))</f>
        <v>0.33415983620135559</v>
      </c>
      <c r="P143" s="43">
        <f>tbl_scenarios[[#This Row],[net_margin_C]]-tbl_scenarios[[#This Row],[net_margin_pct]]</f>
        <v>-3.3292008189932276E-2</v>
      </c>
      <c r="Q14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4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44" spans="1:18" x14ac:dyDescent="0.35">
      <c r="A144" s="17" t="str">
        <f>tbl_raw[[#This Row],[product_id]]</f>
        <v>617186c3d97ea56c9c683a8a3974e8c1</v>
      </c>
      <c r="B144" t="str">
        <f>tbl_raw[[#This Row],[category]]</f>
        <v>perfumery</v>
      </c>
      <c r="C144" s="2">
        <f>tbl_profitability[[#This Row],[net_profit]]</f>
        <v>2618.13</v>
      </c>
      <c r="D144" s="42">
        <f>tbl_profitability[[#This Row],[net_margin_pct]]</f>
        <v>0.33040301361046437</v>
      </c>
      <c r="E144" s="49" t="str">
        <f>tbl_profitability[[#This Row],[decision]]</f>
        <v>SCALE</v>
      </c>
      <c r="F144" s="2">
        <f>tbl_raw[[#This Row],[gross_revenue]]-tbl_raw[[#This Row],[return_loss]]-tbl_raw[[#This Row],[cogs]]*(1+scn_A_cogs_up)-(tbl_raw[[#This Row],[storage_cost]]+tbl_raw[[#This Row],[fulfillment_cost]]+tbl_raw[[#This Row],[freight_cost]])</f>
        <v>2285.3200000000006</v>
      </c>
      <c r="G144" s="42">
        <f>tbl_scenarios[[#This Row],[net_profit_A]]/tbl_raw[[#This Row],[gross_revenue]]</f>
        <v>0.28840302623027375</v>
      </c>
      <c r="H144" s="43">
        <f>tbl_scenarios[[#This Row],[net_margin_A]]-tbl_scenarios[[#This Row],[net_margin_pct]]</f>
        <v>-4.1999987380190618E-2</v>
      </c>
      <c r="I14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44" s="2">
        <f>tbl_raw[[#This Row],[gross_revenue]]-tbl_raw[[#This Row],[return_loss]]*(1+scn_B_returns_up/0.05)-tbl_raw[[#This Row],[cogs]]-(tbl_raw[[#This Row],[storage_cost]]+tbl_raw[[#This Row],[fulfillment_cost]]+tbl_raw[[#This Row],[freight_cost]])</f>
        <v>2583.9300000000012</v>
      </c>
      <c r="K144" s="42">
        <f>tbl_scenarios[[#This Row],[net_profit_B]]/tbl_raw[[#This Row],[gross_revenue]]</f>
        <v>0.32608703882484352</v>
      </c>
      <c r="L144" s="43">
        <f>tbl_scenarios[[#This Row],[net_margin_B]]-tbl_scenarios[[#This Row],[net_margin_pct]]</f>
        <v>-4.3159747856208464E-3</v>
      </c>
      <c r="M14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44" s="2">
        <f>tbl_raw[[#This Row],[gross_revenue]]*(1-scn_C_price_down)-tbl_raw[[#This Row],[return_loss]]-tbl_raw[[#This Row],[cogs]]-(tbl_raw[[#This Row],[storage_cost]]+tbl_raw[[#This Row],[fulfillment_cost]]+tbl_raw[[#This Row],[freight_cost]])</f>
        <v>2221.9275000000007</v>
      </c>
      <c r="O144" s="42">
        <f>tbl_scenarios[[#This Row],[net_profit_C]]/(tbl_raw[[#This Row],[gross_revenue]]*(1-scn_C_price_down))</f>
        <v>0.29516106695838362</v>
      </c>
      <c r="P144" s="43">
        <f>tbl_scenarios[[#This Row],[net_margin_C]]-tbl_scenarios[[#This Row],[net_margin_pct]]</f>
        <v>-3.5241946652080747E-2</v>
      </c>
      <c r="Q14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4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45" spans="1:18" x14ac:dyDescent="0.35">
      <c r="A145" s="17" t="str">
        <f>tbl_raw[[#This Row],[product_id]]</f>
        <v>1f411e9a31196b71ed8438c8254b858e</v>
      </c>
      <c r="B145" t="str">
        <f>tbl_raw[[#This Row],[category]]</f>
        <v>computers</v>
      </c>
      <c r="C145" s="2">
        <f>tbl_profitability[[#This Row],[net_profit]]</f>
        <v>2805.3499999999995</v>
      </c>
      <c r="D145" s="42">
        <f>tbl_profitability[[#This Row],[net_margin_pct]]</f>
        <v>0.35601249758880793</v>
      </c>
      <c r="E145" s="49" t="str">
        <f>tbl_profitability[[#This Row],[decision]]</f>
        <v>SCALE</v>
      </c>
      <c r="F145" s="2">
        <f>tbl_raw[[#This Row],[gross_revenue]]-tbl_raw[[#This Row],[return_loss]]-tbl_raw[[#This Row],[cogs]]*(1+scn_A_cogs_up)-(tbl_raw[[#This Row],[storage_cost]]+tbl_raw[[#This Row],[fulfillment_cost]]+tbl_raw[[#This Row],[freight_cost]])</f>
        <v>2356.1949999999988</v>
      </c>
      <c r="G145" s="42">
        <f>tbl_scenarios[[#This Row],[net_profit_A]]/tbl_raw[[#This Row],[gross_revenue]]</f>
        <v>0.29901255342693817</v>
      </c>
      <c r="H145" s="43">
        <f>tbl_scenarios[[#This Row],[net_margin_A]]-tbl_scenarios[[#This Row],[net_margin_pct]]</f>
        <v>-5.6999944161869764E-2</v>
      </c>
      <c r="I14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45" s="2">
        <f>tbl_raw[[#This Row],[gross_revenue]]-tbl_raw[[#This Row],[return_loss]]*(1+scn_B_returns_up/0.05)-tbl_raw[[#This Row],[cogs]]-(tbl_raw[[#This Row],[storage_cost]]+tbl_raw[[#This Row],[fulfillment_cost]]+tbl_raw[[#This Row],[freight_cost]])</f>
        <v>2794.5499999999993</v>
      </c>
      <c r="K145" s="42">
        <f>tbl_scenarios[[#This Row],[net_profit_B]]/tbl_raw[[#This Row],[gross_revenue]]</f>
        <v>0.3546419252987339</v>
      </c>
      <c r="L145" s="43">
        <f>tbl_scenarios[[#This Row],[net_margin_B]]-tbl_scenarios[[#This Row],[net_margin_pct]]</f>
        <v>-1.3705722900740347E-3</v>
      </c>
      <c r="M14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45" s="2">
        <f>tbl_raw[[#This Row],[gross_revenue]]*(1-scn_C_price_down)-tbl_raw[[#This Row],[return_loss]]-tbl_raw[[#This Row],[cogs]]-(tbl_raw[[#This Row],[storage_cost]]+tbl_raw[[#This Row],[fulfillment_cost]]+tbl_raw[[#This Row],[freight_cost]])</f>
        <v>2411.3539999999994</v>
      </c>
      <c r="O145" s="42">
        <f>tbl_scenarios[[#This Row],[net_profit_C]]/(tbl_raw[[#This Row],[gross_revenue]]*(1-scn_C_price_down))</f>
        <v>0.32211841851453465</v>
      </c>
      <c r="P145" s="43">
        <f>tbl_scenarios[[#This Row],[net_margin_C]]-tbl_scenarios[[#This Row],[net_margin_pct]]</f>
        <v>-3.3894079074273276E-2</v>
      </c>
      <c r="Q14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4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46" spans="1:18" x14ac:dyDescent="0.35">
      <c r="A146" s="17" t="str">
        <f>tbl_raw[[#This Row],[product_id]]</f>
        <v>3ecf69ee1fe21cfd40b30cbea549e563</v>
      </c>
      <c r="B146" t="str">
        <f>tbl_raw[[#This Row],[category]]</f>
        <v>small_appliances</v>
      </c>
      <c r="C146" s="2">
        <f>tbl_profitability[[#This Row],[net_profit]]</f>
        <v>3262.5</v>
      </c>
      <c r="D146" s="42">
        <f>tbl_profitability[[#This Row],[net_margin_pct]]</f>
        <v>0.41465429588205388</v>
      </c>
      <c r="E146" s="49" t="str">
        <f>tbl_profitability[[#This Row],[decision]]</f>
        <v>OPTIMIZE</v>
      </c>
      <c r="F146" s="2">
        <f>tbl_raw[[#This Row],[gross_revenue]]-tbl_raw[[#This Row],[return_loss]]-tbl_raw[[#This Row],[cogs]]*(1+scn_A_cogs_up)-(tbl_raw[[#This Row],[storage_cost]]+tbl_raw[[#This Row],[fulfillment_cost]]+tbl_raw[[#This Row],[freight_cost]])</f>
        <v>2814.0239999999994</v>
      </c>
      <c r="G146" s="42">
        <f>tbl_scenarios[[#This Row],[net_profit_A]]/tbl_raw[[#This Row],[gross_revenue]]</f>
        <v>0.35765429588205383</v>
      </c>
      <c r="H146" s="43">
        <f>tbl_scenarios[[#This Row],[net_margin_A]]-tbl_scenarios[[#This Row],[net_margin_pct]]</f>
        <v>-5.7000000000000051E-2</v>
      </c>
      <c r="I14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46" s="2">
        <f>tbl_raw[[#This Row],[gross_revenue]]-tbl_raw[[#This Row],[return_loss]]*(1+scn_B_returns_up/0.05)-tbl_raw[[#This Row],[cogs]]-(tbl_raw[[#This Row],[storage_cost]]+tbl_raw[[#This Row],[fulfillment_cost]]+tbl_raw[[#This Row],[freight_cost]])</f>
        <v>3261.42</v>
      </c>
      <c r="K146" s="42">
        <f>tbl_scenarios[[#This Row],[net_profit_B]]/tbl_raw[[#This Row],[gross_revenue]]</f>
        <v>0.41451703101169296</v>
      </c>
      <c r="L146" s="43">
        <f>tbl_scenarios[[#This Row],[net_margin_B]]-tbl_scenarios[[#This Row],[net_margin_pct]]</f>
        <v>-1.3726487036092028E-4</v>
      </c>
      <c r="M14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46" s="2">
        <f>tbl_raw[[#This Row],[gross_revenue]]*(1-scn_C_price_down)-tbl_raw[[#This Row],[return_loss]]-tbl_raw[[#This Row],[cogs]]-(tbl_raw[[#This Row],[storage_cost]]+tbl_raw[[#This Row],[fulfillment_cost]]+tbl_raw[[#This Row],[freight_cost]])</f>
        <v>2869.0999999999995</v>
      </c>
      <c r="O146" s="42">
        <f>tbl_scenarios[[#This Row],[net_profit_C]]/(tbl_raw[[#This Row],[gross_revenue]]*(1-scn_C_price_down))</f>
        <v>0.38384662724426721</v>
      </c>
      <c r="P146" s="43">
        <f>tbl_scenarios[[#This Row],[net_margin_C]]-tbl_scenarios[[#This Row],[net_margin_pct]]</f>
        <v>-3.0807668637786667E-2</v>
      </c>
      <c r="Q14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4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47" spans="1:18" x14ac:dyDescent="0.35">
      <c r="A147" s="17" t="str">
        <f>tbl_raw[[#This Row],[product_id]]</f>
        <v>679d1a26cc192f14e7e30ae397f8b089</v>
      </c>
      <c r="B147" t="str">
        <f>tbl_raw[[#This Row],[category]]</f>
        <v>health_beauty</v>
      </c>
      <c r="C147" s="2">
        <f>tbl_profitability[[#This Row],[net_profit]]</f>
        <v>4300.630000000001</v>
      </c>
      <c r="D147" s="42">
        <f>tbl_profitability[[#This Row],[net_margin_pct]]</f>
        <v>0.54953596569353425</v>
      </c>
      <c r="E147" s="49" t="str">
        <f>tbl_profitability[[#This Row],[decision]]</f>
        <v>OPTIMIZE</v>
      </c>
      <c r="F147" s="2">
        <f>tbl_raw[[#This Row],[gross_revenue]]-tbl_raw[[#This Row],[return_loss]]-tbl_raw[[#This Row],[cogs]]*(1+scn_A_cogs_up)-(tbl_raw[[#This Row],[storage_cost]]+tbl_raw[[#This Row],[fulfillment_cost]]+tbl_raw[[#This Row],[freight_cost]])</f>
        <v>3971.9410000000007</v>
      </c>
      <c r="G147" s="42">
        <f>tbl_scenarios[[#This Row],[net_profit_A]]/tbl_raw[[#This Row],[gross_revenue]]</f>
        <v>0.50753597336035472</v>
      </c>
      <c r="H147" s="43">
        <f>tbl_scenarios[[#This Row],[net_margin_A]]-tbl_scenarios[[#This Row],[net_margin_pct]]</f>
        <v>-4.1999992333179526E-2</v>
      </c>
      <c r="I14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47" s="2">
        <f>tbl_raw[[#This Row],[gross_revenue]]-tbl_raw[[#This Row],[return_loss]]*(1+scn_B_returns_up/0.05)-tbl_raw[[#This Row],[cogs]]-(tbl_raw[[#This Row],[storage_cost]]+tbl_raw[[#This Row],[fulfillment_cost]]+tbl_raw[[#This Row],[freight_cost]])</f>
        <v>4297.3900000000012</v>
      </c>
      <c r="K147" s="42">
        <f>tbl_scenarios[[#This Row],[net_profit_B]]/tbl_raw[[#This Row],[gross_revenue]]</f>
        <v>0.54912195739036784</v>
      </c>
      <c r="L147" s="43">
        <f>tbl_scenarios[[#This Row],[net_margin_B]]-tbl_scenarios[[#This Row],[net_margin_pct]]</f>
        <v>-4.1400830316640214E-4</v>
      </c>
      <c r="M14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47" s="2">
        <f>tbl_raw[[#This Row],[gross_revenue]]*(1-scn_C_price_down)-tbl_raw[[#This Row],[return_loss]]-tbl_raw[[#This Row],[cogs]]-(tbl_raw[[#This Row],[storage_cost]]+tbl_raw[[#This Row],[fulfillment_cost]]+tbl_raw[[#This Row],[freight_cost]])</f>
        <v>3909.3335000000006</v>
      </c>
      <c r="O147" s="42">
        <f>tbl_scenarios[[#This Row],[net_profit_C]]/(tbl_raw[[#This Row],[gross_revenue]]*(1-scn_C_price_down))</f>
        <v>0.52582733230898349</v>
      </c>
      <c r="P147" s="43">
        <f>tbl_scenarios[[#This Row],[net_margin_C]]-tbl_scenarios[[#This Row],[net_margin_pct]]</f>
        <v>-2.3708633384550759E-2</v>
      </c>
      <c r="Q14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4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48" spans="1:18" x14ac:dyDescent="0.35">
      <c r="A148" s="17" t="str">
        <f>tbl_raw[[#This Row],[product_id]]</f>
        <v>b5e13c9a353102f79c6206ff5cb61a50</v>
      </c>
      <c r="B148" t="str">
        <f>tbl_raw[[#This Row],[category]]</f>
        <v>toys</v>
      </c>
      <c r="C148" s="2">
        <f>tbl_profitability[[#This Row],[net_profit]]</f>
        <v>2517.3199999999997</v>
      </c>
      <c r="D148" s="42">
        <f>tbl_profitability[[#This Row],[net_margin_pct]]</f>
        <v>0.32228296355093522</v>
      </c>
      <c r="E148" s="49" t="str">
        <f>tbl_profitability[[#This Row],[decision]]</f>
        <v>EXIT</v>
      </c>
      <c r="F148" s="2">
        <f>tbl_raw[[#This Row],[gross_revenue]]-tbl_raw[[#This Row],[return_loss]]-tbl_raw[[#This Row],[cogs]]*(1+scn_A_cogs_up)-(tbl_raw[[#This Row],[storage_cost]]+tbl_raw[[#This Row],[fulfillment_cost]]+tbl_raw[[#This Row],[freight_cost]])</f>
        <v>2189.2619999999988</v>
      </c>
      <c r="G148" s="42">
        <f>tbl_scenarios[[#This Row],[net_profit_A]]/tbl_raw[[#This Row],[gross_revenue]]</f>
        <v>0.28028293794569115</v>
      </c>
      <c r="H148" s="43">
        <f>tbl_scenarios[[#This Row],[net_margin_A]]-tbl_scenarios[[#This Row],[net_margin_pct]]</f>
        <v>-4.2000025605244073E-2</v>
      </c>
      <c r="I148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148" s="2">
        <f>tbl_raw[[#This Row],[gross_revenue]]-tbl_raw[[#This Row],[return_loss]]*(1+scn_B_returns_up/0.05)-tbl_raw[[#This Row],[cogs]]-(tbl_raw[[#This Row],[storage_cost]]+tbl_raw[[#This Row],[fulfillment_cost]]+tbl_raw[[#This Row],[freight_cost]])</f>
        <v>2484.5599999999995</v>
      </c>
      <c r="K148" s="42">
        <f>tbl_scenarios[[#This Row],[net_profit_B]]/tbl_raw[[#This Row],[gross_revenue]]</f>
        <v>0.31808882459127624</v>
      </c>
      <c r="L148" s="43">
        <f>tbl_scenarios[[#This Row],[net_margin_B]]-tbl_scenarios[[#This Row],[net_margin_pct]]</f>
        <v>-4.1941389596589773E-3</v>
      </c>
      <c r="M148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148" s="2">
        <f>tbl_raw[[#This Row],[gross_revenue]]*(1-scn_C_price_down)-tbl_raw[[#This Row],[return_loss]]-tbl_raw[[#This Row],[cogs]]-(tbl_raw[[#This Row],[storage_cost]]+tbl_raw[[#This Row],[fulfillment_cost]]+tbl_raw[[#This Row],[freight_cost]])</f>
        <v>2126.7749999999996</v>
      </c>
      <c r="O148" s="42">
        <f>tbl_scenarios[[#This Row],[net_profit_C]]/(tbl_raw[[#This Row],[gross_revenue]]*(1-scn_C_price_down))</f>
        <v>0.28661364584308968</v>
      </c>
      <c r="P148" s="43">
        <f>tbl_scenarios[[#This Row],[net_margin_C]]-tbl_scenarios[[#This Row],[net_margin_pct]]</f>
        <v>-3.5669317707845538E-2</v>
      </c>
      <c r="Q148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14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49" spans="1:18" x14ac:dyDescent="0.35">
      <c r="A149" s="17" t="str">
        <f>tbl_raw[[#This Row],[product_id]]</f>
        <v>437c05a395e9e47f9762e677a7068ce7</v>
      </c>
      <c r="B149" t="str">
        <f>tbl_raw[[#This Row],[category]]</f>
        <v>health_beauty</v>
      </c>
      <c r="C149" s="2">
        <f>tbl_profitability[[#This Row],[net_profit]]</f>
        <v>1907.7099999999991</v>
      </c>
      <c r="D149" s="42">
        <f>tbl_profitability[[#This Row],[net_margin_pct]]</f>
        <v>0.24590514713369957</v>
      </c>
      <c r="E149" s="49" t="str">
        <f>tbl_profitability[[#This Row],[decision]]</f>
        <v>OPTIMIZE</v>
      </c>
      <c r="F149" s="2">
        <f>tbl_raw[[#This Row],[gross_revenue]]-tbl_raw[[#This Row],[return_loss]]-tbl_raw[[#This Row],[cogs]]*(1+scn_A_cogs_up)-(tbl_raw[[#This Row],[storage_cost]]+tbl_raw[[#This Row],[fulfillment_cost]]+tbl_raw[[#This Row],[freight_cost]])</f>
        <v>1581.8779999999988</v>
      </c>
      <c r="G149" s="42">
        <f>tbl_scenarios[[#This Row],[net_profit_A]]/tbl_raw[[#This Row],[gross_revenue]]</f>
        <v>0.20390517549185269</v>
      </c>
      <c r="H149" s="43">
        <f>tbl_scenarios[[#This Row],[net_margin_A]]-tbl_scenarios[[#This Row],[net_margin_pct]]</f>
        <v>-4.1999971641846878E-2</v>
      </c>
      <c r="I149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49" s="2">
        <f>tbl_raw[[#This Row],[gross_revenue]]-tbl_raw[[#This Row],[return_loss]]*(1+scn_B_returns_up/0.05)-tbl_raw[[#This Row],[cogs]]-(tbl_raw[[#This Row],[storage_cost]]+tbl_raw[[#This Row],[fulfillment_cost]]+tbl_raw[[#This Row],[freight_cost]])</f>
        <v>1851.9099999999999</v>
      </c>
      <c r="K149" s="42">
        <f>tbl_scenarios[[#This Row],[net_profit_B]]/tbl_raw[[#This Row],[gross_revenue]]</f>
        <v>0.23871248828614922</v>
      </c>
      <c r="L149" s="43">
        <f>tbl_scenarios[[#This Row],[net_margin_B]]-tbl_scenarios[[#This Row],[net_margin_pct]]</f>
        <v>-7.1926588475503539E-3</v>
      </c>
      <c r="M149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49" s="2">
        <f>tbl_raw[[#This Row],[gross_revenue]]*(1-scn_C_price_down)-tbl_raw[[#This Row],[return_loss]]-tbl_raw[[#This Row],[cogs]]-(tbl_raw[[#This Row],[storage_cost]]+tbl_raw[[#This Row],[fulfillment_cost]]+tbl_raw[[#This Row],[freight_cost]])</f>
        <v>1519.814499999999</v>
      </c>
      <c r="O149" s="42">
        <f>tbl_scenarios[[#This Row],[net_profit_C]]/(tbl_raw[[#This Row],[gross_revenue]]*(1-scn_C_price_down))</f>
        <v>0.2062159443512627</v>
      </c>
      <c r="P149" s="43">
        <f>tbl_scenarios[[#This Row],[net_margin_C]]-tbl_scenarios[[#This Row],[net_margin_pct]]</f>
        <v>-3.9689202782436872E-2</v>
      </c>
      <c r="Q149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4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50" spans="1:18" x14ac:dyDescent="0.35">
      <c r="A150" s="17" t="str">
        <f>tbl_raw[[#This Row],[product_id]]</f>
        <v>dd113cb02b2af9c8e5787e8f1f0722f6</v>
      </c>
      <c r="B150" t="str">
        <f>tbl_raw[[#This Row],[category]]</f>
        <v>sports_leisure</v>
      </c>
      <c r="C150" s="2">
        <f>tbl_profitability[[#This Row],[net_profit]]</f>
        <v>4234.8899999999994</v>
      </c>
      <c r="D150" s="42">
        <f>tbl_profitability[[#This Row],[net_margin_pct]]</f>
        <v>0.54650793650793639</v>
      </c>
      <c r="E150" s="49" t="str">
        <f>tbl_profitability[[#This Row],[decision]]</f>
        <v>SCALE</v>
      </c>
      <c r="F150" s="2">
        <f>tbl_raw[[#This Row],[gross_revenue]]-tbl_raw[[#This Row],[return_loss]]-tbl_raw[[#This Row],[cogs]]*(1+scn_A_cogs_up)-(tbl_raw[[#This Row],[storage_cost]]+tbl_raw[[#This Row],[fulfillment_cost]]+tbl_raw[[#This Row],[freight_cost]])</f>
        <v>3909.4320000000002</v>
      </c>
      <c r="G150" s="42">
        <f>tbl_scenarios[[#This Row],[net_profit_A]]/tbl_raw[[#This Row],[gross_revenue]]</f>
        <v>0.50450793650793657</v>
      </c>
      <c r="H150" s="43">
        <f>tbl_scenarios[[#This Row],[net_margin_A]]-tbl_scenarios[[#This Row],[net_margin_pct]]</f>
        <v>-4.1999999999999815E-2</v>
      </c>
      <c r="I15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50" s="2">
        <f>tbl_raw[[#This Row],[gross_revenue]]-tbl_raw[[#This Row],[return_loss]]*(1+scn_B_returns_up/0.05)-tbl_raw[[#This Row],[cogs]]-(tbl_raw[[#This Row],[storage_cost]]+tbl_raw[[#This Row],[fulfillment_cost]]+tbl_raw[[#This Row],[freight_cost]])</f>
        <v>4234.17</v>
      </c>
      <c r="K150" s="42">
        <f>tbl_scenarios[[#This Row],[net_profit_B]]/tbl_raw[[#This Row],[gross_revenue]]</f>
        <v>0.54641502129307007</v>
      </c>
      <c r="L150" s="43">
        <f>tbl_scenarios[[#This Row],[net_margin_B]]-tbl_scenarios[[#This Row],[net_margin_pct]]</f>
        <v>-9.2915214866318152E-5</v>
      </c>
      <c r="M15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50" s="2">
        <f>tbl_raw[[#This Row],[gross_revenue]]*(1-scn_C_price_down)-tbl_raw[[#This Row],[return_loss]]-tbl_raw[[#This Row],[cogs]]-(tbl_raw[[#This Row],[storage_cost]]+tbl_raw[[#This Row],[fulfillment_cost]]+tbl_raw[[#This Row],[freight_cost]])</f>
        <v>3847.4399999999991</v>
      </c>
      <c r="O150" s="42">
        <f>tbl_scenarios[[#This Row],[net_profit_C]]/(tbl_raw[[#This Row],[gross_revenue]]*(1-scn_C_price_down))</f>
        <v>0.5226399331662489</v>
      </c>
      <c r="P150" s="43">
        <f>tbl_scenarios[[#This Row],[net_margin_C]]-tbl_scenarios[[#This Row],[net_margin_pct]]</f>
        <v>-2.3868003341687483E-2</v>
      </c>
      <c r="Q15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5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51" spans="1:18" x14ac:dyDescent="0.35">
      <c r="A151" s="17" t="str">
        <f>tbl_raw[[#This Row],[product_id]]</f>
        <v>09481a6dfe9eb590dc8b265b54dc4c97</v>
      </c>
      <c r="B151" t="str">
        <f>tbl_raw[[#This Row],[category]]</f>
        <v>computers_accessories</v>
      </c>
      <c r="C151" s="2">
        <f>tbl_profitability[[#This Row],[net_profit]]</f>
        <v>2723.9099999999994</v>
      </c>
      <c r="D151" s="42">
        <f>tbl_profitability[[#This Row],[net_margin_pct]]</f>
        <v>0.35387403538857271</v>
      </c>
      <c r="E151" s="49" t="str">
        <f>tbl_profitability[[#This Row],[decision]]</f>
        <v>EXIT</v>
      </c>
      <c r="F151" s="2">
        <f>tbl_raw[[#This Row],[gross_revenue]]-tbl_raw[[#This Row],[return_loss]]-tbl_raw[[#This Row],[cogs]]*(1+scn_A_cogs_up)-(tbl_raw[[#This Row],[storage_cost]]+tbl_raw[[#This Row],[fulfillment_cost]]+tbl_raw[[#This Row],[freight_cost]])</f>
        <v>2285.157999999999</v>
      </c>
      <c r="G151" s="42">
        <f>tbl_scenarios[[#This Row],[net_profit_A]]/tbl_raw[[#This Row],[gross_revenue]]</f>
        <v>0.29687400940577324</v>
      </c>
      <c r="H151" s="43">
        <f>tbl_scenarios[[#This Row],[net_margin_A]]-tbl_scenarios[[#This Row],[net_margin_pct]]</f>
        <v>-5.7000025982799463E-2</v>
      </c>
      <c r="I151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151" s="2">
        <f>tbl_raw[[#This Row],[gross_revenue]]-tbl_raw[[#This Row],[return_loss]]*(1+scn_B_returns_up/0.05)-tbl_raw[[#This Row],[cogs]]-(tbl_raw[[#This Row],[storage_cost]]+tbl_raw[[#This Row],[fulfillment_cost]]+tbl_raw[[#This Row],[freight_cost]])</f>
        <v>2716.7099999999996</v>
      </c>
      <c r="K151" s="42">
        <f>tbl_scenarios[[#This Row],[net_profit_B]]/tbl_raw[[#This Row],[gross_revenue]]</f>
        <v>0.35293865461064772</v>
      </c>
      <c r="L151" s="43">
        <f>tbl_scenarios[[#This Row],[net_margin_B]]-tbl_scenarios[[#This Row],[net_margin_pct]]</f>
        <v>-9.3538077792498786E-4</v>
      </c>
      <c r="M151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151" s="2">
        <f>tbl_raw[[#This Row],[gross_revenue]]*(1-scn_C_price_down)-tbl_raw[[#This Row],[return_loss]]-tbl_raw[[#This Row],[cogs]]-(tbl_raw[[#This Row],[storage_cost]]+tbl_raw[[#This Row],[fulfillment_cost]]+tbl_raw[[#This Row],[freight_cost]])</f>
        <v>2339.0399999999995</v>
      </c>
      <c r="O151" s="42">
        <f>tbl_scenarios[[#This Row],[net_profit_C]]/(tbl_raw[[#This Row],[gross_revenue]]*(1-scn_C_price_down))</f>
        <v>0.3198674056721818</v>
      </c>
      <c r="P151" s="43">
        <f>tbl_scenarios[[#This Row],[net_margin_C]]-tbl_scenarios[[#This Row],[net_margin_pct]]</f>
        <v>-3.4006629716390901E-2</v>
      </c>
      <c r="Q151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15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52" spans="1:18" x14ac:dyDescent="0.35">
      <c r="A152" s="17" t="str">
        <f>tbl_raw[[#This Row],[product_id]]</f>
        <v>2028bf1b01cafb2d2b1901fca4083222</v>
      </c>
      <c r="B152" t="str">
        <f>tbl_raw[[#This Row],[category]]</f>
        <v>perfumery</v>
      </c>
      <c r="C152" s="2">
        <f>tbl_profitability[[#This Row],[net_profit]]</f>
        <v>1878.6999999999994</v>
      </c>
      <c r="D152" s="42">
        <f>tbl_profitability[[#This Row],[net_margin_pct]]</f>
        <v>0.24476198665384677</v>
      </c>
      <c r="E152" s="49" t="str">
        <f>tbl_profitability[[#This Row],[decision]]</f>
        <v>OPTIMIZE</v>
      </c>
      <c r="F152" s="2">
        <f>tbl_raw[[#This Row],[gross_revenue]]-tbl_raw[[#This Row],[return_loss]]-tbl_raw[[#This Row],[cogs]]*(1+scn_A_cogs_up)-(tbl_raw[[#This Row],[storage_cost]]+tbl_raw[[#This Row],[fulfillment_cost]]+tbl_raw[[#This Row],[freight_cost]])</f>
        <v>1556.3239999999992</v>
      </c>
      <c r="G152" s="42">
        <f>tbl_scenarios[[#This Row],[net_profit_A]]/tbl_raw[[#This Row],[gross_revenue]]</f>
        <v>0.20276199186515215</v>
      </c>
      <c r="H152" s="43">
        <f>tbl_scenarios[[#This Row],[net_margin_A]]-tbl_scenarios[[#This Row],[net_margin_pct]]</f>
        <v>-4.1999994788694622E-2</v>
      </c>
      <c r="I15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52" s="2">
        <f>tbl_raw[[#This Row],[gross_revenue]]-tbl_raw[[#This Row],[return_loss]]*(1+scn_B_returns_up/0.05)-tbl_raw[[#This Row],[cogs]]-(tbl_raw[[#This Row],[storage_cost]]+tbl_raw[[#This Row],[fulfillment_cost]]+tbl_raw[[#This Row],[freight_cost]])</f>
        <v>1829.02</v>
      </c>
      <c r="K152" s="42">
        <f>tbl_scenarios[[#This Row],[net_profit_B]]/tbl_raw[[#This Row],[gross_revenue]]</f>
        <v>0.23828954533965985</v>
      </c>
      <c r="L152" s="43">
        <f>tbl_scenarios[[#This Row],[net_margin_B]]-tbl_scenarios[[#This Row],[net_margin_pct]]</f>
        <v>-6.4724413141869219E-3</v>
      </c>
      <c r="M15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52" s="2">
        <f>tbl_raw[[#This Row],[gross_revenue]]*(1-scn_C_price_down)-tbl_raw[[#This Row],[return_loss]]-tbl_raw[[#This Row],[cogs]]-(tbl_raw[[#This Row],[storage_cost]]+tbl_raw[[#This Row],[fulfillment_cost]]+tbl_raw[[#This Row],[freight_cost]])</f>
        <v>1494.9189999999994</v>
      </c>
      <c r="O152" s="42">
        <f>tbl_scenarios[[#This Row],[net_profit_C]]/(tbl_raw[[#This Row],[gross_revenue]]*(1-scn_C_price_down))</f>
        <v>0.20501261753036504</v>
      </c>
      <c r="P152" s="43">
        <f>tbl_scenarios[[#This Row],[net_margin_C]]-tbl_scenarios[[#This Row],[net_margin_pct]]</f>
        <v>-3.9749369123481731E-2</v>
      </c>
      <c r="Q15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5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53" spans="1:18" x14ac:dyDescent="0.35">
      <c r="A153" s="17" t="str">
        <f>tbl_raw[[#This Row],[product_id]]</f>
        <v>7614c62b86a81021243e438cfde78ccc</v>
      </c>
      <c r="B153" t="str">
        <f>tbl_raw[[#This Row],[category]]</f>
        <v>health_beauty</v>
      </c>
      <c r="C153" s="2">
        <f>tbl_profitability[[#This Row],[net_profit]]</f>
        <v>3796.76</v>
      </c>
      <c r="D153" s="42">
        <f>tbl_profitability[[#This Row],[net_margin_pct]]</f>
        <v>0.50358179775608758</v>
      </c>
      <c r="E153" s="49" t="str">
        <f>tbl_profitability[[#This Row],[decision]]</f>
        <v>SCALE</v>
      </c>
      <c r="F153" s="2">
        <f>tbl_raw[[#This Row],[gross_revenue]]-tbl_raw[[#This Row],[return_loss]]-tbl_raw[[#This Row],[cogs]]*(1+scn_A_cogs_up)-(tbl_raw[[#This Row],[storage_cost]]+tbl_raw[[#This Row],[fulfillment_cost]]+tbl_raw[[#This Row],[freight_cost]])</f>
        <v>3480.1010000000006</v>
      </c>
      <c r="G153" s="42">
        <f>tbl_scenarios[[#This Row],[net_profit_A]]/tbl_raw[[#This Row],[gross_revenue]]</f>
        <v>0.46158185346262559</v>
      </c>
      <c r="H153" s="43">
        <f>tbl_scenarios[[#This Row],[net_margin_A]]-tbl_scenarios[[#This Row],[net_margin_pct]]</f>
        <v>-4.1999944293461988E-2</v>
      </c>
      <c r="I15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53" s="2">
        <f>tbl_raw[[#This Row],[gross_revenue]]-tbl_raw[[#This Row],[return_loss]]*(1+scn_B_returns_up/0.05)-tbl_raw[[#This Row],[cogs]]-(tbl_raw[[#This Row],[storage_cost]]+tbl_raw[[#This Row],[fulfillment_cost]]+tbl_raw[[#This Row],[freight_cost]])</f>
        <v>3791.3599999999997</v>
      </c>
      <c r="K153" s="42">
        <f>tbl_scenarios[[#This Row],[net_profit_B]]/tbl_raw[[#This Row],[gross_revenue]]</f>
        <v>0.50286557083948424</v>
      </c>
      <c r="L153" s="43">
        <f>tbl_scenarios[[#This Row],[net_margin_B]]-tbl_scenarios[[#This Row],[net_margin_pct]]</f>
        <v>-7.1622691660333526E-4</v>
      </c>
      <c r="M15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53" s="2">
        <f>tbl_raw[[#This Row],[gross_revenue]]*(1-scn_C_price_down)-tbl_raw[[#This Row],[return_loss]]-tbl_raw[[#This Row],[cogs]]-(tbl_raw[[#This Row],[storage_cost]]+tbl_raw[[#This Row],[fulfillment_cost]]+tbl_raw[[#This Row],[freight_cost]])</f>
        <v>3419.7844999999998</v>
      </c>
      <c r="O153" s="42">
        <f>tbl_scenarios[[#This Row],[net_profit_C]]/(tbl_raw[[#This Row],[gross_revenue]]*(1-scn_C_price_down))</f>
        <v>0.47745452395377641</v>
      </c>
      <c r="P153" s="43">
        <f>tbl_scenarios[[#This Row],[net_margin_C]]-tbl_scenarios[[#This Row],[net_margin_pct]]</f>
        <v>-2.6127273802311168E-2</v>
      </c>
      <c r="Q15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5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54" spans="1:18" x14ac:dyDescent="0.35">
      <c r="A154" s="17" t="str">
        <f>tbl_raw[[#This Row],[product_id]]</f>
        <v>f8b624d4e475bb8d1bddf1b65c6a64f6</v>
      </c>
      <c r="B154" t="str">
        <f>tbl_raw[[#This Row],[category]]</f>
        <v>housewares</v>
      </c>
      <c r="C154" s="2">
        <f>tbl_profitability[[#This Row],[net_profit]]</f>
        <v>2785.6100000000006</v>
      </c>
      <c r="D154" s="42">
        <f>tbl_profitability[[#This Row],[net_margin_pct]]</f>
        <v>0.37052540569300352</v>
      </c>
      <c r="E154" s="49" t="str">
        <f>tbl_profitability[[#This Row],[decision]]</f>
        <v>SCALE</v>
      </c>
      <c r="F154" s="2">
        <f>tbl_raw[[#This Row],[gross_revenue]]-tbl_raw[[#This Row],[return_loss]]-tbl_raw[[#This Row],[cogs]]*(1+scn_A_cogs_up)-(tbl_raw[[#This Row],[storage_cost]]+tbl_raw[[#This Row],[fulfillment_cost]]+tbl_raw[[#This Row],[freight_cost]])</f>
        <v>2447.2999999999997</v>
      </c>
      <c r="G154" s="42">
        <f>tbl_scenarios[[#This Row],[net_profit_A]]/tbl_raw[[#This Row],[gross_revenue]]</f>
        <v>0.32552540569300342</v>
      </c>
      <c r="H154" s="43">
        <f>tbl_scenarios[[#This Row],[net_margin_A]]-tbl_scenarios[[#This Row],[net_margin_pct]]</f>
        <v>-4.5000000000000095E-2</v>
      </c>
      <c r="I15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54" s="2">
        <f>tbl_raw[[#This Row],[gross_revenue]]-tbl_raw[[#This Row],[return_loss]]*(1+scn_B_returns_up/0.05)-tbl_raw[[#This Row],[cogs]]-(tbl_raw[[#This Row],[storage_cost]]+tbl_raw[[#This Row],[fulfillment_cost]]+tbl_raw[[#This Row],[freight_cost]])</f>
        <v>2770.49</v>
      </c>
      <c r="K154" s="42">
        <f>tbl_scenarios[[#This Row],[net_profit_B]]/tbl_raw[[#This Row],[gross_revenue]]</f>
        <v>0.3685142325086459</v>
      </c>
      <c r="L154" s="43">
        <f>tbl_scenarios[[#This Row],[net_margin_B]]-tbl_scenarios[[#This Row],[net_margin_pct]]</f>
        <v>-2.0111731843576175E-3</v>
      </c>
      <c r="M15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54" s="2">
        <f>tbl_raw[[#This Row],[gross_revenue]]*(1-scn_C_price_down)-tbl_raw[[#This Row],[return_loss]]-tbl_raw[[#This Row],[cogs]]-(tbl_raw[[#This Row],[storage_cost]]+tbl_raw[[#This Row],[fulfillment_cost]]+tbl_raw[[#This Row],[freight_cost]])</f>
        <v>2409.7099999999996</v>
      </c>
      <c r="O154" s="42">
        <f>tbl_scenarios[[#This Row],[net_profit_C]]/(tbl_raw[[#This Row],[gross_revenue]]*(1-scn_C_price_down))</f>
        <v>0.33739516388737201</v>
      </c>
      <c r="P154" s="43">
        <f>tbl_scenarios[[#This Row],[net_margin_C]]-tbl_scenarios[[#This Row],[net_margin_pct]]</f>
        <v>-3.3130241805631511E-2</v>
      </c>
      <c r="Q15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5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55" spans="1:18" x14ac:dyDescent="0.35">
      <c r="A155" s="17" t="str">
        <f>tbl_raw[[#This Row],[product_id]]</f>
        <v>3f14d740544f37ece8a9e7bc8349797e</v>
      </c>
      <c r="B155" t="str">
        <f>tbl_raw[[#This Row],[category]]</f>
        <v>computers_accessories</v>
      </c>
      <c r="C155" s="2">
        <f>tbl_profitability[[#This Row],[net_profit]]</f>
        <v>641.84000000000015</v>
      </c>
      <c r="D155" s="42">
        <f>tbl_profitability[[#This Row],[net_margin_pct]]</f>
        <v>8.5849263545361668E-2</v>
      </c>
      <c r="E155" s="49" t="str">
        <f>tbl_profitability[[#This Row],[decision]]</f>
        <v>EXIT</v>
      </c>
      <c r="F155" s="2">
        <f>tbl_raw[[#This Row],[gross_revenue]]-tbl_raw[[#This Row],[return_loss]]-tbl_raw[[#This Row],[cogs]]*(1+scn_A_cogs_up)-(tbl_raw[[#This Row],[storage_cost]]+tbl_raw[[#This Row],[fulfillment_cost]]+tbl_raw[[#This Row],[freight_cost]])</f>
        <v>215.6869999999999</v>
      </c>
      <c r="G155" s="42">
        <f>tbl_scenarios[[#This Row],[net_profit_A]]/tbl_raw[[#This Row],[gross_revenue]]</f>
        <v>2.8849199342995777E-2</v>
      </c>
      <c r="H155" s="43">
        <f>tbl_scenarios[[#This Row],[net_margin_A]]-tbl_scenarios[[#This Row],[net_margin_pct]]</f>
        <v>-5.7000064202365891E-2</v>
      </c>
      <c r="I155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155" s="2">
        <f>tbl_raw[[#This Row],[gross_revenue]]-tbl_raw[[#This Row],[return_loss]]*(1+scn_B_returns_up/0.05)-tbl_raw[[#This Row],[cogs]]-(tbl_raw[[#This Row],[storage_cost]]+tbl_raw[[#This Row],[fulfillment_cost]]+tbl_raw[[#This Row],[freight_cost]])</f>
        <v>562.64000000000033</v>
      </c>
      <c r="K155" s="42">
        <f>tbl_scenarios[[#This Row],[net_profit_B]]/tbl_raw[[#This Row],[gross_revenue]]</f>
        <v>7.5255873178926694E-2</v>
      </c>
      <c r="L155" s="43">
        <f>tbl_scenarios[[#This Row],[net_margin_B]]-tbl_scenarios[[#This Row],[net_margin_pct]]</f>
        <v>-1.0593390366434974E-2</v>
      </c>
      <c r="M155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155" s="2">
        <f>tbl_raw[[#This Row],[gross_revenue]]*(1-scn_C_price_down)-tbl_raw[[#This Row],[return_loss]]-tbl_raw[[#This Row],[cogs]]-(tbl_raw[[#This Row],[storage_cost]]+tbl_raw[[#This Row],[fulfillment_cost]]+tbl_raw[[#This Row],[freight_cost]])</f>
        <v>268.02199999999993</v>
      </c>
      <c r="O155" s="42">
        <f>tbl_scenarios[[#This Row],[net_profit_C]]/(tbl_raw[[#This Row],[gross_revenue]]*(1-scn_C_price_down))</f>
        <v>3.7736066889854356E-2</v>
      </c>
      <c r="P155" s="43">
        <f>tbl_scenarios[[#This Row],[net_margin_C]]-tbl_scenarios[[#This Row],[net_margin_pct]]</f>
        <v>-4.8113196655507312E-2</v>
      </c>
      <c r="Q155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15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56" spans="1:18" x14ac:dyDescent="0.35">
      <c r="A156" s="17" t="str">
        <f>tbl_raw[[#This Row],[product_id]]</f>
        <v>0abc19e41fdc9d6894b8cae651619253</v>
      </c>
      <c r="B156" t="str">
        <f>tbl_raw[[#This Row],[category]]</f>
        <v>electronics</v>
      </c>
      <c r="C156" s="2">
        <f>tbl_profitability[[#This Row],[net_profit]]</f>
        <v>2713.71</v>
      </c>
      <c r="D156" s="42">
        <f>tbl_profitability[[#This Row],[net_margin_pct]]</f>
        <v>0.36798063623789762</v>
      </c>
      <c r="E156" s="49" t="str">
        <f>tbl_profitability[[#This Row],[decision]]</f>
        <v>OPTIMIZE</v>
      </c>
      <c r="F156" s="2">
        <f>tbl_raw[[#This Row],[gross_revenue]]-tbl_raw[[#This Row],[return_loss]]-tbl_raw[[#This Row],[cogs]]*(1+scn_A_cogs_up)-(tbl_raw[[#This Row],[storage_cost]]+tbl_raw[[#This Row],[fulfillment_cost]]+tbl_raw[[#This Row],[freight_cost]])</f>
        <v>2293.3579999999993</v>
      </c>
      <c r="G156" s="42">
        <f>tbl_scenarios[[#This Row],[net_profit_A]]/tbl_raw[[#This Row],[gross_revenue]]</f>
        <v>0.3109806633580125</v>
      </c>
      <c r="H156" s="43">
        <f>tbl_scenarios[[#This Row],[net_margin_A]]-tbl_scenarios[[#This Row],[net_margin_pct]]</f>
        <v>-5.6999972879885119E-2</v>
      </c>
      <c r="I15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56" s="2">
        <f>tbl_raw[[#This Row],[gross_revenue]]-tbl_raw[[#This Row],[return_loss]]*(1+scn_B_returns_up/0.05)-tbl_raw[[#This Row],[cogs]]-(tbl_raw[[#This Row],[storage_cost]]+tbl_raw[[#This Row],[fulfillment_cost]]+tbl_raw[[#This Row],[freight_cost]])</f>
        <v>2711.01</v>
      </c>
      <c r="K156" s="42">
        <f>tbl_scenarios[[#This Row],[net_profit_B]]/tbl_raw[[#This Row],[gross_revenue]]</f>
        <v>0.36761451468554229</v>
      </c>
      <c r="L156" s="43">
        <f>tbl_scenarios[[#This Row],[net_margin_B]]-tbl_scenarios[[#This Row],[net_margin_pct]]</f>
        <v>-3.6612155235532517E-4</v>
      </c>
      <c r="M15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56" s="2">
        <f>tbl_raw[[#This Row],[gross_revenue]]*(1-scn_C_price_down)-tbl_raw[[#This Row],[return_loss]]-tbl_raw[[#This Row],[cogs]]-(tbl_raw[[#This Row],[storage_cost]]+tbl_raw[[#This Row],[fulfillment_cost]]+tbl_raw[[#This Row],[freight_cost]])</f>
        <v>2344.9799999999996</v>
      </c>
      <c r="O156" s="42">
        <f>tbl_scenarios[[#This Row],[net_profit_C]]/(tbl_raw[[#This Row],[gross_revenue]]*(1-scn_C_price_down))</f>
        <v>0.33471645919778692</v>
      </c>
      <c r="P156" s="43">
        <f>tbl_scenarios[[#This Row],[net_margin_C]]-tbl_scenarios[[#This Row],[net_margin_pct]]</f>
        <v>-3.3264177040110698E-2</v>
      </c>
      <c r="Q15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5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57" spans="1:18" x14ac:dyDescent="0.35">
      <c r="A157" s="17" t="str">
        <f>tbl_raw[[#This Row],[product_id]]</f>
        <v>b0961721fd839e9982420e807758a2a6</v>
      </c>
      <c r="B157" t="str">
        <f>tbl_raw[[#This Row],[category]]</f>
        <v>garden_tools</v>
      </c>
      <c r="C157" s="2">
        <f>tbl_profitability[[#This Row],[net_profit]]</f>
        <v>-472.1200000000008</v>
      </c>
      <c r="D157" s="42">
        <f>tbl_profitability[[#This Row],[net_margin_pct]]</f>
        <v>-6.4376781160942059E-2</v>
      </c>
      <c r="E157" s="49" t="str">
        <f>tbl_profitability[[#This Row],[decision]]</f>
        <v>EXIT</v>
      </c>
      <c r="F157" s="2">
        <f>tbl_raw[[#This Row],[gross_revenue]]-tbl_raw[[#This Row],[return_loss]]-tbl_raw[[#This Row],[cogs]]*(1+scn_A_cogs_up)-(tbl_raw[[#This Row],[storage_cost]]+tbl_raw[[#This Row],[fulfillment_cost]]+tbl_raw[[#This Row],[freight_cost]])</f>
        <v>-802.13600000000088</v>
      </c>
      <c r="G157" s="42">
        <f>tbl_scenarios[[#This Row],[net_profit_A]]/tbl_raw[[#This Row],[gross_revenue]]</f>
        <v>-0.10937671298253282</v>
      </c>
      <c r="H157" s="43">
        <f>tbl_scenarios[[#This Row],[net_margin_A]]-tbl_scenarios[[#This Row],[net_margin_pct]]</f>
        <v>-4.4999931821590761E-2</v>
      </c>
      <c r="I157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157" s="2">
        <f>tbl_raw[[#This Row],[gross_revenue]]-tbl_raw[[#This Row],[return_loss]]*(1+scn_B_returns_up/0.05)-tbl_raw[[#This Row],[cogs]]-(tbl_raw[[#This Row],[storage_cost]]+tbl_raw[[#This Row],[fulfillment_cost]]+tbl_raw[[#This Row],[freight_cost]])</f>
        <v>-517.84000000000015</v>
      </c>
      <c r="K157" s="42">
        <f>tbl_scenarios[[#This Row],[net_profit_B]]/tbl_raw[[#This Row],[gross_revenue]]</f>
        <v>-7.0611014903800284E-2</v>
      </c>
      <c r="L157" s="43">
        <f>tbl_scenarios[[#This Row],[net_margin_B]]-tbl_scenarios[[#This Row],[net_margin_pct]]</f>
        <v>-6.2342337428582251E-3</v>
      </c>
      <c r="M157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157" s="2">
        <f>tbl_raw[[#This Row],[gross_revenue]]*(1-scn_C_price_down)-tbl_raw[[#This Row],[return_loss]]-tbl_raw[[#This Row],[cogs]]-(tbl_raw[[#This Row],[storage_cost]]+tbl_raw[[#This Row],[fulfillment_cost]]+tbl_raw[[#This Row],[freight_cost]])</f>
        <v>-838.8050000000012</v>
      </c>
      <c r="O157" s="42">
        <f>tbl_scenarios[[#This Row],[net_profit_C]]/(tbl_raw[[#This Row],[gross_revenue]]*(1-scn_C_price_down))</f>
        <v>-0.12039661174836014</v>
      </c>
      <c r="P157" s="43">
        <f>tbl_scenarios[[#This Row],[net_margin_C]]-tbl_scenarios[[#This Row],[net_margin_pct]]</f>
        <v>-5.6019830587418079E-2</v>
      </c>
      <c r="Q157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15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58" spans="1:18" x14ac:dyDescent="0.35">
      <c r="A158" s="17" t="str">
        <f>tbl_raw[[#This Row],[product_id]]</f>
        <v>d04e48982547095af81c231c3d581cb6</v>
      </c>
      <c r="B158" t="str">
        <f>tbl_raw[[#This Row],[category]]</f>
        <v>watches_gifts</v>
      </c>
      <c r="C158" s="2">
        <f>tbl_profitability[[#This Row],[net_profit]]</f>
        <v>3530.46</v>
      </c>
      <c r="D158" s="42">
        <f>tbl_profitability[[#This Row],[net_margin_pct]]</f>
        <v>0.49023953343053533</v>
      </c>
      <c r="E158" s="49" t="str">
        <f>tbl_profitability[[#This Row],[decision]]</f>
        <v>SCALE</v>
      </c>
      <c r="F158" s="2">
        <f>tbl_raw[[#This Row],[gross_revenue]]-tbl_raw[[#This Row],[return_loss]]-tbl_raw[[#This Row],[cogs]]*(1+scn_A_cogs_up)-(tbl_raw[[#This Row],[storage_cost]]+tbl_raw[[#This Row],[fulfillment_cost]]+tbl_raw[[#This Row],[freight_cost]])</f>
        <v>3227.9970000000003</v>
      </c>
      <c r="G158" s="42">
        <f>tbl_scenarios[[#This Row],[net_profit_A]]/tbl_raw[[#This Row],[gross_revenue]]</f>
        <v>0.44823953343053535</v>
      </c>
      <c r="H158" s="43">
        <f>tbl_scenarios[[#This Row],[net_margin_A]]-tbl_scenarios[[#This Row],[net_margin_pct]]</f>
        <v>-4.1999999999999982E-2</v>
      </c>
      <c r="I15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58" s="2">
        <f>tbl_raw[[#This Row],[gross_revenue]]-tbl_raw[[#This Row],[return_loss]]*(1+scn_B_returns_up/0.05)-tbl_raw[[#This Row],[cogs]]-(tbl_raw[[#This Row],[storage_cost]]+tbl_raw[[#This Row],[fulfillment_cost]]+tbl_raw[[#This Row],[freight_cost]])</f>
        <v>3520.0199999999995</v>
      </c>
      <c r="K158" s="42">
        <f>tbl_scenarios[[#This Row],[net_profit_B]]/tbl_raw[[#This Row],[gross_revenue]]</f>
        <v>0.48878983545094767</v>
      </c>
      <c r="L158" s="43">
        <f>tbl_scenarios[[#This Row],[net_margin_B]]-tbl_scenarios[[#This Row],[net_margin_pct]]</f>
        <v>-1.4496979795876608E-3</v>
      </c>
      <c r="M15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58" s="2">
        <f>tbl_raw[[#This Row],[gross_revenue]]*(1-scn_C_price_down)-tbl_raw[[#This Row],[return_loss]]-tbl_raw[[#This Row],[cogs]]-(tbl_raw[[#This Row],[storage_cost]]+tbl_raw[[#This Row],[fulfillment_cost]]+tbl_raw[[#This Row],[freight_cost]])</f>
        <v>3170.3849999999993</v>
      </c>
      <c r="O158" s="42">
        <f>tbl_scenarios[[#This Row],[net_profit_C]]/(tbl_raw[[#This Row],[gross_revenue]]*(1-scn_C_price_down))</f>
        <v>0.4634100351900371</v>
      </c>
      <c r="P158" s="43">
        <f>tbl_scenarios[[#This Row],[net_margin_C]]-tbl_scenarios[[#This Row],[net_margin_pct]]</f>
        <v>-2.682949824049824E-2</v>
      </c>
      <c r="Q15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5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59" spans="1:18" x14ac:dyDescent="0.35">
      <c r="A159" s="17" t="str">
        <f>tbl_raw[[#This Row],[product_id]]</f>
        <v>2d4500a3d35334916c955b3c365dbefe</v>
      </c>
      <c r="B159" t="str">
        <f>tbl_raw[[#This Row],[category]]</f>
        <v>small_appliances</v>
      </c>
      <c r="C159" s="2">
        <f>tbl_profitability[[#This Row],[net_profit]]</f>
        <v>2876.9300000000003</v>
      </c>
      <c r="D159" s="42">
        <f>tbl_profitability[[#This Row],[net_margin_pct]]</f>
        <v>0.39990686683347237</v>
      </c>
      <c r="E159" s="49" t="str">
        <f>tbl_profitability[[#This Row],[decision]]</f>
        <v>SCALE</v>
      </c>
      <c r="F159" s="2">
        <f>tbl_raw[[#This Row],[gross_revenue]]-tbl_raw[[#This Row],[return_loss]]-tbl_raw[[#This Row],[cogs]]*(1+scn_A_cogs_up)-(tbl_raw[[#This Row],[storage_cost]]+tbl_raw[[#This Row],[fulfillment_cost]]+tbl_raw[[#This Row],[freight_cost]])</f>
        <v>2466.8720000000003</v>
      </c>
      <c r="G159" s="42">
        <f>tbl_scenarios[[#This Row],[net_profit_A]]/tbl_raw[[#This Row],[gross_revenue]]</f>
        <v>0.34290686683347238</v>
      </c>
      <c r="H159" s="43">
        <f>tbl_scenarios[[#This Row],[net_margin_A]]-tbl_scenarios[[#This Row],[net_margin_pct]]</f>
        <v>-5.6999999999999995E-2</v>
      </c>
      <c r="I15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59" s="2">
        <f>tbl_raw[[#This Row],[gross_revenue]]-tbl_raw[[#This Row],[return_loss]]*(1+scn_B_returns_up/0.05)-tbl_raw[[#This Row],[cogs]]-(tbl_raw[[#This Row],[storage_cost]]+tbl_raw[[#This Row],[fulfillment_cost]]+tbl_raw[[#This Row],[freight_cost]])</f>
        <v>2874.7700000000004</v>
      </c>
      <c r="K159" s="42">
        <f>tbl_scenarios[[#This Row],[net_profit_B]]/tbl_raw[[#This Row],[gross_revenue]]</f>
        <v>0.39960661662496533</v>
      </c>
      <c r="L159" s="43">
        <f>tbl_scenarios[[#This Row],[net_margin_B]]-tbl_scenarios[[#This Row],[net_margin_pct]]</f>
        <v>-3.0025020850704687E-4</v>
      </c>
      <c r="M15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59" s="2">
        <f>tbl_raw[[#This Row],[gross_revenue]]*(1-scn_C_price_down)-tbl_raw[[#This Row],[return_loss]]-tbl_raw[[#This Row],[cogs]]-(tbl_raw[[#This Row],[storage_cost]]+tbl_raw[[#This Row],[fulfillment_cost]]+tbl_raw[[#This Row],[freight_cost]])</f>
        <v>2517.2299999999996</v>
      </c>
      <c r="O159" s="42">
        <f>tbl_scenarios[[#This Row],[net_profit_C]]/(tbl_raw[[#This Row],[gross_revenue]]*(1-scn_C_price_down))</f>
        <v>0.36832301771944453</v>
      </c>
      <c r="P159" s="43">
        <f>tbl_scenarios[[#This Row],[net_margin_C]]-tbl_scenarios[[#This Row],[net_margin_pct]]</f>
        <v>-3.158384911402784E-2</v>
      </c>
      <c r="Q15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5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60" spans="1:18" x14ac:dyDescent="0.35">
      <c r="A160" s="17" t="str">
        <f>tbl_raw[[#This Row],[product_id]]</f>
        <v>7fb04722aba7a2b632bac8f9819796f3</v>
      </c>
      <c r="B160" t="str">
        <f>tbl_raw[[#This Row],[category]]</f>
        <v>health_beauty</v>
      </c>
      <c r="C160" s="2">
        <f>tbl_profitability[[#This Row],[net_profit]]</f>
        <v>1942.6800000000012</v>
      </c>
      <c r="D160" s="42">
        <f>tbl_profitability[[#This Row],[net_margin_pct]]</f>
        <v>0.27037619518169559</v>
      </c>
      <c r="E160" s="49" t="str">
        <f>tbl_profitability[[#This Row],[decision]]</f>
        <v>SCALE</v>
      </c>
      <c r="F160" s="2">
        <f>tbl_raw[[#This Row],[gross_revenue]]-tbl_raw[[#This Row],[return_loss]]-tbl_raw[[#This Row],[cogs]]*(1+scn_A_cogs_up)-(tbl_raw[[#This Row],[storage_cost]]+tbl_raw[[#This Row],[fulfillment_cost]]+tbl_raw[[#This Row],[freight_cost]])</f>
        <v>1640.9060000000009</v>
      </c>
      <c r="G160" s="42">
        <f>tbl_scenarios[[#This Row],[net_profit_A]]/tbl_raw[[#This Row],[gross_revenue]]</f>
        <v>0.22837622301707711</v>
      </c>
      <c r="H160" s="43">
        <f>tbl_scenarios[[#This Row],[net_margin_A]]-tbl_scenarios[[#This Row],[net_margin_pct]]</f>
        <v>-4.1999972164618482E-2</v>
      </c>
      <c r="I16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60" s="2">
        <f>tbl_raw[[#This Row],[gross_revenue]]-tbl_raw[[#This Row],[return_loss]]*(1+scn_B_returns_up/0.05)-tbl_raw[[#This Row],[cogs]]-(tbl_raw[[#This Row],[storage_cost]]+tbl_raw[[#This Row],[fulfillment_cost]]+tbl_raw[[#This Row],[freight_cost]])</f>
        <v>1911.3600000000006</v>
      </c>
      <c r="K160" s="42">
        <f>tbl_scenarios[[#This Row],[net_profit_B]]/tbl_raw[[#This Row],[gross_revenue]]</f>
        <v>0.26601717443041856</v>
      </c>
      <c r="L160" s="43">
        <f>tbl_scenarios[[#This Row],[net_margin_B]]-tbl_scenarios[[#This Row],[net_margin_pct]]</f>
        <v>-4.3590207512770318E-3</v>
      </c>
      <c r="M16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60" s="2">
        <f>tbl_raw[[#This Row],[gross_revenue]]*(1-scn_C_price_down)-tbl_raw[[#This Row],[return_loss]]-tbl_raw[[#This Row],[cogs]]-(tbl_raw[[#This Row],[storage_cost]]+tbl_raw[[#This Row],[fulfillment_cost]]+tbl_raw[[#This Row],[freight_cost]])</f>
        <v>1583.4250000000011</v>
      </c>
      <c r="O160" s="42">
        <f>tbl_scenarios[[#This Row],[net_profit_C]]/(tbl_raw[[#This Row],[gross_revenue]]*(1-scn_C_price_down))</f>
        <v>0.23197494229652169</v>
      </c>
      <c r="P160" s="43">
        <f>tbl_scenarios[[#This Row],[net_margin_C]]-tbl_scenarios[[#This Row],[net_margin_pct]]</f>
        <v>-3.8401252885173903E-2</v>
      </c>
      <c r="Q160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6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161" spans="1:18" x14ac:dyDescent="0.35">
      <c r="A161" s="17" t="str">
        <f>tbl_raw[[#This Row],[product_id]]</f>
        <v>93c902b021a9e594f658ab1b0351602a</v>
      </c>
      <c r="B161" t="str">
        <f>tbl_raw[[#This Row],[category]]</f>
        <v>electronics</v>
      </c>
      <c r="C161" s="2">
        <f>tbl_profitability[[#This Row],[net_profit]]</f>
        <v>1268.99</v>
      </c>
      <c r="D161" s="42">
        <f>tbl_profitability[[#This Row],[net_margin_pct]]</f>
        <v>0.17840683827974527</v>
      </c>
      <c r="E161" s="49" t="str">
        <f>tbl_profitability[[#This Row],[decision]]</f>
        <v>OPTIMIZE</v>
      </c>
      <c r="F161" s="2">
        <f>tbl_raw[[#This Row],[gross_revenue]]-tbl_raw[[#This Row],[return_loss]]-tbl_raw[[#This Row],[cogs]]*(1+scn_A_cogs_up)-(tbl_raw[[#This Row],[storage_cost]]+tbl_raw[[#This Row],[fulfillment_cost]]+tbl_raw[[#This Row],[freight_cost]])</f>
        <v>863.55500000000006</v>
      </c>
      <c r="G161" s="42">
        <f>tbl_scenarios[[#This Row],[net_profit_A]]/tbl_raw[[#This Row],[gross_revenue]]</f>
        <v>0.12140688045663514</v>
      </c>
      <c r="H161" s="43">
        <f>tbl_scenarios[[#This Row],[net_margin_A]]-tbl_scenarios[[#This Row],[net_margin_pct]]</f>
        <v>-5.6999957823110126E-2</v>
      </c>
      <c r="I16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61" s="2">
        <f>tbl_raw[[#This Row],[gross_revenue]]-tbl_raw[[#This Row],[return_loss]]*(1+scn_B_returns_up/0.05)-tbl_raw[[#This Row],[cogs]]-(tbl_raw[[#This Row],[storage_cost]]+tbl_raw[[#This Row],[fulfillment_cost]]+tbl_raw[[#This Row],[freight_cost]])</f>
        <v>1205.0899999999995</v>
      </c>
      <c r="K161" s="42">
        <f>tbl_scenarios[[#This Row],[net_profit_B]]/tbl_raw[[#This Row],[gross_revenue]]</f>
        <v>0.16942316073612726</v>
      </c>
      <c r="L161" s="43">
        <f>tbl_scenarios[[#This Row],[net_margin_B]]-tbl_scenarios[[#This Row],[net_margin_pct]]</f>
        <v>-8.9836775436180072E-3</v>
      </c>
      <c r="M16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61" s="2">
        <f>tbl_raw[[#This Row],[gross_revenue]]*(1-scn_C_price_down)-tbl_raw[[#This Row],[return_loss]]-tbl_raw[[#This Row],[cogs]]-(tbl_raw[[#This Row],[storage_cost]]+tbl_raw[[#This Row],[fulfillment_cost]]+tbl_raw[[#This Row],[freight_cost]])</f>
        <v>913.34499999999957</v>
      </c>
      <c r="O161" s="42">
        <f>tbl_scenarios[[#This Row],[net_profit_C]]/(tbl_raw[[#This Row],[gross_revenue]]*(1-scn_C_price_down))</f>
        <v>0.13516509292604759</v>
      </c>
      <c r="P161" s="43">
        <f>tbl_scenarios[[#This Row],[net_margin_C]]-tbl_scenarios[[#This Row],[net_margin_pct]]</f>
        <v>-4.324174535369768E-2</v>
      </c>
      <c r="Q16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6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62" spans="1:18" x14ac:dyDescent="0.35">
      <c r="A162" s="17" t="str">
        <f>tbl_raw[[#This Row],[product_id]]</f>
        <v>61937887eb6ee0b405a5759756426486</v>
      </c>
      <c r="B162" t="str">
        <f>tbl_raw[[#This Row],[category]]</f>
        <v>health_beauty</v>
      </c>
      <c r="C162" s="2">
        <f>tbl_profitability[[#This Row],[net_profit]]</f>
        <v>3830.6800000000003</v>
      </c>
      <c r="D162" s="42">
        <f>tbl_profitability[[#This Row],[net_margin_pct]]</f>
        <v>0.53873567259686383</v>
      </c>
      <c r="E162" s="49" t="str">
        <f>tbl_profitability[[#This Row],[decision]]</f>
        <v>SCALE</v>
      </c>
      <c r="F162" s="2">
        <f>tbl_raw[[#This Row],[gross_revenue]]-tbl_raw[[#This Row],[return_loss]]-tbl_raw[[#This Row],[cogs]]*(1+scn_A_cogs_up)-(tbl_raw[[#This Row],[storage_cost]]+tbl_raw[[#This Row],[fulfillment_cost]]+tbl_raw[[#This Row],[freight_cost]])</f>
        <v>3532.0390000000002</v>
      </c>
      <c r="G162" s="42">
        <f>tbl_scenarios[[#This Row],[net_profit_A]]/tbl_raw[[#This Row],[gross_revenue]]</f>
        <v>0.4967356725968638</v>
      </c>
      <c r="H162" s="43">
        <f>tbl_scenarios[[#This Row],[net_margin_A]]-tbl_scenarios[[#This Row],[net_margin_pct]]</f>
        <v>-4.2000000000000037E-2</v>
      </c>
      <c r="I16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62" s="2">
        <f>tbl_raw[[#This Row],[gross_revenue]]-tbl_raw[[#This Row],[return_loss]]*(1+scn_B_returns_up/0.05)-tbl_raw[[#This Row],[cogs]]-(tbl_raw[[#This Row],[storage_cost]]+tbl_raw[[#This Row],[fulfillment_cost]]+tbl_raw[[#This Row],[freight_cost]])</f>
        <v>3827.4400000000005</v>
      </c>
      <c r="K162" s="42">
        <f>tbl_scenarios[[#This Row],[net_profit_B]]/tbl_raw[[#This Row],[gross_revenue]]</f>
        <v>0.53828000843822521</v>
      </c>
      <c r="L162" s="43">
        <f>tbl_scenarios[[#This Row],[net_margin_B]]-tbl_scenarios[[#This Row],[net_margin_pct]]</f>
        <v>-4.5566415863862453E-4</v>
      </c>
      <c r="M16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62" s="2">
        <f>tbl_raw[[#This Row],[gross_revenue]]*(1-scn_C_price_down)-tbl_raw[[#This Row],[return_loss]]-tbl_raw[[#This Row],[cogs]]-(tbl_raw[[#This Row],[storage_cost]]+tbl_raw[[#This Row],[fulfillment_cost]]+tbl_raw[[#This Row],[freight_cost]])</f>
        <v>3475.1549999999997</v>
      </c>
      <c r="O162" s="42">
        <f>tbl_scenarios[[#This Row],[net_profit_C]]/(tbl_raw[[#This Row],[gross_revenue]]*(1-scn_C_price_down))</f>
        <v>0.51445860273354083</v>
      </c>
      <c r="P162" s="43">
        <f>tbl_scenarios[[#This Row],[net_margin_C]]-tbl_scenarios[[#This Row],[net_margin_pct]]</f>
        <v>-2.4277069863323009E-2</v>
      </c>
      <c r="Q16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6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63" spans="1:18" x14ac:dyDescent="0.35">
      <c r="A163" s="17" t="str">
        <f>tbl_raw[[#This Row],[product_id]]</f>
        <v>a9516a079e37a9c9c36b9b78b10169e8</v>
      </c>
      <c r="B163" t="str">
        <f>tbl_raw[[#This Row],[category]]</f>
        <v>office_furniture</v>
      </c>
      <c r="C163" s="2">
        <f>tbl_profitability[[#This Row],[net_profit]]</f>
        <v>1296.04</v>
      </c>
      <c r="D163" s="42">
        <f>tbl_profitability[[#This Row],[net_margin_pct]]</f>
        <v>0.184033590773613</v>
      </c>
      <c r="E163" s="49" t="str">
        <f>tbl_profitability[[#This Row],[decision]]</f>
        <v>OPTIMIZE</v>
      </c>
      <c r="F163" s="2">
        <f>tbl_raw[[#This Row],[gross_revenue]]-tbl_raw[[#This Row],[return_loss]]-tbl_raw[[#This Row],[cogs]]*(1+scn_A_cogs_up)-(tbl_raw[[#This Row],[storage_cost]]+tbl_raw[[#This Row],[fulfillment_cost]]+tbl_raw[[#This Row],[freight_cost]])</f>
        <v>979.13199999999961</v>
      </c>
      <c r="G163" s="42">
        <f>tbl_scenarios[[#This Row],[net_profit_A]]/tbl_raw[[#This Row],[gross_revenue]]</f>
        <v>0.13903365467219314</v>
      </c>
      <c r="H163" s="43">
        <f>tbl_scenarios[[#This Row],[net_margin_A]]-tbl_scenarios[[#This Row],[net_margin_pct]]</f>
        <v>-4.4999936101419863E-2</v>
      </c>
      <c r="I16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63" s="2">
        <f>tbl_raw[[#This Row],[gross_revenue]]-tbl_raw[[#This Row],[return_loss]]*(1+scn_B_returns_up/0.05)-tbl_raw[[#This Row],[cogs]]-(tbl_raw[[#This Row],[storage_cost]]+tbl_raw[[#This Row],[fulfillment_cost]]+tbl_raw[[#This Row],[freight_cost]])</f>
        <v>1274.8000000000002</v>
      </c>
      <c r="K163" s="42">
        <f>tbl_scenarios[[#This Row],[net_profit_B]]/tbl_raw[[#This Row],[gross_revenue]]</f>
        <v>0.18101757778942154</v>
      </c>
      <c r="L163" s="43">
        <f>tbl_scenarios[[#This Row],[net_margin_B]]-tbl_scenarios[[#This Row],[net_margin_pct]]</f>
        <v>-3.0160129841914629E-3</v>
      </c>
      <c r="M16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63" s="2">
        <f>tbl_raw[[#This Row],[gross_revenue]]*(1-scn_C_price_down)-tbl_raw[[#This Row],[return_loss]]-tbl_raw[[#This Row],[cogs]]-(tbl_raw[[#This Row],[storage_cost]]+tbl_raw[[#This Row],[fulfillment_cost]]+tbl_raw[[#This Row],[freight_cost]])</f>
        <v>943.91949999999997</v>
      </c>
      <c r="O163" s="42">
        <f>tbl_scenarios[[#This Row],[net_profit_C]]/(tbl_raw[[#This Row],[gross_revenue]]*(1-scn_C_price_down))</f>
        <v>0.14108799028801369</v>
      </c>
      <c r="P163" s="43">
        <f>tbl_scenarios[[#This Row],[net_margin_C]]-tbl_scenarios[[#This Row],[net_margin_pct]]</f>
        <v>-4.2945600485599311E-2</v>
      </c>
      <c r="Q16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6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64" spans="1:18" x14ac:dyDescent="0.35">
      <c r="A164" s="17" t="str">
        <f>tbl_raw[[#This Row],[product_id]]</f>
        <v>a3cd9517ebf5a50dca25acce54f3b171</v>
      </c>
      <c r="B164" t="str">
        <f>tbl_raw[[#This Row],[category]]</f>
        <v>housewares</v>
      </c>
      <c r="C164" s="2">
        <f>tbl_profitability[[#This Row],[net_profit]]</f>
        <v>2905.49</v>
      </c>
      <c r="D164" s="42">
        <f>tbl_profitability[[#This Row],[net_margin_pct]]</f>
        <v>0.41422734323319416</v>
      </c>
      <c r="E164" s="49" t="str">
        <f>tbl_profitability[[#This Row],[decision]]</f>
        <v>SCALE</v>
      </c>
      <c r="F164" s="2">
        <f>tbl_raw[[#This Row],[gross_revenue]]-tbl_raw[[#This Row],[return_loss]]-tbl_raw[[#This Row],[cogs]]*(1+scn_A_cogs_up)-(tbl_raw[[#This Row],[storage_cost]]+tbl_raw[[#This Row],[fulfillment_cost]]+tbl_raw[[#This Row],[freight_cost]])</f>
        <v>2589.8490000000002</v>
      </c>
      <c r="G164" s="42">
        <f>tbl_scenarios[[#This Row],[net_profit_A]]/tbl_raw[[#This Row],[gross_revenue]]</f>
        <v>0.36922731471977011</v>
      </c>
      <c r="H164" s="43">
        <f>tbl_scenarios[[#This Row],[net_margin_A]]-tbl_scenarios[[#This Row],[net_margin_pct]]</f>
        <v>-4.5000028513424051E-2</v>
      </c>
      <c r="I16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64" s="2">
        <f>tbl_raw[[#This Row],[gross_revenue]]-tbl_raw[[#This Row],[return_loss]]*(1+scn_B_returns_up/0.05)-tbl_raw[[#This Row],[cogs]]-(tbl_raw[[#This Row],[storage_cost]]+tbl_raw[[#This Row],[fulfillment_cost]]+tbl_raw[[#This Row],[freight_cost]])</f>
        <v>2904.41</v>
      </c>
      <c r="K164" s="42">
        <f>tbl_scenarios[[#This Row],[net_profit_B]]/tbl_raw[[#This Row],[gross_revenue]]</f>
        <v>0.41407337074294576</v>
      </c>
      <c r="L164" s="43">
        <f>tbl_scenarios[[#This Row],[net_margin_B]]-tbl_scenarios[[#This Row],[net_margin_pct]]</f>
        <v>-1.5397249024839965E-4</v>
      </c>
      <c r="M16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64" s="2">
        <f>tbl_raw[[#This Row],[gross_revenue]]*(1-scn_C_price_down)-tbl_raw[[#This Row],[return_loss]]-tbl_raw[[#This Row],[cogs]]-(tbl_raw[[#This Row],[storage_cost]]+tbl_raw[[#This Row],[fulfillment_cost]]+tbl_raw[[#This Row],[freight_cost]])</f>
        <v>2554.7779999999993</v>
      </c>
      <c r="O164" s="42">
        <f>tbl_scenarios[[#This Row],[net_profit_C]]/(tbl_raw[[#This Row],[gross_revenue]]*(1-scn_C_price_down))</f>
        <v>0.38339720340336225</v>
      </c>
      <c r="P164" s="43">
        <f>tbl_scenarios[[#This Row],[net_margin_C]]-tbl_scenarios[[#This Row],[net_margin_pct]]</f>
        <v>-3.0830139829831904E-2</v>
      </c>
      <c r="Q16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6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65" spans="1:18" x14ac:dyDescent="0.35">
      <c r="A165" s="17" t="str">
        <f>tbl_raw[[#This Row],[product_id]]</f>
        <v>5328338cfaa16ba10561cd970c73ca11</v>
      </c>
      <c r="B165" t="str">
        <f>tbl_raw[[#This Row],[category]]</f>
        <v>cool_stuff</v>
      </c>
      <c r="C165" s="2">
        <f>tbl_profitability[[#This Row],[net_profit]]</f>
        <v>2657.2099999999996</v>
      </c>
      <c r="D165" s="42">
        <f>tbl_profitability[[#This Row],[net_margin_pct]]</f>
        <v>0.3793846373500856</v>
      </c>
      <c r="E165" s="49" t="str">
        <f>tbl_profitability[[#This Row],[decision]]</f>
        <v>SCALE</v>
      </c>
      <c r="F165" s="2">
        <f>tbl_raw[[#This Row],[gross_revenue]]-tbl_raw[[#This Row],[return_loss]]-tbl_raw[[#This Row],[cogs]]*(1+scn_A_cogs_up)-(tbl_raw[[#This Row],[storage_cost]]+tbl_raw[[#This Row],[fulfillment_cost]]+tbl_raw[[#This Row],[freight_cost]])</f>
        <v>2342.0299999999993</v>
      </c>
      <c r="G165" s="42">
        <f>tbl_scenarios[[#This Row],[net_profit_A]]/tbl_raw[[#This Row],[gross_revenue]]</f>
        <v>0.33438463735008556</v>
      </c>
      <c r="H165" s="43">
        <f>tbl_scenarios[[#This Row],[net_margin_A]]-tbl_scenarios[[#This Row],[net_margin_pct]]</f>
        <v>-4.500000000000004E-2</v>
      </c>
      <c r="I16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65" s="2">
        <f>tbl_raw[[#This Row],[gross_revenue]]-tbl_raw[[#This Row],[return_loss]]*(1+scn_B_returns_up/0.05)-tbl_raw[[#This Row],[cogs]]-(tbl_raw[[#This Row],[storage_cost]]+tbl_raw[[#This Row],[fulfillment_cost]]+tbl_raw[[#This Row],[freight_cost]])</f>
        <v>2644.61</v>
      </c>
      <c r="K165" s="42">
        <f>tbl_scenarios[[#This Row],[net_profit_B]]/tbl_raw[[#This Row],[gross_revenue]]</f>
        <v>0.37758566533409482</v>
      </c>
      <c r="L165" s="43">
        <f>tbl_scenarios[[#This Row],[net_margin_B]]-tbl_scenarios[[#This Row],[net_margin_pct]]</f>
        <v>-1.7989720159907741E-3</v>
      </c>
      <c r="M16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65" s="2">
        <f>tbl_raw[[#This Row],[gross_revenue]]*(1-scn_C_price_down)-tbl_raw[[#This Row],[return_loss]]-tbl_raw[[#This Row],[cogs]]-(tbl_raw[[#This Row],[storage_cost]]+tbl_raw[[#This Row],[fulfillment_cost]]+tbl_raw[[#This Row],[freight_cost]])</f>
        <v>2307.0099999999989</v>
      </c>
      <c r="O165" s="42">
        <f>tbl_scenarios[[#This Row],[net_profit_C]]/(tbl_raw[[#This Row],[gross_revenue]]*(1-scn_C_price_down))</f>
        <v>0.34672067089482689</v>
      </c>
      <c r="P165" s="43">
        <f>tbl_scenarios[[#This Row],[net_margin_C]]-tbl_scenarios[[#This Row],[net_margin_pct]]</f>
        <v>-3.2663966455258708E-2</v>
      </c>
      <c r="Q16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6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66" spans="1:18" x14ac:dyDescent="0.35">
      <c r="A166" s="17" t="str">
        <f>tbl_raw[[#This Row],[product_id]]</f>
        <v>43944a8f8f0b7ae86b6c3d3c2f257375</v>
      </c>
      <c r="B166" t="str">
        <f>tbl_raw[[#This Row],[category]]</f>
        <v>home_appliances</v>
      </c>
      <c r="C166" s="2">
        <f>tbl_profitability[[#This Row],[net_profit]]</f>
        <v>2414.2199999999993</v>
      </c>
      <c r="D166" s="42">
        <f>tbl_profitability[[#This Row],[net_margin_pct]]</f>
        <v>0.34538197424892697</v>
      </c>
      <c r="E166" s="49" t="str">
        <f>tbl_profitability[[#This Row],[decision]]</f>
        <v>SCALE</v>
      </c>
      <c r="F166" s="2">
        <f>tbl_raw[[#This Row],[gross_revenue]]-tbl_raw[[#This Row],[return_loss]]-tbl_raw[[#This Row],[cogs]]*(1+scn_A_cogs_up)-(tbl_raw[[#This Row],[storage_cost]]+tbl_raw[[#This Row],[fulfillment_cost]]+tbl_raw[[#This Row],[freight_cost]])</f>
        <v>2015.7899999999991</v>
      </c>
      <c r="G166" s="42">
        <f>tbl_scenarios[[#This Row],[net_profit_A]]/tbl_raw[[#This Row],[gross_revenue]]</f>
        <v>0.28838197424892692</v>
      </c>
      <c r="H166" s="43">
        <f>tbl_scenarios[[#This Row],[net_margin_A]]-tbl_scenarios[[#This Row],[net_margin_pct]]</f>
        <v>-5.7000000000000051E-2</v>
      </c>
      <c r="I16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66" s="2">
        <f>tbl_raw[[#This Row],[gross_revenue]]-tbl_raw[[#This Row],[return_loss]]*(1+scn_B_returns_up/0.05)-tbl_raw[[#This Row],[cogs]]-(tbl_raw[[#This Row],[storage_cost]]+tbl_raw[[#This Row],[fulfillment_cost]]+tbl_raw[[#This Row],[freight_cost]])</f>
        <v>2410.62</v>
      </c>
      <c r="K166" s="42">
        <f>tbl_scenarios[[#This Row],[net_profit_B]]/tbl_raw[[#This Row],[gross_revenue]]</f>
        <v>0.34486695278969953</v>
      </c>
      <c r="L166" s="43">
        <f>tbl_scenarios[[#This Row],[net_margin_B]]-tbl_scenarios[[#This Row],[net_margin_pct]]</f>
        <v>-5.1502145922743825E-4</v>
      </c>
      <c r="M16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66" s="2">
        <f>tbl_raw[[#This Row],[gross_revenue]]*(1-scn_C_price_down)-tbl_raw[[#This Row],[return_loss]]-tbl_raw[[#This Row],[cogs]]-(tbl_raw[[#This Row],[storage_cost]]+tbl_raw[[#This Row],[fulfillment_cost]]+tbl_raw[[#This Row],[freight_cost]])</f>
        <v>2064.7199999999993</v>
      </c>
      <c r="O166" s="42">
        <f>tbl_scenarios[[#This Row],[net_profit_C]]/(tbl_raw[[#This Row],[gross_revenue]]*(1-scn_C_price_down))</f>
        <v>0.31092839394623889</v>
      </c>
      <c r="P166" s="43">
        <f>tbl_scenarios[[#This Row],[net_margin_C]]-tbl_scenarios[[#This Row],[net_margin_pct]]</f>
        <v>-3.445358030268808E-2</v>
      </c>
      <c r="Q16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6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67" spans="1:18" x14ac:dyDescent="0.35">
      <c r="A167" s="17" t="str">
        <f>tbl_raw[[#This Row],[product_id]]</f>
        <v>41cd333a4af5e36df81fc0b83ccf8e2d</v>
      </c>
      <c r="B167" t="str">
        <f>tbl_raw[[#This Row],[category]]</f>
        <v>baby</v>
      </c>
      <c r="C167" s="2">
        <f>tbl_profitability[[#This Row],[net_profit]]</f>
        <v>3478.69</v>
      </c>
      <c r="D167" s="42">
        <f>tbl_profitability[[#This Row],[net_margin_pct]]</f>
        <v>0.49867257271463183</v>
      </c>
      <c r="E167" s="49" t="str">
        <f>tbl_profitability[[#This Row],[decision]]</f>
        <v>OPTIMIZE</v>
      </c>
      <c r="F167" s="2">
        <f>tbl_raw[[#This Row],[gross_revenue]]-tbl_raw[[#This Row],[return_loss]]-tbl_raw[[#This Row],[cogs]]*(1+scn_A_cogs_up)-(tbl_raw[[#This Row],[storage_cost]]+tbl_raw[[#This Row],[fulfillment_cost]]+tbl_raw[[#This Row],[freight_cost]])</f>
        <v>3185.7019999999998</v>
      </c>
      <c r="G167" s="42">
        <f>tbl_scenarios[[#This Row],[net_profit_A]]/tbl_raw[[#This Row],[gross_revenue]]</f>
        <v>0.45667254404449603</v>
      </c>
      <c r="H167" s="43">
        <f>tbl_scenarios[[#This Row],[net_margin_A]]-tbl_scenarios[[#This Row],[net_margin_pct]]</f>
        <v>-4.2000028670135803E-2</v>
      </c>
      <c r="I16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67" s="2">
        <f>tbl_raw[[#This Row],[gross_revenue]]-tbl_raw[[#This Row],[return_loss]]*(1+scn_B_returns_up/0.05)-tbl_raw[[#This Row],[cogs]]-(tbl_raw[[#This Row],[storage_cost]]+tbl_raw[[#This Row],[fulfillment_cost]]+tbl_raw[[#This Row],[freight_cost]])</f>
        <v>3472.2099999999996</v>
      </c>
      <c r="K167" s="42">
        <f>tbl_scenarios[[#This Row],[net_profit_B]]/tbl_raw[[#This Row],[gross_revenue]]</f>
        <v>0.49774366031623157</v>
      </c>
      <c r="L167" s="43">
        <f>tbl_scenarios[[#This Row],[net_margin_B]]-tbl_scenarios[[#This Row],[net_margin_pct]]</f>
        <v>-9.2891239840026119E-4</v>
      </c>
      <c r="M16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67" s="2">
        <f>tbl_raw[[#This Row],[gross_revenue]]*(1-scn_C_price_down)-tbl_raw[[#This Row],[return_loss]]-tbl_raw[[#This Row],[cogs]]-(tbl_raw[[#This Row],[storage_cost]]+tbl_raw[[#This Row],[fulfillment_cost]]+tbl_raw[[#This Row],[freight_cost]])</f>
        <v>3129.895</v>
      </c>
      <c r="O167" s="42">
        <f>tbl_scenarios[[#This Row],[net_profit_C]]/(tbl_raw[[#This Row],[gross_revenue]]*(1-scn_C_price_down))</f>
        <v>0.47228691864698086</v>
      </c>
      <c r="P167" s="43">
        <f>tbl_scenarios[[#This Row],[net_margin_C]]-tbl_scenarios[[#This Row],[net_margin_pct]]</f>
        <v>-2.6385654067650977E-2</v>
      </c>
      <c r="Q16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6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68" spans="1:18" x14ac:dyDescent="0.35">
      <c r="A168" s="17" t="str">
        <f>tbl_raw[[#This Row],[product_id]]</f>
        <v>dbb67791e405873b259e4656bf971246</v>
      </c>
      <c r="B168" t="str">
        <f>tbl_raw[[#This Row],[category]]</f>
        <v>computers_accessories</v>
      </c>
      <c r="C168" s="2">
        <f>tbl_profitability[[#This Row],[net_profit]]</f>
        <v>896.6400000000001</v>
      </c>
      <c r="D168" s="42">
        <f>tbl_profitability[[#This Row],[net_margin_pct]]</f>
        <v>0.12854371882781848</v>
      </c>
      <c r="E168" s="49" t="str">
        <f>tbl_profitability[[#This Row],[decision]]</f>
        <v>OPTIMIZE</v>
      </c>
      <c r="F168" s="2">
        <f>tbl_raw[[#This Row],[gross_revenue]]-tbl_raw[[#This Row],[return_loss]]-tbl_raw[[#This Row],[cogs]]*(1+scn_A_cogs_up)-(tbl_raw[[#This Row],[storage_cost]]+tbl_raw[[#This Row],[fulfillment_cost]]+tbl_raw[[#This Row],[freight_cost]])</f>
        <v>499.04399999999964</v>
      </c>
      <c r="G168" s="42">
        <f>tbl_scenarios[[#This Row],[net_profit_A]]/tbl_raw[[#This Row],[gross_revenue]]</f>
        <v>7.1543731730359772E-2</v>
      </c>
      <c r="H168" s="43">
        <f>tbl_scenarios[[#This Row],[net_margin_A]]-tbl_scenarios[[#This Row],[net_margin_pct]]</f>
        <v>-5.699998709745871E-2</v>
      </c>
      <c r="I168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168" s="2">
        <f>tbl_raw[[#This Row],[gross_revenue]]-tbl_raw[[#This Row],[return_loss]]*(1+scn_B_returns_up/0.05)-tbl_raw[[#This Row],[cogs]]-(tbl_raw[[#This Row],[storage_cost]]+tbl_raw[[#This Row],[fulfillment_cost]]+tbl_raw[[#This Row],[freight_cost]])</f>
        <v>817.44000000000028</v>
      </c>
      <c r="K168" s="42">
        <f>tbl_scenarios[[#This Row],[net_profit_B]]/tbl_raw[[#This Row],[gross_revenue]]</f>
        <v>0.11718948242172104</v>
      </c>
      <c r="L168" s="43">
        <f>tbl_scenarios[[#This Row],[net_margin_B]]-tbl_scenarios[[#This Row],[net_margin_pct]]</f>
        <v>-1.1354236406097437E-2</v>
      </c>
      <c r="M16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68" s="2">
        <f>tbl_raw[[#This Row],[gross_revenue]]*(1-scn_C_price_down)-tbl_raw[[#This Row],[return_loss]]-tbl_raw[[#This Row],[cogs]]-(tbl_raw[[#This Row],[storage_cost]]+tbl_raw[[#This Row],[fulfillment_cost]]+tbl_raw[[#This Row],[freight_cost]])</f>
        <v>547.87149999999997</v>
      </c>
      <c r="O168" s="42">
        <f>tbl_scenarios[[#This Row],[net_profit_C]]/(tbl_raw[[#This Row],[gross_revenue]]*(1-scn_C_price_down))</f>
        <v>8.2677598766124683E-2</v>
      </c>
      <c r="P168" s="43">
        <f>tbl_scenarios[[#This Row],[net_margin_C]]-tbl_scenarios[[#This Row],[net_margin_pct]]</f>
        <v>-4.5866120061693799E-2</v>
      </c>
      <c r="Q168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16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169" spans="1:18" x14ac:dyDescent="0.35">
      <c r="A169" s="17" t="str">
        <f>tbl_raw[[#This Row],[product_id]]</f>
        <v>363218ba55c610b750224f90bdd34be1</v>
      </c>
      <c r="B169" t="str">
        <f>tbl_raw[[#This Row],[category]]</f>
        <v>bed_bath_table</v>
      </c>
      <c r="C169" s="2">
        <f>tbl_profitability[[#This Row],[net_profit]]</f>
        <v>1882.3799999999999</v>
      </c>
      <c r="D169" s="42">
        <f>tbl_profitability[[#This Row],[net_margin_pct]]</f>
        <v>0.27188939426547626</v>
      </c>
      <c r="E169" s="49" t="str">
        <f>tbl_profitability[[#This Row],[decision]]</f>
        <v>SCALE</v>
      </c>
      <c r="F169" s="2">
        <f>tbl_raw[[#This Row],[gross_revenue]]-tbl_raw[[#This Row],[return_loss]]-tbl_raw[[#This Row],[cogs]]*(1+scn_A_cogs_up)-(tbl_raw[[#This Row],[storage_cost]]+tbl_raw[[#This Row],[fulfillment_cost]]+tbl_raw[[#This Row],[freight_cost]])</f>
        <v>1570.8299999999997</v>
      </c>
      <c r="G169" s="42">
        <f>tbl_scenarios[[#This Row],[net_profit_A]]/tbl_raw[[#This Row],[gross_revenue]]</f>
        <v>0.2268893725996016</v>
      </c>
      <c r="H169" s="43">
        <f>tbl_scenarios[[#This Row],[net_margin_A]]-tbl_scenarios[[#This Row],[net_margin_pct]]</f>
        <v>-4.5000021665874662E-2</v>
      </c>
      <c r="I169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69" s="2">
        <f>tbl_raw[[#This Row],[gross_revenue]]-tbl_raw[[#This Row],[return_loss]]*(1+scn_B_returns_up/0.05)-tbl_raw[[#This Row],[cogs]]-(tbl_raw[[#This Row],[storage_cost]]+tbl_raw[[#This Row],[fulfillment_cost]]+tbl_raw[[#This Row],[freight_cost]])</f>
        <v>1851.4199999999998</v>
      </c>
      <c r="K169" s="42">
        <f>tbl_scenarios[[#This Row],[net_profit_B]]/tbl_raw[[#This Row],[gross_revenue]]</f>
        <v>0.26741755773594494</v>
      </c>
      <c r="L169" s="43">
        <f>tbl_scenarios[[#This Row],[net_margin_B]]-tbl_scenarios[[#This Row],[net_margin_pct]]</f>
        <v>-4.4718365295313145E-3</v>
      </c>
      <c r="M16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69" s="2">
        <f>tbl_raw[[#This Row],[gross_revenue]]*(1-scn_C_price_down)-tbl_raw[[#This Row],[return_loss]]-tbl_raw[[#This Row],[cogs]]-(tbl_raw[[#This Row],[storage_cost]]+tbl_raw[[#This Row],[fulfillment_cost]]+tbl_raw[[#This Row],[freight_cost]])</f>
        <v>1536.2134999999996</v>
      </c>
      <c r="O169" s="42">
        <f>tbl_scenarios[[#This Row],[net_profit_C]]/(tbl_raw[[#This Row],[gross_revenue]]*(1-scn_C_price_down))</f>
        <v>0.23356778343734341</v>
      </c>
      <c r="P169" s="43">
        <f>tbl_scenarios[[#This Row],[net_margin_C]]-tbl_scenarios[[#This Row],[net_margin_pct]]</f>
        <v>-3.8321610828132846E-2</v>
      </c>
      <c r="Q169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6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170" spans="1:18" x14ac:dyDescent="0.35">
      <c r="A170" s="17" t="str">
        <f>tbl_raw[[#This Row],[product_id]]</f>
        <v>8b52d90d2e8716dad633486c6cc94ecf</v>
      </c>
      <c r="B170" t="str">
        <f>tbl_raw[[#This Row],[category]]</f>
        <v>telephony</v>
      </c>
      <c r="C170" s="2">
        <f>tbl_profitability[[#This Row],[net_profit]]</f>
        <v>2775.3999999999996</v>
      </c>
      <c r="D170" s="42">
        <f>tbl_profitability[[#This Row],[net_margin_pct]]</f>
        <v>0.40089556550628336</v>
      </c>
      <c r="E170" s="49" t="str">
        <f>tbl_profitability[[#This Row],[decision]]</f>
        <v>EXIT</v>
      </c>
      <c r="F170" s="2">
        <f>tbl_raw[[#This Row],[gross_revenue]]-tbl_raw[[#This Row],[return_loss]]-tbl_raw[[#This Row],[cogs]]*(1+scn_A_cogs_up)-(tbl_raw[[#This Row],[storage_cost]]+tbl_raw[[#This Row],[fulfillment_cost]]+tbl_raw[[#This Row],[freight_cost]])</f>
        <v>2380.7889999999993</v>
      </c>
      <c r="G170" s="42">
        <f>tbl_scenarios[[#This Row],[net_profit_A]]/tbl_raw[[#This Row],[gross_revenue]]</f>
        <v>0.34389556550628331</v>
      </c>
      <c r="H170" s="43">
        <f>tbl_scenarios[[#This Row],[net_margin_A]]-tbl_scenarios[[#This Row],[net_margin_pct]]</f>
        <v>-5.7000000000000051E-2</v>
      </c>
      <c r="I170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170" s="2">
        <f>tbl_raw[[#This Row],[gross_revenue]]-tbl_raw[[#This Row],[return_loss]]*(1+scn_B_returns_up/0.05)-tbl_raw[[#This Row],[cogs]]-(tbl_raw[[#This Row],[storage_cost]]+tbl_raw[[#This Row],[fulfillment_cost]]+tbl_raw[[#This Row],[freight_cost]])</f>
        <v>2769.0999999999995</v>
      </c>
      <c r="K170" s="42">
        <f>tbl_scenarios[[#This Row],[net_profit_B]]/tbl_raw[[#This Row],[gross_revenue]]</f>
        <v>0.39998555539505987</v>
      </c>
      <c r="L170" s="43">
        <f>tbl_scenarios[[#This Row],[net_margin_B]]-tbl_scenarios[[#This Row],[net_margin_pct]]</f>
        <v>-9.1001011122349151E-4</v>
      </c>
      <c r="M170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170" s="2">
        <f>tbl_raw[[#This Row],[gross_revenue]]*(1-scn_C_price_down)-tbl_raw[[#This Row],[return_loss]]-tbl_raw[[#This Row],[cogs]]-(tbl_raw[[#This Row],[storage_cost]]+tbl_raw[[#This Row],[fulfillment_cost]]+tbl_raw[[#This Row],[freight_cost]])</f>
        <v>2429.2499999999991</v>
      </c>
      <c r="O170" s="42">
        <f>tbl_scenarios[[#This Row],[net_profit_C]]/(tbl_raw[[#This Row],[gross_revenue]]*(1-scn_C_price_down))</f>
        <v>0.36936375316450876</v>
      </c>
      <c r="P170" s="43">
        <f>tbl_scenarios[[#This Row],[net_margin_C]]-tbl_scenarios[[#This Row],[net_margin_pct]]</f>
        <v>-3.1531812341774601E-2</v>
      </c>
      <c r="Q170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17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71" spans="1:18" x14ac:dyDescent="0.35">
      <c r="A171" s="17" t="str">
        <f>tbl_raw[[#This Row],[product_id]]</f>
        <v>4178e16324fd0c9a8e18463caf390cc6</v>
      </c>
      <c r="B171" t="str">
        <f>tbl_raw[[#This Row],[category]]</f>
        <v>cool_stuff</v>
      </c>
      <c r="C171" s="2">
        <f>tbl_profitability[[#This Row],[net_profit]]</f>
        <v>2707.1500000000005</v>
      </c>
      <c r="D171" s="42">
        <f>tbl_profitability[[#This Row],[net_margin_pct]]</f>
        <v>0.39131974559121141</v>
      </c>
      <c r="E171" s="49" t="str">
        <f>tbl_profitability[[#This Row],[decision]]</f>
        <v>SCALE</v>
      </c>
      <c r="F171" s="2">
        <f>tbl_raw[[#This Row],[gross_revenue]]-tbl_raw[[#This Row],[return_loss]]-tbl_raw[[#This Row],[cogs]]*(1+scn_A_cogs_up)-(tbl_raw[[#This Row],[storage_cost]]+tbl_raw[[#This Row],[fulfillment_cost]]+tbl_raw[[#This Row],[freight_cost]])</f>
        <v>2395.84</v>
      </c>
      <c r="G171" s="42">
        <f>tbl_scenarios[[#This Row],[net_profit_A]]/tbl_raw[[#This Row],[gross_revenue]]</f>
        <v>0.34631974559121137</v>
      </c>
      <c r="H171" s="43">
        <f>tbl_scenarios[[#This Row],[net_margin_A]]-tbl_scenarios[[#This Row],[net_margin_pct]]</f>
        <v>-4.500000000000004E-2</v>
      </c>
      <c r="I17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71" s="2">
        <f>tbl_raw[[#This Row],[gross_revenue]]-tbl_raw[[#This Row],[return_loss]]*(1+scn_B_returns_up/0.05)-tbl_raw[[#This Row],[cogs]]-(tbl_raw[[#This Row],[storage_cost]]+tbl_raw[[#This Row],[fulfillment_cost]]+tbl_raw[[#This Row],[freight_cost]])</f>
        <v>2697.79</v>
      </c>
      <c r="K171" s="42">
        <f>tbl_scenarios[[#This Row],[net_profit_B]]/tbl_raw[[#This Row],[gross_revenue]]</f>
        <v>0.38996675339693554</v>
      </c>
      <c r="L171" s="43">
        <f>tbl_scenarios[[#This Row],[net_margin_B]]-tbl_scenarios[[#This Row],[net_margin_pct]]</f>
        <v>-1.3529921942758705E-3</v>
      </c>
      <c r="M17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71" s="2">
        <f>tbl_raw[[#This Row],[gross_revenue]]*(1-scn_C_price_down)-tbl_raw[[#This Row],[return_loss]]-tbl_raw[[#This Row],[cogs]]-(tbl_raw[[#This Row],[storage_cost]]+tbl_raw[[#This Row],[fulfillment_cost]]+tbl_raw[[#This Row],[freight_cost]])</f>
        <v>2361.25</v>
      </c>
      <c r="O171" s="42">
        <f>tbl_scenarios[[#This Row],[net_profit_C]]/(tbl_raw[[#This Row],[gross_revenue]]*(1-scn_C_price_down))</f>
        <v>0.3592839427275909</v>
      </c>
      <c r="P171" s="43">
        <f>tbl_scenarios[[#This Row],[net_margin_C]]-tbl_scenarios[[#This Row],[net_margin_pct]]</f>
        <v>-3.2035802863620511E-2</v>
      </c>
      <c r="Q17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7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72" spans="1:18" x14ac:dyDescent="0.35">
      <c r="A172" s="17" t="str">
        <f>tbl_raw[[#This Row],[product_id]]</f>
        <v>672e757f331900b9deea127a2a7b79fd</v>
      </c>
      <c r="B172" t="str">
        <f>tbl_raw[[#This Row],[category]]</f>
        <v>agro_industry_and_commerce</v>
      </c>
      <c r="C172" s="2">
        <f>tbl_profitability[[#This Row],[net_profit]]</f>
        <v>3237.29</v>
      </c>
      <c r="D172" s="42">
        <f>tbl_profitability[[#This Row],[net_margin_pct]]</f>
        <v>0.47019462599854756</v>
      </c>
      <c r="E172" s="49" t="str">
        <f>tbl_profitability[[#This Row],[decision]]</f>
        <v>SCALE</v>
      </c>
      <c r="F172" s="2">
        <f>tbl_raw[[#This Row],[gross_revenue]]-tbl_raw[[#This Row],[return_loss]]-tbl_raw[[#This Row],[cogs]]*(1+scn_A_cogs_up)-(tbl_raw[[#This Row],[storage_cost]]+tbl_raw[[#This Row],[fulfillment_cost]]+tbl_raw[[#This Row],[freight_cost]])</f>
        <v>2927.4650000000001</v>
      </c>
      <c r="G172" s="42">
        <f>tbl_scenarios[[#This Row],[net_profit_A]]/tbl_raw[[#This Row],[gross_revenue]]</f>
        <v>0.42519462599854757</v>
      </c>
      <c r="H172" s="43">
        <f>tbl_scenarios[[#This Row],[net_margin_A]]-tbl_scenarios[[#This Row],[net_margin_pct]]</f>
        <v>-4.4999999999999984E-2</v>
      </c>
      <c r="I17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72" s="2">
        <f>tbl_raw[[#This Row],[gross_revenue]]-tbl_raw[[#This Row],[return_loss]]*(1+scn_B_returns_up/0.05)-tbl_raw[[#This Row],[cogs]]-(tbl_raw[[#This Row],[storage_cost]]+tbl_raw[[#This Row],[fulfillment_cost]]+tbl_raw[[#This Row],[freight_cost]])</f>
        <v>3231.17</v>
      </c>
      <c r="K172" s="42">
        <f>tbl_scenarios[[#This Row],[net_profit_B]]/tbl_raw[[#This Row],[gross_revenue]]</f>
        <v>0.46930573710965867</v>
      </c>
      <c r="L172" s="43">
        <f>tbl_scenarios[[#This Row],[net_margin_B]]-tbl_scenarios[[#This Row],[net_margin_pct]]</f>
        <v>-8.8888888888888351E-4</v>
      </c>
      <c r="M17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72" s="2">
        <f>tbl_raw[[#This Row],[gross_revenue]]*(1-scn_C_price_down)-tbl_raw[[#This Row],[return_loss]]-tbl_raw[[#This Row],[cogs]]-(tbl_raw[[#This Row],[storage_cost]]+tbl_raw[[#This Row],[fulfillment_cost]]+tbl_raw[[#This Row],[freight_cost]])</f>
        <v>2893.04</v>
      </c>
      <c r="O172" s="42">
        <f>tbl_scenarios[[#This Row],[net_profit_C]]/(tbl_raw[[#This Row],[gross_revenue]]*(1-scn_C_price_down))</f>
        <v>0.44231013263005009</v>
      </c>
      <c r="P172" s="43">
        <f>tbl_scenarios[[#This Row],[net_margin_C]]-tbl_scenarios[[#This Row],[net_margin_pct]]</f>
        <v>-2.7884493368497465E-2</v>
      </c>
      <c r="Q17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7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73" spans="1:18" x14ac:dyDescent="0.35">
      <c r="A173" s="17" t="str">
        <f>tbl_raw[[#This Row],[product_id]]</f>
        <v>fbc1488c1a1e72ba175f53ab29a248e8</v>
      </c>
      <c r="B173" t="str">
        <f>tbl_raw[[#This Row],[category]]</f>
        <v>perfumery</v>
      </c>
      <c r="C173" s="2">
        <f>tbl_profitability[[#This Row],[net_profit]]</f>
        <v>2790.64</v>
      </c>
      <c r="D173" s="42">
        <f>tbl_profitability[[#This Row],[net_margin_pct]]</f>
        <v>0.40605952136707363</v>
      </c>
      <c r="E173" s="49" t="str">
        <f>tbl_profitability[[#This Row],[decision]]</f>
        <v>SCALE</v>
      </c>
      <c r="F173" s="2">
        <f>tbl_raw[[#This Row],[gross_revenue]]-tbl_raw[[#This Row],[return_loss]]-tbl_raw[[#This Row],[cogs]]*(1+scn_A_cogs_up)-(tbl_raw[[#This Row],[storage_cost]]+tbl_raw[[#This Row],[fulfillment_cost]]+tbl_raw[[#This Row],[freight_cost]])</f>
        <v>2501.9949999999994</v>
      </c>
      <c r="G173" s="42">
        <f>tbl_scenarios[[#This Row],[net_profit_A]]/tbl_raw[[#This Row],[gross_revenue]]</f>
        <v>0.36405946025385261</v>
      </c>
      <c r="H173" s="43">
        <f>tbl_scenarios[[#This Row],[net_margin_A]]-tbl_scenarios[[#This Row],[net_margin_pct]]</f>
        <v>-4.2000061113221021E-2</v>
      </c>
      <c r="I17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73" s="2">
        <f>tbl_raw[[#This Row],[gross_revenue]]-tbl_raw[[#This Row],[return_loss]]*(1+scn_B_returns_up/0.05)-tbl_raw[[#This Row],[cogs]]-(tbl_raw[[#This Row],[storage_cost]]+tbl_raw[[#This Row],[fulfillment_cost]]+tbl_raw[[#This Row],[freight_cost]])</f>
        <v>2769.7599999999998</v>
      </c>
      <c r="K173" s="42">
        <f>tbl_scenarios[[#This Row],[net_profit_B]]/tbl_raw[[#This Row],[gross_revenue]]</f>
        <v>0.40302132123873585</v>
      </c>
      <c r="L173" s="43">
        <f>tbl_scenarios[[#This Row],[net_margin_B]]-tbl_scenarios[[#This Row],[net_margin_pct]]</f>
        <v>-3.0382001283377758E-3</v>
      </c>
      <c r="M17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73" s="2">
        <f>tbl_raw[[#This Row],[gross_revenue]]*(1-scn_C_price_down)-tbl_raw[[#This Row],[return_loss]]-tbl_raw[[#This Row],[cogs]]-(tbl_raw[[#This Row],[storage_cost]]+tbl_raw[[#This Row],[fulfillment_cost]]+tbl_raw[[#This Row],[freight_cost]])</f>
        <v>2447.0155</v>
      </c>
      <c r="O173" s="42">
        <f>tbl_scenarios[[#This Row],[net_profit_C]]/(tbl_raw[[#This Row],[gross_revenue]]*(1-scn_C_price_down))</f>
        <v>0.374799496175867</v>
      </c>
      <c r="P173" s="43">
        <f>tbl_scenarios[[#This Row],[net_margin_C]]-tbl_scenarios[[#This Row],[net_margin_pct]]</f>
        <v>-3.1260025191206631E-2</v>
      </c>
      <c r="Q17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7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74" spans="1:18" x14ac:dyDescent="0.35">
      <c r="A174" s="17" t="str">
        <f>tbl_raw[[#This Row],[product_id]]</f>
        <v>d017a2151d543a9885604dc62a3d9dcc</v>
      </c>
      <c r="B174" t="str">
        <f>tbl_raw[[#This Row],[category]]</f>
        <v>fashion_bags_accessories</v>
      </c>
      <c r="C174" s="2">
        <f>tbl_profitability[[#This Row],[net_profit]]</f>
        <v>1402.33</v>
      </c>
      <c r="D174" s="42">
        <f>tbl_profitability[[#This Row],[net_margin_pct]]</f>
        <v>0.20442128279883381</v>
      </c>
      <c r="E174" s="49" t="str">
        <f>tbl_profitability[[#This Row],[decision]]</f>
        <v>OPTIMIZE</v>
      </c>
      <c r="F174" s="2">
        <f>tbl_raw[[#This Row],[gross_revenue]]-tbl_raw[[#This Row],[return_loss]]-tbl_raw[[#This Row],[cogs]]*(1+scn_A_cogs_up)-(tbl_raw[[#This Row],[storage_cost]]+tbl_raw[[#This Row],[fulfillment_cost]]+tbl_raw[[#This Row],[freight_cost]])</f>
        <v>1114.2099999999996</v>
      </c>
      <c r="G174" s="42">
        <f>tbl_scenarios[[#This Row],[net_profit_A]]/tbl_raw[[#This Row],[gross_revenue]]</f>
        <v>0.16242128279883375</v>
      </c>
      <c r="H174" s="43">
        <f>tbl_scenarios[[#This Row],[net_margin_A]]-tbl_scenarios[[#This Row],[net_margin_pct]]</f>
        <v>-4.2000000000000065E-2</v>
      </c>
      <c r="I17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74" s="2">
        <f>tbl_raw[[#This Row],[gross_revenue]]-tbl_raw[[#This Row],[return_loss]]*(1+scn_B_returns_up/0.05)-tbl_raw[[#This Row],[cogs]]-(tbl_raw[[#This Row],[storage_cost]]+tbl_raw[[#This Row],[fulfillment_cost]]+tbl_raw[[#This Row],[freight_cost]])</f>
        <v>1276.33</v>
      </c>
      <c r="K174" s="42">
        <f>tbl_scenarios[[#This Row],[net_profit_B]]/tbl_raw[[#This Row],[gross_revenue]]</f>
        <v>0.18605393586005831</v>
      </c>
      <c r="L174" s="43">
        <f>tbl_scenarios[[#This Row],[net_margin_B]]-tbl_scenarios[[#This Row],[net_margin_pct]]</f>
        <v>-1.8367346938775508E-2</v>
      </c>
      <c r="M174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74" s="2">
        <f>tbl_raw[[#This Row],[gross_revenue]]*(1-scn_C_price_down)-tbl_raw[[#This Row],[return_loss]]-tbl_raw[[#This Row],[cogs]]-(tbl_raw[[#This Row],[storage_cost]]+tbl_raw[[#This Row],[fulfillment_cost]]+tbl_raw[[#This Row],[freight_cost]])</f>
        <v>1059.33</v>
      </c>
      <c r="O174" s="42">
        <f>tbl_scenarios[[#This Row],[net_profit_C]]/(tbl_raw[[#This Row],[gross_revenue]]*(1-scn_C_price_down))</f>
        <v>0.16254871873561452</v>
      </c>
      <c r="P174" s="43">
        <f>tbl_scenarios[[#This Row],[net_margin_C]]-tbl_scenarios[[#This Row],[net_margin_pct]]</f>
        <v>-4.1872564063219292E-2</v>
      </c>
      <c r="Q17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7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75" spans="1:18" x14ac:dyDescent="0.35">
      <c r="A175" s="17" t="str">
        <f>tbl_raw[[#This Row],[product_id]]</f>
        <v>41c24b8ce92d1a2cac62db5edfd088b2</v>
      </c>
      <c r="B175" t="str">
        <f>tbl_raw[[#This Row],[category]]</f>
        <v>watches_gifts</v>
      </c>
      <c r="C175" s="2">
        <f>tbl_profitability[[#This Row],[net_profit]]</f>
        <v>2585.42</v>
      </c>
      <c r="D175" s="42">
        <f>tbl_profitability[[#This Row],[net_margin_pct]]</f>
        <v>0.37689382067433352</v>
      </c>
      <c r="E175" s="49" t="str">
        <f>tbl_profitability[[#This Row],[decision]]</f>
        <v>SCALE</v>
      </c>
      <c r="F175" s="2">
        <f>tbl_raw[[#This Row],[gross_revenue]]-tbl_raw[[#This Row],[return_loss]]-tbl_raw[[#This Row],[cogs]]*(1+scn_A_cogs_up)-(tbl_raw[[#This Row],[storage_cost]]+tbl_raw[[#This Row],[fulfillment_cost]]+tbl_raw[[#This Row],[freight_cost]])</f>
        <v>2297.308</v>
      </c>
      <c r="G175" s="42">
        <f>tbl_scenarios[[#This Row],[net_profit_A]]/tbl_raw[[#This Row],[gross_revenue]]</f>
        <v>0.33489382358986619</v>
      </c>
      <c r="H175" s="43">
        <f>tbl_scenarios[[#This Row],[net_margin_A]]-tbl_scenarios[[#This Row],[net_margin_pct]]</f>
        <v>-4.1999997084467333E-2</v>
      </c>
      <c r="I17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75" s="2">
        <f>tbl_raw[[#This Row],[gross_revenue]]-tbl_raw[[#This Row],[return_loss]]*(1+scn_B_returns_up/0.05)-tbl_raw[[#This Row],[cogs]]-(tbl_raw[[#This Row],[storage_cost]]+tbl_raw[[#This Row],[fulfillment_cost]]+tbl_raw[[#This Row],[freight_cost]])</f>
        <v>2562.7400000000007</v>
      </c>
      <c r="K175" s="42">
        <f>tbl_scenarios[[#This Row],[net_profit_B]]/tbl_raw[[#This Row],[gross_revenue]]</f>
        <v>0.37358760665382867</v>
      </c>
      <c r="L175" s="43">
        <f>tbl_scenarios[[#This Row],[net_margin_B]]-tbl_scenarios[[#This Row],[net_margin_pct]]</f>
        <v>-3.3062140205048496E-3</v>
      </c>
      <c r="M17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75" s="2">
        <f>tbl_raw[[#This Row],[gross_revenue]]*(1-scn_C_price_down)-tbl_raw[[#This Row],[return_loss]]-tbl_raw[[#This Row],[cogs]]-(tbl_raw[[#This Row],[storage_cost]]+tbl_raw[[#This Row],[fulfillment_cost]]+tbl_raw[[#This Row],[freight_cost]])</f>
        <v>2242.4295000000002</v>
      </c>
      <c r="O175" s="42">
        <f>tbl_scenarios[[#This Row],[net_profit_C]]/(tbl_raw[[#This Row],[gross_revenue]]*(1-scn_C_price_down))</f>
        <v>0.34409875860456163</v>
      </c>
      <c r="P175" s="43">
        <f>tbl_scenarios[[#This Row],[net_margin_C]]-tbl_scenarios[[#This Row],[net_margin_pct]]</f>
        <v>-3.2795062069771896E-2</v>
      </c>
      <c r="Q17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7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76" spans="1:18" x14ac:dyDescent="0.35">
      <c r="A176" s="17" t="str">
        <f>tbl_raw[[#This Row],[product_id]]</f>
        <v>64fb265487de2238627ce43fe8a67efc</v>
      </c>
      <c r="B176" t="str">
        <f>tbl_raw[[#This Row],[category]]</f>
        <v>bed_bath_table</v>
      </c>
      <c r="C176" s="2">
        <f>tbl_profitability[[#This Row],[net_profit]]</f>
        <v>1422.2300000000005</v>
      </c>
      <c r="D176" s="42">
        <f>tbl_profitability[[#This Row],[net_margin_pct]]</f>
        <v>0.2077433980564089</v>
      </c>
      <c r="E176" s="49" t="str">
        <f>tbl_profitability[[#This Row],[decision]]</f>
        <v>OPTIMIZE</v>
      </c>
      <c r="F176" s="2">
        <f>tbl_raw[[#This Row],[gross_revenue]]-tbl_raw[[#This Row],[return_loss]]-tbl_raw[[#This Row],[cogs]]*(1+scn_A_cogs_up)-(tbl_raw[[#This Row],[storage_cost]]+tbl_raw[[#This Row],[fulfillment_cost]]+tbl_raw[[#This Row],[freight_cost]])</f>
        <v>1114.1560000000004</v>
      </c>
      <c r="G176" s="42">
        <f>tbl_scenarios[[#This Row],[net_profit_A]]/tbl_raw[[#This Row],[gross_revenue]]</f>
        <v>0.1627434053598478</v>
      </c>
      <c r="H176" s="43">
        <f>tbl_scenarios[[#This Row],[net_margin_A]]-tbl_scenarios[[#This Row],[net_margin_pct]]</f>
        <v>-4.4999992696561103E-2</v>
      </c>
      <c r="I17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76" s="2">
        <f>tbl_raw[[#This Row],[gross_revenue]]-tbl_raw[[#This Row],[return_loss]]*(1+scn_B_returns_up/0.05)-tbl_raw[[#This Row],[cogs]]-(tbl_raw[[#This Row],[storage_cost]]+tbl_raw[[#This Row],[fulfillment_cost]]+tbl_raw[[#This Row],[freight_cost]])</f>
        <v>1395.2300000000005</v>
      </c>
      <c r="K176" s="42">
        <f>tbl_scenarios[[#This Row],[net_profit_B]]/tbl_raw[[#This Row],[gross_revenue]]</f>
        <v>0.20379954105189976</v>
      </c>
      <c r="L176" s="43">
        <f>tbl_scenarios[[#This Row],[net_margin_B]]-tbl_scenarios[[#This Row],[net_margin_pct]]</f>
        <v>-3.9438570045091381E-3</v>
      </c>
      <c r="M17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76" s="2">
        <f>tbl_raw[[#This Row],[gross_revenue]]*(1-scn_C_price_down)-tbl_raw[[#This Row],[return_loss]]-tbl_raw[[#This Row],[cogs]]-(tbl_raw[[#This Row],[storage_cost]]+tbl_raw[[#This Row],[fulfillment_cost]]+tbl_raw[[#This Row],[freight_cost]])</f>
        <v>1079.9255000000003</v>
      </c>
      <c r="O176" s="42">
        <f>tbl_scenarios[[#This Row],[net_profit_C]]/(tbl_raw[[#This Row],[gross_revenue]]*(1-scn_C_price_down))</f>
        <v>0.16604568216464094</v>
      </c>
      <c r="P176" s="43">
        <f>tbl_scenarios[[#This Row],[net_margin_C]]-tbl_scenarios[[#This Row],[net_margin_pct]]</f>
        <v>-4.1697715891767961E-2</v>
      </c>
      <c r="Q17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7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77" spans="1:18" x14ac:dyDescent="0.35">
      <c r="A177" s="17" t="str">
        <f>tbl_raw[[#This Row],[product_id]]</f>
        <v>aba86c093ccdbac75b09111d57e50004</v>
      </c>
      <c r="B177" t="str">
        <f>tbl_raw[[#This Row],[category]]</f>
        <v>office_furniture</v>
      </c>
      <c r="C177" s="2">
        <f>tbl_profitability[[#This Row],[net_profit]]</f>
        <v>1747.5899999999995</v>
      </c>
      <c r="D177" s="42">
        <f>tbl_profitability[[#This Row],[net_margin_pct]]</f>
        <v>0.2562749296105114</v>
      </c>
      <c r="E177" s="49" t="str">
        <f>tbl_profitability[[#This Row],[decision]]</f>
        <v>OPTIMIZE</v>
      </c>
      <c r="F177" s="2">
        <f>tbl_raw[[#This Row],[gross_revenue]]-tbl_raw[[#This Row],[return_loss]]-tbl_raw[[#This Row],[cogs]]*(1+scn_A_cogs_up)-(tbl_raw[[#This Row],[storage_cost]]+tbl_raw[[#This Row],[fulfillment_cost]]+tbl_raw[[#This Row],[freight_cost]])</f>
        <v>1440.7259999999994</v>
      </c>
      <c r="G177" s="42">
        <f>tbl_scenarios[[#This Row],[net_profit_A]]/tbl_raw[[#This Row],[gross_revenue]]</f>
        <v>0.21127492961051142</v>
      </c>
      <c r="H177" s="43">
        <f>tbl_scenarios[[#This Row],[net_margin_A]]-tbl_scenarios[[#This Row],[net_margin_pct]]</f>
        <v>-4.4999999999999984E-2</v>
      </c>
      <c r="I17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77" s="2">
        <f>tbl_raw[[#This Row],[gross_revenue]]-tbl_raw[[#This Row],[return_loss]]*(1+scn_B_returns_up/0.05)-tbl_raw[[#This Row],[cogs]]-(tbl_raw[[#This Row],[storage_cost]]+tbl_raw[[#This Row],[fulfillment_cost]]+tbl_raw[[#This Row],[freight_cost]])</f>
        <v>1727.07</v>
      </c>
      <c r="K177" s="42">
        <f>tbl_scenarios[[#This Row],[net_profit_B]]/tbl_raw[[#This Row],[gross_revenue]]</f>
        <v>0.25326577897700608</v>
      </c>
      <c r="L177" s="43">
        <f>tbl_scenarios[[#This Row],[net_margin_B]]-tbl_scenarios[[#This Row],[net_margin_pct]]</f>
        <v>-3.0091506335053197E-3</v>
      </c>
      <c r="M17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77" s="2">
        <f>tbl_raw[[#This Row],[gross_revenue]]*(1-scn_C_price_down)-tbl_raw[[#This Row],[return_loss]]-tbl_raw[[#This Row],[cogs]]-(tbl_raw[[#This Row],[storage_cost]]+tbl_raw[[#This Row],[fulfillment_cost]]+tbl_raw[[#This Row],[freight_cost]])</f>
        <v>1406.6299999999994</v>
      </c>
      <c r="O177" s="42">
        <f>tbl_scenarios[[#This Row],[net_profit_C]]/(tbl_raw[[#This Row],[gross_revenue]]*(1-scn_C_price_down))</f>
        <v>0.21713150485316993</v>
      </c>
      <c r="P177" s="43">
        <f>tbl_scenarios[[#This Row],[net_margin_C]]-tbl_scenarios[[#This Row],[net_margin_pct]]</f>
        <v>-3.9143424757341477E-2</v>
      </c>
      <c r="Q17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7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78" spans="1:18" x14ac:dyDescent="0.35">
      <c r="A178" s="17" t="str">
        <f>tbl_raw[[#This Row],[product_id]]</f>
        <v>223d34a3d9334039f5ff9511dc044bbb</v>
      </c>
      <c r="B178" t="str">
        <f>tbl_raw[[#This Row],[category]]</f>
        <v>telephony</v>
      </c>
      <c r="C178" s="2">
        <f>tbl_profitability[[#This Row],[net_profit]]</f>
        <v>2074.8500000000004</v>
      </c>
      <c r="D178" s="42">
        <f>tbl_profitability[[#This Row],[net_margin_pct]]</f>
        <v>0.30546190651453814</v>
      </c>
      <c r="E178" s="49" t="str">
        <f>tbl_profitability[[#This Row],[decision]]</f>
        <v>SCALE</v>
      </c>
      <c r="F178" s="2">
        <f>tbl_raw[[#This Row],[gross_revenue]]-tbl_raw[[#This Row],[return_loss]]-tbl_raw[[#This Row],[cogs]]*(1+scn_A_cogs_up)-(tbl_raw[[#This Row],[storage_cost]]+tbl_raw[[#This Row],[fulfillment_cost]]+tbl_raw[[#This Row],[freight_cost]])</f>
        <v>1687.6780000000003</v>
      </c>
      <c r="G178" s="42">
        <f>tbl_scenarios[[#This Row],[net_profit_A]]/tbl_raw[[#This Row],[gross_revenue]]</f>
        <v>0.24846198012513807</v>
      </c>
      <c r="H178" s="43">
        <f>tbl_scenarios[[#This Row],[net_margin_A]]-tbl_scenarios[[#This Row],[net_margin_pct]]</f>
        <v>-5.6999926389400074E-2</v>
      </c>
      <c r="I17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78" s="2">
        <f>tbl_raw[[#This Row],[gross_revenue]]-tbl_raw[[#This Row],[return_loss]]*(1+scn_B_returns_up/0.05)-tbl_raw[[#This Row],[cogs]]-(tbl_raw[[#This Row],[storage_cost]]+tbl_raw[[#This Row],[fulfillment_cost]]+tbl_raw[[#This Row],[freight_cost]])</f>
        <v>2049.6500000000005</v>
      </c>
      <c r="K178" s="42">
        <f>tbl_scenarios[[#This Row],[net_profit_B]]/tbl_raw[[#This Row],[gross_revenue]]</f>
        <v>0.30175193227824815</v>
      </c>
      <c r="L178" s="43">
        <f>tbl_scenarios[[#This Row],[net_margin_B]]-tbl_scenarios[[#This Row],[net_margin_pct]]</f>
        <v>-3.7099742362899923E-3</v>
      </c>
      <c r="M17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78" s="2">
        <f>tbl_raw[[#This Row],[gross_revenue]]*(1-scn_C_price_down)-tbl_raw[[#This Row],[return_loss]]-tbl_raw[[#This Row],[cogs]]-(tbl_raw[[#This Row],[storage_cost]]+tbl_raw[[#This Row],[fulfillment_cost]]+tbl_raw[[#This Row],[freight_cost]])</f>
        <v>1735.2250000000004</v>
      </c>
      <c r="O178" s="42">
        <f>tbl_scenarios[[#This Row],[net_profit_C]]/(tbl_raw[[#This Row],[gross_revenue]]*(1-scn_C_price_down))</f>
        <v>0.26890727001530329</v>
      </c>
      <c r="P178" s="43">
        <f>tbl_scenarios[[#This Row],[net_margin_C]]-tbl_scenarios[[#This Row],[net_margin_pct]]</f>
        <v>-3.6554636499234849E-2</v>
      </c>
      <c r="Q17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7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179" spans="1:18" x14ac:dyDescent="0.35">
      <c r="A179" s="17" t="str">
        <f>tbl_raw[[#This Row],[product_id]]</f>
        <v>8f211599d0cde9d8551a6984d758e1f4</v>
      </c>
      <c r="B179" t="str">
        <f>tbl_raw[[#This Row],[category]]</f>
        <v>housewares</v>
      </c>
      <c r="C179" s="2">
        <f>tbl_profitability[[#This Row],[net_profit]]</f>
        <v>3306.66</v>
      </c>
      <c r="D179" s="42">
        <f>tbl_profitability[[#This Row],[net_margin_pct]]</f>
        <v>0.48716906077348066</v>
      </c>
      <c r="E179" s="49" t="str">
        <f>tbl_profitability[[#This Row],[decision]]</f>
        <v>SCALE</v>
      </c>
      <c r="F179" s="2">
        <f>tbl_raw[[#This Row],[gross_revenue]]-tbl_raw[[#This Row],[return_loss]]-tbl_raw[[#This Row],[cogs]]*(1+scn_A_cogs_up)-(tbl_raw[[#This Row],[storage_cost]]+tbl_raw[[#This Row],[fulfillment_cost]]+tbl_raw[[#This Row],[freight_cost]])</f>
        <v>3001.2219999999998</v>
      </c>
      <c r="G179" s="42">
        <f>tbl_scenarios[[#This Row],[net_profit_A]]/tbl_raw[[#This Row],[gross_revenue]]</f>
        <v>0.4421689871086556</v>
      </c>
      <c r="H179" s="43">
        <f>tbl_scenarios[[#This Row],[net_margin_A]]-tbl_scenarios[[#This Row],[net_margin_pct]]</f>
        <v>-4.5000073664825058E-2</v>
      </c>
      <c r="I17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79" s="2">
        <f>tbl_raw[[#This Row],[gross_revenue]]-tbl_raw[[#This Row],[return_loss]]*(1+scn_B_returns_up/0.05)-tbl_raw[[#This Row],[cogs]]-(tbl_raw[[#This Row],[storage_cost]]+tbl_raw[[#This Row],[fulfillment_cost]]+tbl_raw[[#This Row],[freight_cost]])</f>
        <v>3304.8599999999997</v>
      </c>
      <c r="K179" s="42">
        <f>tbl_scenarios[[#This Row],[net_profit_B]]/tbl_raw[[#This Row],[gross_revenue]]</f>
        <v>0.48690386740331487</v>
      </c>
      <c r="L179" s="43">
        <f>tbl_scenarios[[#This Row],[net_margin_B]]-tbl_scenarios[[#This Row],[net_margin_pct]]</f>
        <v>-2.6519337016578381E-4</v>
      </c>
      <c r="M17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79" s="2">
        <f>tbl_raw[[#This Row],[gross_revenue]]*(1-scn_C_price_down)-tbl_raw[[#This Row],[return_loss]]-tbl_raw[[#This Row],[cogs]]-(tbl_raw[[#This Row],[storage_cost]]+tbl_raw[[#This Row],[fulfillment_cost]]+tbl_raw[[#This Row],[freight_cost]])</f>
        <v>2967.2849999999999</v>
      </c>
      <c r="O179" s="42">
        <f>tbl_scenarios[[#This Row],[net_profit_C]]/(tbl_raw[[#This Row],[gross_revenue]]*(1-scn_C_price_down))</f>
        <v>0.46017795870892697</v>
      </c>
      <c r="P179" s="43">
        <f>tbl_scenarios[[#This Row],[net_margin_C]]-tbl_scenarios[[#This Row],[net_margin_pct]]</f>
        <v>-2.6991102064553685E-2</v>
      </c>
      <c r="Q17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7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80" spans="1:18" x14ac:dyDescent="0.35">
      <c r="A180" s="17" t="str">
        <f>tbl_raw[[#This Row],[product_id]]</f>
        <v>fb55982be901439613a95940feefd9ee</v>
      </c>
      <c r="B180" t="str">
        <f>tbl_raw[[#This Row],[category]]</f>
        <v>stationery</v>
      </c>
      <c r="C180" s="2">
        <f>tbl_profitability[[#This Row],[net_profit]]</f>
        <v>2052.6500000000005</v>
      </c>
      <c r="D180" s="42">
        <f>tbl_profitability[[#This Row],[net_margin_pct]]</f>
        <v>0.30248305334512238</v>
      </c>
      <c r="E180" s="49" t="str">
        <f>tbl_profitability[[#This Row],[decision]]</f>
        <v>SCALE</v>
      </c>
      <c r="F180" s="2">
        <f>tbl_raw[[#This Row],[gross_revenue]]-tbl_raw[[#This Row],[return_loss]]-tbl_raw[[#This Row],[cogs]]*(1+scn_A_cogs_up)-(tbl_raw[[#This Row],[storage_cost]]+tbl_raw[[#This Row],[fulfillment_cost]]+tbl_raw[[#This Row],[freight_cost]])</f>
        <v>1781.2100000000003</v>
      </c>
      <c r="G180" s="42">
        <f>tbl_scenarios[[#This Row],[net_profit_A]]/tbl_raw[[#This Row],[gross_revenue]]</f>
        <v>0.26248305334512234</v>
      </c>
      <c r="H180" s="43">
        <f>tbl_scenarios[[#This Row],[net_margin_A]]-tbl_scenarios[[#This Row],[net_margin_pct]]</f>
        <v>-4.0000000000000036E-2</v>
      </c>
      <c r="I18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80" s="2">
        <f>tbl_raw[[#This Row],[gross_revenue]]-tbl_raw[[#This Row],[return_loss]]*(1+scn_B_returns_up/0.05)-tbl_raw[[#This Row],[cogs]]-(tbl_raw[[#This Row],[storage_cost]]+tbl_raw[[#This Row],[fulfillment_cost]]+tbl_raw[[#This Row],[freight_cost]])</f>
        <v>2044.2499999999998</v>
      </c>
      <c r="K180" s="42">
        <f>tbl_scenarios[[#This Row],[net_profit_B]]/tbl_raw[[#This Row],[gross_revenue]]</f>
        <v>0.30124521072796934</v>
      </c>
      <c r="L180" s="43">
        <f>tbl_scenarios[[#This Row],[net_margin_B]]-tbl_scenarios[[#This Row],[net_margin_pct]]</f>
        <v>-1.2378426171530399E-3</v>
      </c>
      <c r="M18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80" s="2">
        <f>tbl_raw[[#This Row],[gross_revenue]]*(1-scn_C_price_down)-tbl_raw[[#This Row],[return_loss]]-tbl_raw[[#This Row],[cogs]]-(tbl_raw[[#This Row],[storage_cost]]+tbl_raw[[#This Row],[fulfillment_cost]]+tbl_raw[[#This Row],[freight_cost]])</f>
        <v>1713.3500000000001</v>
      </c>
      <c r="O180" s="42">
        <f>tbl_scenarios[[#This Row],[net_profit_C]]/(tbl_raw[[#This Row],[gross_revenue]]*(1-scn_C_price_down))</f>
        <v>0.2657716351001288</v>
      </c>
      <c r="P180" s="43">
        <f>tbl_scenarios[[#This Row],[net_margin_C]]-tbl_scenarios[[#This Row],[net_margin_pct]]</f>
        <v>-3.6711418244993577E-2</v>
      </c>
      <c r="Q18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8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81" spans="1:18" x14ac:dyDescent="0.35">
      <c r="A181" s="17" t="str">
        <f>tbl_raw[[#This Row],[product_id]]</f>
        <v>7b35be468d9795a7529f65c50ec87668</v>
      </c>
      <c r="B181" t="str">
        <f>tbl_raw[[#This Row],[category]]</f>
        <v>watches_gifts</v>
      </c>
      <c r="C181" s="2">
        <f>tbl_profitability[[#This Row],[net_profit]]</f>
        <v>3638.51</v>
      </c>
      <c r="D181" s="42">
        <f>tbl_profitability[[#This Row],[net_margin_pct]]</f>
        <v>0.54021899706766641</v>
      </c>
      <c r="E181" s="49" t="str">
        <f>tbl_profitability[[#This Row],[decision]]</f>
        <v>SCALE</v>
      </c>
      <c r="F181" s="2">
        <f>tbl_raw[[#This Row],[gross_revenue]]-tbl_raw[[#This Row],[return_loss]]-tbl_raw[[#This Row],[cogs]]*(1+scn_A_cogs_up)-(tbl_raw[[#This Row],[storage_cost]]+tbl_raw[[#This Row],[fulfillment_cost]]+tbl_raw[[#This Row],[freight_cost]])</f>
        <v>3355.6289999999999</v>
      </c>
      <c r="G181" s="42">
        <f>tbl_scenarios[[#This Row],[net_profit_A]]/tbl_raw[[#This Row],[gross_revenue]]</f>
        <v>0.49821892283137226</v>
      </c>
      <c r="H181" s="43">
        <f>tbl_scenarios[[#This Row],[net_margin_A]]-tbl_scenarios[[#This Row],[net_margin_pct]]</f>
        <v>-4.2000074236294149E-2</v>
      </c>
      <c r="I18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81" s="2">
        <f>tbl_raw[[#This Row],[gross_revenue]]-tbl_raw[[#This Row],[return_loss]]*(1+scn_B_returns_up/0.05)-tbl_raw[[#This Row],[cogs]]-(tbl_raw[[#This Row],[storage_cost]]+tbl_raw[[#This Row],[fulfillment_cost]]+tbl_raw[[#This Row],[freight_cost]])</f>
        <v>3634.55</v>
      </c>
      <c r="K181" s="42">
        <f>tbl_scenarios[[#This Row],[net_profit_B]]/tbl_raw[[#This Row],[gross_revenue]]</f>
        <v>0.53963104561820274</v>
      </c>
      <c r="L181" s="43">
        <f>tbl_scenarios[[#This Row],[net_margin_B]]-tbl_scenarios[[#This Row],[net_margin_pct]]</f>
        <v>-5.8795144946366396E-4</v>
      </c>
      <c r="M18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81" s="2">
        <f>tbl_raw[[#This Row],[gross_revenue]]*(1-scn_C_price_down)-tbl_raw[[#This Row],[return_loss]]-tbl_raw[[#This Row],[cogs]]-(tbl_raw[[#This Row],[storage_cost]]+tbl_raw[[#This Row],[fulfillment_cost]]+tbl_raw[[#This Row],[freight_cost]])</f>
        <v>3301.7474999999995</v>
      </c>
      <c r="O181" s="42">
        <f>tbl_scenarios[[#This Row],[net_profit_C]]/(tbl_raw[[#This Row],[gross_revenue]]*(1-scn_C_price_down))</f>
        <v>0.516019996913333</v>
      </c>
      <c r="P181" s="43">
        <f>tbl_scenarios[[#This Row],[net_margin_C]]-tbl_scenarios[[#This Row],[net_margin_pct]]</f>
        <v>-2.4199000154333405E-2</v>
      </c>
      <c r="Q18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8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82" spans="1:18" x14ac:dyDescent="0.35">
      <c r="A182" s="17" t="str">
        <f>tbl_raw[[#This Row],[product_id]]</f>
        <v>489ae2aa008f021502940f251d4cce7f</v>
      </c>
      <c r="B182" t="str">
        <f>tbl_raw[[#This Row],[category]]</f>
        <v>housewares</v>
      </c>
      <c r="C182" s="2">
        <f>tbl_profitability[[#This Row],[net_profit]]</f>
        <v>3500.8300000000004</v>
      </c>
      <c r="D182" s="42">
        <f>tbl_profitability[[#This Row],[net_margin_pct]]</f>
        <v>0.51979658500371206</v>
      </c>
      <c r="E182" s="49" t="str">
        <f>tbl_profitability[[#This Row],[decision]]</f>
        <v>SCALE</v>
      </c>
      <c r="F182" s="2">
        <f>tbl_raw[[#This Row],[gross_revenue]]-tbl_raw[[#This Row],[return_loss]]-tbl_raw[[#This Row],[cogs]]*(1+scn_A_cogs_up)-(tbl_raw[[#This Row],[storage_cost]]+tbl_raw[[#This Row],[fulfillment_cost]]+tbl_raw[[#This Row],[freight_cost]])</f>
        <v>3197.7550000000001</v>
      </c>
      <c r="G182" s="42">
        <f>tbl_scenarios[[#This Row],[net_profit_A]]/tbl_raw[[#This Row],[gross_revenue]]</f>
        <v>0.47479658500371197</v>
      </c>
      <c r="H182" s="43">
        <f>tbl_scenarios[[#This Row],[net_margin_A]]-tbl_scenarios[[#This Row],[net_margin_pct]]</f>
        <v>-4.5000000000000095E-2</v>
      </c>
      <c r="I18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82" s="2">
        <f>tbl_raw[[#This Row],[gross_revenue]]-tbl_raw[[#This Row],[return_loss]]*(1+scn_B_returns_up/0.05)-tbl_raw[[#This Row],[cogs]]-(tbl_raw[[#This Row],[storage_cost]]+tbl_raw[[#This Row],[fulfillment_cost]]+tbl_raw[[#This Row],[freight_cost]])</f>
        <v>3500.47</v>
      </c>
      <c r="K182" s="42">
        <f>tbl_scenarios[[#This Row],[net_profit_B]]/tbl_raw[[#This Row],[gross_revenue]]</f>
        <v>0.51974313288789897</v>
      </c>
      <c r="L182" s="43">
        <f>tbl_scenarios[[#This Row],[net_margin_B]]-tbl_scenarios[[#This Row],[net_margin_pct]]</f>
        <v>-5.3452115813090728E-5</v>
      </c>
      <c r="M18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82" s="2">
        <f>tbl_raw[[#This Row],[gross_revenue]]*(1-scn_C_price_down)-tbl_raw[[#This Row],[return_loss]]-tbl_raw[[#This Row],[cogs]]-(tbl_raw[[#This Row],[storage_cost]]+tbl_raw[[#This Row],[fulfillment_cost]]+tbl_raw[[#This Row],[freight_cost]])</f>
        <v>3164.0800000000004</v>
      </c>
      <c r="O182" s="42">
        <f>tbl_scenarios[[#This Row],[net_profit_C]]/(tbl_raw[[#This Row],[gross_revenue]]*(1-scn_C_price_down))</f>
        <v>0.49452272105653894</v>
      </c>
      <c r="P182" s="43">
        <f>tbl_scenarios[[#This Row],[net_margin_C]]-tbl_scenarios[[#This Row],[net_margin_pct]]</f>
        <v>-2.5273863947173125E-2</v>
      </c>
      <c r="Q18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8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83" spans="1:18" x14ac:dyDescent="0.35">
      <c r="A183" s="17" t="str">
        <f>tbl_raw[[#This Row],[product_id]]</f>
        <v>69c590f7ffc7bf8db97190b6cb6ed62e</v>
      </c>
      <c r="B183" t="str">
        <f>tbl_raw[[#This Row],[category]]</f>
        <v>computers</v>
      </c>
      <c r="C183" s="2">
        <f>tbl_profitability[[#This Row],[net_profit]]</f>
        <v>2687.11</v>
      </c>
      <c r="D183" s="42">
        <f>tbl_profitability[[#This Row],[net_margin_pct]]</f>
        <v>0.39933273889136572</v>
      </c>
      <c r="E183" s="49" t="str">
        <f>tbl_profitability[[#This Row],[decision]]</f>
        <v>OPTIMIZE</v>
      </c>
      <c r="F183" s="2">
        <f>tbl_raw[[#This Row],[gross_revenue]]-tbl_raw[[#This Row],[return_loss]]-tbl_raw[[#This Row],[cogs]]*(1+scn_A_cogs_up)-(tbl_raw[[#This Row],[storage_cost]]+tbl_raw[[#This Row],[fulfillment_cost]]+tbl_raw[[#This Row],[freight_cost]])</f>
        <v>2303.5569999999998</v>
      </c>
      <c r="G183" s="42">
        <f>tbl_scenarios[[#This Row],[net_profit_A]]/tbl_raw[[#This Row],[gross_revenue]]</f>
        <v>0.34233273889136567</v>
      </c>
      <c r="H183" s="43">
        <f>tbl_scenarios[[#This Row],[net_margin_A]]-tbl_scenarios[[#This Row],[net_margin_pct]]</f>
        <v>-5.7000000000000051E-2</v>
      </c>
      <c r="I183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183" s="2">
        <f>tbl_raw[[#This Row],[gross_revenue]]-tbl_raw[[#This Row],[return_loss]]*(1+scn_B_returns_up/0.05)-tbl_raw[[#This Row],[cogs]]-(tbl_raw[[#This Row],[storage_cost]]+tbl_raw[[#This Row],[fulfillment_cost]]+tbl_raw[[#This Row],[freight_cost]])</f>
        <v>2686.2099999999996</v>
      </c>
      <c r="K183" s="42">
        <f>tbl_scenarios[[#This Row],[net_profit_B]]/tbl_raw[[#This Row],[gross_revenue]]</f>
        <v>0.39919898944865501</v>
      </c>
      <c r="L183" s="43">
        <f>tbl_scenarios[[#This Row],[net_margin_B]]-tbl_scenarios[[#This Row],[net_margin_pct]]</f>
        <v>-1.3374944271071776E-4</v>
      </c>
      <c r="M183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183" s="2">
        <f>tbl_raw[[#This Row],[gross_revenue]]*(1-scn_C_price_down)-tbl_raw[[#This Row],[return_loss]]-tbl_raw[[#This Row],[cogs]]-(tbl_raw[[#This Row],[storage_cost]]+tbl_raw[[#This Row],[fulfillment_cost]]+tbl_raw[[#This Row],[freight_cost]])</f>
        <v>2350.6599999999994</v>
      </c>
      <c r="O183" s="42">
        <f>tbl_scenarios[[#This Row],[net_profit_C]]/(tbl_raw[[#This Row],[gross_revenue]]*(1-scn_C_price_down))</f>
        <v>0.36771867251722701</v>
      </c>
      <c r="P183" s="43">
        <f>tbl_scenarios[[#This Row],[net_margin_C]]-tbl_scenarios[[#This Row],[net_margin_pct]]</f>
        <v>-3.1614066374138716E-2</v>
      </c>
      <c r="Q183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18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184" spans="1:18" x14ac:dyDescent="0.35">
      <c r="A184" s="17" t="str">
        <f>tbl_raw[[#This Row],[product_id]]</f>
        <v>4d0322b5ddf89ce6a3564aca2e261a3a</v>
      </c>
      <c r="B184" t="str">
        <f>tbl_raw[[#This Row],[category]]</f>
        <v>garden_tools</v>
      </c>
      <c r="C184" s="2">
        <f>tbl_profitability[[#This Row],[net_profit]]</f>
        <v>3208.8700000000003</v>
      </c>
      <c r="D184" s="42">
        <f>tbl_profitability[[#This Row],[net_margin_pct]]</f>
        <v>0.4770135275754423</v>
      </c>
      <c r="E184" s="49" t="str">
        <f>tbl_profitability[[#This Row],[decision]]</f>
        <v>SCALE</v>
      </c>
      <c r="F184" s="2">
        <f>tbl_raw[[#This Row],[gross_revenue]]-tbl_raw[[#This Row],[return_loss]]-tbl_raw[[#This Row],[cogs]]*(1+scn_A_cogs_up)-(tbl_raw[[#This Row],[storage_cost]]+tbl_raw[[#This Row],[fulfillment_cost]]+tbl_raw[[#This Row],[freight_cost]])</f>
        <v>2906.1550000000002</v>
      </c>
      <c r="G184" s="42">
        <f>tbl_scenarios[[#This Row],[net_profit_A]]/tbl_raw[[#This Row],[gross_revenue]]</f>
        <v>0.43201352757544226</v>
      </c>
      <c r="H184" s="43">
        <f>tbl_scenarios[[#This Row],[net_margin_A]]-tbl_scenarios[[#This Row],[net_margin_pct]]</f>
        <v>-4.500000000000004E-2</v>
      </c>
      <c r="I18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84" s="2">
        <f>tbl_raw[[#This Row],[gross_revenue]]-tbl_raw[[#This Row],[return_loss]]*(1+scn_B_returns_up/0.05)-tbl_raw[[#This Row],[cogs]]-(tbl_raw[[#This Row],[storage_cost]]+tbl_raw[[#This Row],[fulfillment_cost]]+tbl_raw[[#This Row],[freight_cost]])</f>
        <v>3207.43</v>
      </c>
      <c r="K184" s="42">
        <f>tbl_scenarios[[#This Row],[net_profit_B]]/tbl_raw[[#This Row],[gross_revenue]]</f>
        <v>0.47679946484316932</v>
      </c>
      <c r="L184" s="43">
        <f>tbl_scenarios[[#This Row],[net_margin_B]]-tbl_scenarios[[#This Row],[net_margin_pct]]</f>
        <v>-2.1406273227297934E-4</v>
      </c>
      <c r="M18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84" s="2">
        <f>tbl_raw[[#This Row],[gross_revenue]]*(1-scn_C_price_down)-tbl_raw[[#This Row],[return_loss]]-tbl_raw[[#This Row],[cogs]]-(tbl_raw[[#This Row],[storage_cost]]+tbl_raw[[#This Row],[fulfillment_cost]]+tbl_raw[[#This Row],[freight_cost]])</f>
        <v>2872.52</v>
      </c>
      <c r="O184" s="42">
        <f>tbl_scenarios[[#This Row],[net_profit_C]]/(tbl_raw[[#This Row],[gross_revenue]]*(1-scn_C_price_down))</f>
        <v>0.44948792376362345</v>
      </c>
      <c r="P184" s="43">
        <f>tbl_scenarios[[#This Row],[net_margin_C]]-tbl_scenarios[[#This Row],[net_margin_pct]]</f>
        <v>-2.7525603811818844E-2</v>
      </c>
      <c r="Q18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8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85" spans="1:18" x14ac:dyDescent="0.35">
      <c r="A185" s="17" t="str">
        <f>tbl_raw[[#This Row],[product_id]]</f>
        <v>11fd9d7ba552e1d28872e008acf1e050</v>
      </c>
      <c r="B185" t="str">
        <f>tbl_raw[[#This Row],[category]]</f>
        <v>cool_stuff</v>
      </c>
      <c r="C185" s="2">
        <f>tbl_profitability[[#This Row],[net_profit]]</f>
        <v>2627.3499999999995</v>
      </c>
      <c r="D185" s="42">
        <f>tbl_profitability[[#This Row],[net_margin_pct]]</f>
        <v>0.39213008566908442</v>
      </c>
      <c r="E185" s="49" t="str">
        <f>tbl_profitability[[#This Row],[decision]]</f>
        <v>SCALE</v>
      </c>
      <c r="F185" s="2">
        <f>tbl_raw[[#This Row],[gross_revenue]]-tbl_raw[[#This Row],[return_loss]]-tbl_raw[[#This Row],[cogs]]*(1+scn_A_cogs_up)-(tbl_raw[[#This Row],[storage_cost]]+tbl_raw[[#This Row],[fulfillment_cost]]+tbl_raw[[#This Row],[freight_cost]])</f>
        <v>2325.840999999999</v>
      </c>
      <c r="G185" s="42">
        <f>tbl_scenarios[[#This Row],[net_profit_A]]/tbl_raw[[#This Row],[gross_revenue]]</f>
        <v>0.34713008566908438</v>
      </c>
      <c r="H185" s="43">
        <f>tbl_scenarios[[#This Row],[net_margin_A]]-tbl_scenarios[[#This Row],[net_margin_pct]]</f>
        <v>-4.500000000000004E-2</v>
      </c>
      <c r="I18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85" s="2">
        <f>tbl_raw[[#This Row],[gross_revenue]]-tbl_raw[[#This Row],[return_loss]]*(1+scn_B_returns_up/0.05)-tbl_raw[[#This Row],[cogs]]-(tbl_raw[[#This Row],[storage_cost]]+tbl_raw[[#This Row],[fulfillment_cost]]+tbl_raw[[#This Row],[freight_cost]])</f>
        <v>2609.71</v>
      </c>
      <c r="K185" s="42">
        <f>tbl_scenarios[[#This Row],[net_profit_B]]/tbl_raw[[#This Row],[gross_revenue]]</f>
        <v>0.38949732843795709</v>
      </c>
      <c r="L185" s="43">
        <f>tbl_scenarios[[#This Row],[net_margin_B]]-tbl_scenarios[[#This Row],[net_margin_pct]]</f>
        <v>-2.6327572311273251E-3</v>
      </c>
      <c r="M18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85" s="2">
        <f>tbl_raw[[#This Row],[gross_revenue]]*(1-scn_C_price_down)-tbl_raw[[#This Row],[return_loss]]-tbl_raw[[#This Row],[cogs]]-(tbl_raw[[#This Row],[storage_cost]]+tbl_raw[[#This Row],[fulfillment_cost]]+tbl_raw[[#This Row],[freight_cost]])</f>
        <v>2292.3399999999992</v>
      </c>
      <c r="O185" s="42">
        <f>tbl_scenarios[[#This Row],[net_profit_C]]/(tbl_raw[[#This Row],[gross_revenue]]*(1-scn_C_price_down))</f>
        <v>0.36013693228324672</v>
      </c>
      <c r="P185" s="43">
        <f>tbl_scenarios[[#This Row],[net_margin_C]]-tbl_scenarios[[#This Row],[net_margin_pct]]</f>
        <v>-3.1993153385837692E-2</v>
      </c>
      <c r="Q18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8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86" spans="1:18" x14ac:dyDescent="0.35">
      <c r="A186" s="17" t="str">
        <f>tbl_raw[[#This Row],[product_id]]</f>
        <v>9545d45c37449ccbc376de3a04c66e71</v>
      </c>
      <c r="B186" t="str">
        <f>tbl_raw[[#This Row],[category]]</f>
        <v>health_beauty</v>
      </c>
      <c r="C186" s="2">
        <f>tbl_profitability[[#This Row],[net_profit]]</f>
        <v>2646</v>
      </c>
      <c r="D186" s="42">
        <f>tbl_profitability[[#This Row],[net_margin_pct]]</f>
        <v>0.39500201531640466</v>
      </c>
      <c r="E186" s="49" t="str">
        <f>tbl_profitability[[#This Row],[decision]]</f>
        <v>SCALE</v>
      </c>
      <c r="F186" s="2">
        <f>tbl_raw[[#This Row],[gross_revenue]]-tbl_raw[[#This Row],[return_loss]]-tbl_raw[[#This Row],[cogs]]*(1+scn_A_cogs_up)-(tbl_raw[[#This Row],[storage_cost]]+tbl_raw[[#This Row],[fulfillment_cost]]+tbl_raw[[#This Row],[freight_cost]])</f>
        <v>2364.6549999999997</v>
      </c>
      <c r="G186" s="42">
        <f>tbl_scenarios[[#This Row],[net_profit_A]]/tbl_raw[[#This Row],[gross_revenue]]</f>
        <v>0.35300207502948333</v>
      </c>
      <c r="H186" s="43">
        <f>tbl_scenarios[[#This Row],[net_margin_A]]-tbl_scenarios[[#This Row],[net_margin_pct]]</f>
        <v>-4.1999940286921333E-2</v>
      </c>
      <c r="I18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86" s="2">
        <f>tbl_raw[[#This Row],[gross_revenue]]-tbl_raw[[#This Row],[return_loss]]*(1+scn_B_returns_up/0.05)-tbl_raw[[#This Row],[cogs]]-(tbl_raw[[#This Row],[storage_cost]]+tbl_raw[[#This Row],[fulfillment_cost]]+tbl_raw[[#This Row],[freight_cost]])</f>
        <v>2626.92</v>
      </c>
      <c r="K186" s="42">
        <f>tbl_scenarios[[#This Row],[net_profit_B]]/tbl_raw[[#This Row],[gross_revenue]]</f>
        <v>0.39215370146446327</v>
      </c>
      <c r="L186" s="43">
        <f>tbl_scenarios[[#This Row],[net_margin_B]]-tbl_scenarios[[#This Row],[net_margin_pct]]</f>
        <v>-2.8483138519413975E-3</v>
      </c>
      <c r="M18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86" s="2">
        <f>tbl_raw[[#This Row],[gross_revenue]]*(1-scn_C_price_down)-tbl_raw[[#This Row],[return_loss]]-tbl_raw[[#This Row],[cogs]]-(tbl_raw[[#This Row],[storage_cost]]+tbl_raw[[#This Row],[fulfillment_cost]]+tbl_raw[[#This Row],[freight_cost]])</f>
        <v>2311.0649999999996</v>
      </c>
      <c r="O186" s="42">
        <f>tbl_scenarios[[#This Row],[net_profit_C]]/(tbl_raw[[#This Row],[gross_revenue]]*(1-scn_C_price_down))</f>
        <v>0.36316001612253118</v>
      </c>
      <c r="P186" s="43">
        <f>tbl_scenarios[[#This Row],[net_margin_C]]-tbl_scenarios[[#This Row],[net_margin_pct]]</f>
        <v>-3.1841999193873483E-2</v>
      </c>
      <c r="Q18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8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87" spans="1:18" x14ac:dyDescent="0.35">
      <c r="A187" s="17" t="str">
        <f>tbl_raw[[#This Row],[product_id]]</f>
        <v>f71973c922ccaab05514a36a8bc741b8</v>
      </c>
      <c r="B187" t="str">
        <f>tbl_raw[[#This Row],[category]]</f>
        <v>luggage_accessories</v>
      </c>
      <c r="C187" s="2">
        <f>tbl_profitability[[#This Row],[net_profit]]</f>
        <v>940.77000000000044</v>
      </c>
      <c r="D187" s="42">
        <f>tbl_profitability[[#This Row],[net_margin_pct]]</f>
        <v>0.14067399466773536</v>
      </c>
      <c r="E187" s="49" t="str">
        <f>tbl_profitability[[#This Row],[decision]]</f>
        <v>OPTIMIZE</v>
      </c>
      <c r="F187" s="2">
        <f>tbl_raw[[#This Row],[gross_revenue]]-tbl_raw[[#This Row],[return_loss]]-tbl_raw[[#This Row],[cogs]]*(1+scn_A_cogs_up)-(tbl_raw[[#This Row],[storage_cost]]+tbl_raw[[#This Row],[fulfillment_cost]]+tbl_raw[[#This Row],[freight_cost]])</f>
        <v>659.89100000000008</v>
      </c>
      <c r="G187" s="42">
        <f>tbl_scenarios[[#This Row],[net_profit_A]]/tbl_raw[[#This Row],[gross_revenue]]</f>
        <v>9.8673961770981783E-2</v>
      </c>
      <c r="H187" s="43">
        <f>tbl_scenarios[[#This Row],[net_margin_A]]-tbl_scenarios[[#This Row],[net_margin_pct]]</f>
        <v>-4.2000032896753581E-2</v>
      </c>
      <c r="I187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187" s="2">
        <f>tbl_raw[[#This Row],[gross_revenue]]-tbl_raw[[#This Row],[return_loss]]*(1+scn_B_returns_up/0.05)-tbl_raw[[#This Row],[cogs]]-(tbl_raw[[#This Row],[storage_cost]]+tbl_raw[[#This Row],[fulfillment_cost]]+tbl_raw[[#This Row],[freight_cost]])</f>
        <v>917.36999999999989</v>
      </c>
      <c r="K187" s="42">
        <f>tbl_scenarios[[#This Row],[net_profit_B]]/tbl_raw[[#This Row],[gross_revenue]]</f>
        <v>0.13717497633676703</v>
      </c>
      <c r="L187" s="43">
        <f>tbl_scenarios[[#This Row],[net_margin_B]]-tbl_scenarios[[#This Row],[net_margin_pct]]</f>
        <v>-3.4990183309683287E-3</v>
      </c>
      <c r="M18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87" s="2">
        <f>tbl_raw[[#This Row],[gross_revenue]]*(1-scn_C_price_down)-tbl_raw[[#This Row],[return_loss]]-tbl_raw[[#This Row],[cogs]]-(tbl_raw[[#This Row],[storage_cost]]+tbl_raw[[#This Row],[fulfillment_cost]]+tbl_raw[[#This Row],[freight_cost]])</f>
        <v>606.39050000000043</v>
      </c>
      <c r="O187" s="42">
        <f>tbl_scenarios[[#This Row],[net_profit_C]]/(tbl_raw[[#This Row],[gross_revenue]]*(1-scn_C_price_down))</f>
        <v>9.5446310176563548E-2</v>
      </c>
      <c r="P187" s="43">
        <f>tbl_scenarios[[#This Row],[net_margin_C]]-tbl_scenarios[[#This Row],[net_margin_pct]]</f>
        <v>-4.5227684491171816E-2</v>
      </c>
      <c r="Q187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18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188" spans="1:18" x14ac:dyDescent="0.35">
      <c r="A188" s="17" t="str">
        <f>tbl_raw[[#This Row],[product_id]]</f>
        <v>69455f41626a745aea9ee9164cb9eafd</v>
      </c>
      <c r="B188" t="str">
        <f>tbl_raw[[#This Row],[category]]</f>
        <v>watches_gifts</v>
      </c>
      <c r="C188" s="2">
        <f>tbl_profitability[[#This Row],[net_profit]]</f>
        <v>2913.5399999999995</v>
      </c>
      <c r="D188" s="42">
        <f>tbl_profitability[[#This Row],[net_margin_pct]]</f>
        <v>0.43796298523257488</v>
      </c>
      <c r="E188" s="49" t="str">
        <f>tbl_profitability[[#This Row],[decision]]</f>
        <v>SCALE</v>
      </c>
      <c r="F188" s="2">
        <f>tbl_raw[[#This Row],[gross_revenue]]-tbl_raw[[#This Row],[return_loss]]-tbl_raw[[#This Row],[cogs]]*(1+scn_A_cogs_up)-(tbl_raw[[#This Row],[storage_cost]]+tbl_raw[[#This Row],[fulfillment_cost]]+tbl_raw[[#This Row],[freight_cost]])</f>
        <v>2634.1359999999991</v>
      </c>
      <c r="G188" s="42">
        <f>tbl_scenarios[[#This Row],[net_profit_A]]/tbl_raw[[#This Row],[gross_revenue]]</f>
        <v>0.39596300928375572</v>
      </c>
      <c r="H188" s="43">
        <f>tbl_scenarios[[#This Row],[net_margin_A]]-tbl_scenarios[[#This Row],[net_margin_pct]]</f>
        <v>-4.1999975948819157E-2</v>
      </c>
      <c r="I18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88" s="2">
        <f>tbl_raw[[#This Row],[gross_revenue]]-tbl_raw[[#This Row],[return_loss]]*(1+scn_B_returns_up/0.05)-tbl_raw[[#This Row],[cogs]]-(tbl_raw[[#This Row],[storage_cost]]+tbl_raw[[#This Row],[fulfillment_cost]]+tbl_raw[[#This Row],[freight_cost]])</f>
        <v>2898.7799999999993</v>
      </c>
      <c r="K188" s="42">
        <f>tbl_scenarios[[#This Row],[net_profit_B]]/tbl_raw[[#This Row],[gross_revenue]]</f>
        <v>0.43574426379335218</v>
      </c>
      <c r="L188" s="43">
        <f>tbl_scenarios[[#This Row],[net_margin_B]]-tbl_scenarios[[#This Row],[net_margin_pct]]</f>
        <v>-2.2187214392226928E-3</v>
      </c>
      <c r="M18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88" s="2">
        <f>tbl_raw[[#This Row],[gross_revenue]]*(1-scn_C_price_down)-tbl_raw[[#This Row],[return_loss]]-tbl_raw[[#This Row],[cogs]]-(tbl_raw[[#This Row],[storage_cost]]+tbl_raw[[#This Row],[fulfillment_cost]]+tbl_raw[[#This Row],[freight_cost]])</f>
        <v>2580.9159999999988</v>
      </c>
      <c r="O188" s="42">
        <f>tbl_scenarios[[#This Row],[net_profit_C]]/(tbl_raw[[#This Row],[gross_revenue]]*(1-scn_C_price_down))</f>
        <v>0.40838208971849982</v>
      </c>
      <c r="P188" s="43">
        <f>tbl_scenarios[[#This Row],[net_margin_C]]-tbl_scenarios[[#This Row],[net_margin_pct]]</f>
        <v>-2.9580895514075056E-2</v>
      </c>
      <c r="Q18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8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89" spans="1:18" x14ac:dyDescent="0.35">
      <c r="A189" s="17" t="str">
        <f>tbl_raw[[#This Row],[product_id]]</f>
        <v>e9c1abcc7126360336d8f56d49041a8c</v>
      </c>
      <c r="B189" t="str">
        <f>tbl_raw[[#This Row],[category]]</f>
        <v>health_beauty</v>
      </c>
      <c r="C189" s="2">
        <f>tbl_profitability[[#This Row],[net_profit]]</f>
        <v>3349.6099999999997</v>
      </c>
      <c r="D189" s="42">
        <f>tbl_profitability[[#This Row],[net_margin_pct]]</f>
        <v>0.50514402050972695</v>
      </c>
      <c r="E189" s="49" t="str">
        <f>tbl_profitability[[#This Row],[decision]]</f>
        <v>SCALE</v>
      </c>
      <c r="F189" s="2">
        <f>tbl_raw[[#This Row],[gross_revenue]]-tbl_raw[[#This Row],[return_loss]]-tbl_raw[[#This Row],[cogs]]*(1+scn_A_cogs_up)-(tbl_raw[[#This Row],[storage_cost]]+tbl_raw[[#This Row],[fulfillment_cost]]+tbl_raw[[#This Row],[freight_cost]])</f>
        <v>3071.1079999999993</v>
      </c>
      <c r="G189" s="42">
        <f>tbl_scenarios[[#This Row],[net_profit_A]]/tbl_raw[[#This Row],[gross_revenue]]</f>
        <v>0.46314402050972692</v>
      </c>
      <c r="H189" s="43">
        <f>tbl_scenarios[[#This Row],[net_margin_A]]-tbl_scenarios[[#This Row],[net_margin_pct]]</f>
        <v>-4.2000000000000037E-2</v>
      </c>
      <c r="I18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89" s="2">
        <f>tbl_raw[[#This Row],[gross_revenue]]-tbl_raw[[#This Row],[return_loss]]*(1+scn_B_returns_up/0.05)-tbl_raw[[#This Row],[cogs]]-(tbl_raw[[#This Row],[storage_cost]]+tbl_raw[[#This Row],[fulfillment_cost]]+tbl_raw[[#This Row],[freight_cost]])</f>
        <v>3342.7699999999995</v>
      </c>
      <c r="K189" s="42">
        <f>tbl_scenarios[[#This Row],[net_profit_B]]/tbl_raw[[#This Row],[gross_revenue]]</f>
        <v>0.50411250188508516</v>
      </c>
      <c r="L189" s="43">
        <f>tbl_scenarios[[#This Row],[net_margin_B]]-tbl_scenarios[[#This Row],[net_margin_pct]]</f>
        <v>-1.0315186246417918E-3</v>
      </c>
      <c r="M18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89" s="2">
        <f>tbl_raw[[#This Row],[gross_revenue]]*(1-scn_C_price_down)-tbl_raw[[#This Row],[return_loss]]-tbl_raw[[#This Row],[cogs]]-(tbl_raw[[#This Row],[storage_cost]]+tbl_raw[[#This Row],[fulfillment_cost]]+tbl_raw[[#This Row],[freight_cost]])</f>
        <v>3018.0599999999995</v>
      </c>
      <c r="O189" s="42">
        <f>tbl_scenarios[[#This Row],[net_profit_C]]/(tbl_raw[[#This Row],[gross_revenue]]*(1-scn_C_price_down))</f>
        <v>0.47909896895760734</v>
      </c>
      <c r="P189" s="43">
        <f>tbl_scenarios[[#This Row],[net_margin_C]]-tbl_scenarios[[#This Row],[net_margin_pct]]</f>
        <v>-2.6045051552119614E-2</v>
      </c>
      <c r="Q18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8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90" spans="1:18" x14ac:dyDescent="0.35">
      <c r="A190" s="17" t="str">
        <f>tbl_raw[[#This Row],[product_id]]</f>
        <v>5d6bea33648f018dbb563f3a2fab09f3</v>
      </c>
      <c r="B190" t="str">
        <f>tbl_raw[[#This Row],[category]]</f>
        <v>furniture_decor</v>
      </c>
      <c r="C190" s="2">
        <f>tbl_profitability[[#This Row],[net_profit]]</f>
        <v>1939.38</v>
      </c>
      <c r="D190" s="42">
        <f>tbl_profitability[[#This Row],[net_margin_pct]]</f>
        <v>0.29340978547005964</v>
      </c>
      <c r="E190" s="49" t="str">
        <f>tbl_profitability[[#This Row],[decision]]</f>
        <v>SCALE</v>
      </c>
      <c r="F190" s="2">
        <f>tbl_raw[[#This Row],[gross_revenue]]-tbl_raw[[#This Row],[return_loss]]-tbl_raw[[#This Row],[cogs]]*(1+scn_A_cogs_up)-(tbl_raw[[#This Row],[storage_cost]]+tbl_raw[[#This Row],[fulfillment_cost]]+tbl_raw[[#This Row],[freight_cost]])</f>
        <v>1641.9389999999999</v>
      </c>
      <c r="G190" s="42">
        <f>tbl_scenarios[[#This Row],[net_profit_A]]/tbl_raw[[#This Row],[gross_revenue]]</f>
        <v>0.24840978547005957</v>
      </c>
      <c r="H190" s="43">
        <f>tbl_scenarios[[#This Row],[net_margin_A]]-tbl_scenarios[[#This Row],[net_margin_pct]]</f>
        <v>-4.5000000000000068E-2</v>
      </c>
      <c r="I19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90" s="2">
        <f>tbl_raw[[#This Row],[gross_revenue]]-tbl_raw[[#This Row],[return_loss]]*(1+scn_B_returns_up/0.05)-tbl_raw[[#This Row],[cogs]]-(tbl_raw[[#This Row],[storage_cost]]+tbl_raw[[#This Row],[fulfillment_cost]]+tbl_raw[[#This Row],[freight_cost]])</f>
        <v>1923.54</v>
      </c>
      <c r="K190" s="42">
        <f>tbl_scenarios[[#This Row],[net_profit_B]]/tbl_raw[[#This Row],[gross_revenue]]</f>
        <v>0.29101334382280852</v>
      </c>
      <c r="L190" s="43">
        <f>tbl_scenarios[[#This Row],[net_margin_B]]-tbl_scenarios[[#This Row],[net_margin_pct]]</f>
        <v>-2.396441647251113E-3</v>
      </c>
      <c r="M19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90" s="2">
        <f>tbl_raw[[#This Row],[gross_revenue]]*(1-scn_C_price_down)-tbl_raw[[#This Row],[return_loss]]-tbl_raw[[#This Row],[cogs]]-(tbl_raw[[#This Row],[storage_cost]]+tbl_raw[[#This Row],[fulfillment_cost]]+tbl_raw[[#This Row],[freight_cost]])</f>
        <v>1608.8899999999994</v>
      </c>
      <c r="O190" s="42">
        <f>tbl_scenarios[[#This Row],[net_profit_C]]/(tbl_raw[[#This Row],[gross_revenue]]*(1-scn_C_price_down))</f>
        <v>0.256220826810589</v>
      </c>
      <c r="P190" s="43">
        <f>tbl_scenarios[[#This Row],[net_margin_C]]-tbl_scenarios[[#This Row],[net_margin_pct]]</f>
        <v>-3.7188958659470639E-2</v>
      </c>
      <c r="Q19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9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191" spans="1:18" x14ac:dyDescent="0.35">
      <c r="A191" s="17" t="str">
        <f>tbl_raw[[#This Row],[product_id]]</f>
        <v>777d2e438a1b645f3aec9bd57e92672c</v>
      </c>
      <c r="B191" t="str">
        <f>tbl_raw[[#This Row],[category]]</f>
        <v>bed_bath_table</v>
      </c>
      <c r="C191" s="2">
        <f>tbl_profitability[[#This Row],[net_profit]]</f>
        <v>1231.2399999999998</v>
      </c>
      <c r="D191" s="42">
        <f>tbl_profitability[[#This Row],[net_margin_pct]]</f>
        <v>0.18746612259813022</v>
      </c>
      <c r="E191" s="49" t="str">
        <f>tbl_profitability[[#This Row],[decision]]</f>
        <v>OPTIMIZE</v>
      </c>
      <c r="F191" s="2">
        <f>tbl_raw[[#This Row],[gross_revenue]]-tbl_raw[[#This Row],[return_loss]]-tbl_raw[[#This Row],[cogs]]*(1+scn_A_cogs_up)-(tbl_raw[[#This Row],[storage_cost]]+tbl_raw[[#This Row],[fulfillment_cost]]+tbl_raw[[#This Row],[freight_cost]])</f>
        <v>935.6889999999994</v>
      </c>
      <c r="G191" s="42">
        <f>tbl_scenarios[[#This Row],[net_profit_A]]/tbl_raw[[#This Row],[gross_revenue]]</f>
        <v>0.14246612259813018</v>
      </c>
      <c r="H191" s="43">
        <f>tbl_scenarios[[#This Row],[net_margin_A]]-tbl_scenarios[[#This Row],[net_margin_pct]]</f>
        <v>-4.500000000000004E-2</v>
      </c>
      <c r="I19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91" s="2">
        <f>tbl_raw[[#This Row],[gross_revenue]]-tbl_raw[[#This Row],[return_loss]]*(1+scn_B_returns_up/0.05)-tbl_raw[[#This Row],[cogs]]-(tbl_raw[[#This Row],[storage_cost]]+tbl_raw[[#This Row],[fulfillment_cost]]+tbl_raw[[#This Row],[freight_cost]])</f>
        <v>1197.3999999999996</v>
      </c>
      <c r="K191" s="42">
        <f>tbl_scenarios[[#This Row],[net_profit_B]]/tbl_raw[[#This Row],[gross_revenue]]</f>
        <v>0.18231371235421293</v>
      </c>
      <c r="L191" s="43">
        <f>tbl_scenarios[[#This Row],[net_margin_B]]-tbl_scenarios[[#This Row],[net_margin_pct]]</f>
        <v>-5.1524102439172992E-3</v>
      </c>
      <c r="M19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91" s="2">
        <f>tbl_raw[[#This Row],[gross_revenue]]*(1-scn_C_price_down)-tbl_raw[[#This Row],[return_loss]]-tbl_raw[[#This Row],[cogs]]-(tbl_raw[[#This Row],[storage_cost]]+tbl_raw[[#This Row],[fulfillment_cost]]+tbl_raw[[#This Row],[freight_cost]])</f>
        <v>902.84999999999945</v>
      </c>
      <c r="O191" s="42">
        <f>tbl_scenarios[[#This Row],[net_profit_C]]/(tbl_raw[[#This Row],[gross_revenue]]*(1-scn_C_price_down))</f>
        <v>0.1447011816822423</v>
      </c>
      <c r="P191" s="43">
        <f>tbl_scenarios[[#This Row],[net_margin_C]]-tbl_scenarios[[#This Row],[net_margin_pct]]</f>
        <v>-4.2764940915887922E-2</v>
      </c>
      <c r="Q19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9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92" spans="1:18" x14ac:dyDescent="0.35">
      <c r="A192" s="17" t="str">
        <f>tbl_raw[[#This Row],[product_id]]</f>
        <v>cb26d15d1b6eabaac7c0803774245884</v>
      </c>
      <c r="B192" t="str">
        <f>tbl_raw[[#This Row],[category]]</f>
        <v>sports_leisure</v>
      </c>
      <c r="C192" s="2">
        <f>tbl_profitability[[#This Row],[net_profit]]</f>
        <v>2835.4599999999996</v>
      </c>
      <c r="D192" s="42">
        <f>tbl_profitability[[#This Row],[net_margin_pct]]</f>
        <v>0.43177402162326778</v>
      </c>
      <c r="E192" s="49" t="str">
        <f>tbl_profitability[[#This Row],[decision]]</f>
        <v>SCALE</v>
      </c>
      <c r="F192" s="2">
        <f>tbl_raw[[#This Row],[gross_revenue]]-tbl_raw[[#This Row],[return_loss]]-tbl_raw[[#This Row],[cogs]]*(1+scn_A_cogs_up)-(tbl_raw[[#This Row],[storage_cost]]+tbl_raw[[#This Row],[fulfillment_cost]]+tbl_raw[[#This Row],[freight_cost]])</f>
        <v>2559.6459999999993</v>
      </c>
      <c r="G192" s="42">
        <f>tbl_scenarios[[#This Row],[net_profit_A]]/tbl_raw[[#This Row],[gross_revenue]]</f>
        <v>0.38977402162326774</v>
      </c>
      <c r="H192" s="43">
        <f>tbl_scenarios[[#This Row],[net_margin_A]]-tbl_scenarios[[#This Row],[net_margin_pct]]</f>
        <v>-4.2000000000000037E-2</v>
      </c>
      <c r="I19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92" s="2">
        <f>tbl_raw[[#This Row],[gross_revenue]]-tbl_raw[[#This Row],[return_loss]]*(1+scn_B_returns_up/0.05)-tbl_raw[[#This Row],[cogs]]-(tbl_raw[[#This Row],[storage_cost]]+tbl_raw[[#This Row],[fulfillment_cost]]+tbl_raw[[#This Row],[freight_cost]])</f>
        <v>2832.94</v>
      </c>
      <c r="K192" s="42">
        <f>tbl_scenarios[[#This Row],[net_profit_B]]/tbl_raw[[#This Row],[gross_revenue]]</f>
        <v>0.43139028475711894</v>
      </c>
      <c r="L192" s="43">
        <f>tbl_scenarios[[#This Row],[net_margin_B]]-tbl_scenarios[[#This Row],[net_margin_pct]]</f>
        <v>-3.8373686614884273E-4</v>
      </c>
      <c r="M19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92" s="2">
        <f>tbl_raw[[#This Row],[gross_revenue]]*(1-scn_C_price_down)-tbl_raw[[#This Row],[return_loss]]-tbl_raw[[#This Row],[cogs]]-(tbl_raw[[#This Row],[storage_cost]]+tbl_raw[[#This Row],[fulfillment_cost]]+tbl_raw[[#This Row],[freight_cost]])</f>
        <v>2507.1099999999992</v>
      </c>
      <c r="O192" s="42">
        <f>tbl_scenarios[[#This Row],[net_profit_C]]/(tbl_raw[[#This Row],[gross_revenue]]*(1-scn_C_price_down))</f>
        <v>0.40186739118238712</v>
      </c>
      <c r="P192" s="43">
        <f>tbl_scenarios[[#This Row],[net_margin_C]]-tbl_scenarios[[#This Row],[net_margin_pct]]</f>
        <v>-2.9906630440880655E-2</v>
      </c>
      <c r="Q19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9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93" spans="1:18" x14ac:dyDescent="0.35">
      <c r="A193" s="17" t="str">
        <f>tbl_raw[[#This Row],[product_id]]</f>
        <v>d2e131d6f19ae0d665fc1a6c420b4f4c</v>
      </c>
      <c r="B193" t="str">
        <f>tbl_raw[[#This Row],[category]]</f>
        <v>watches_gifts</v>
      </c>
      <c r="C193" s="2">
        <f>tbl_profitability[[#This Row],[net_profit]]</f>
        <v>3581.4000000000005</v>
      </c>
      <c r="D193" s="42">
        <f>tbl_profitability[[#This Row],[net_margin_pct]]</f>
        <v>0.5472858053188222</v>
      </c>
      <c r="E193" s="49" t="str">
        <f>tbl_profitability[[#This Row],[decision]]</f>
        <v>OPTIMIZE</v>
      </c>
      <c r="F193" s="2">
        <f>tbl_raw[[#This Row],[gross_revenue]]-tbl_raw[[#This Row],[return_loss]]-tbl_raw[[#This Row],[cogs]]*(1+scn_A_cogs_up)-(tbl_raw[[#This Row],[storage_cost]]+tbl_raw[[#This Row],[fulfillment_cost]]+tbl_raw[[#This Row],[freight_cost]])</f>
        <v>3306.5550000000003</v>
      </c>
      <c r="G193" s="42">
        <f>tbl_scenarios[[#This Row],[net_profit_A]]/tbl_raw[[#This Row],[gross_revenue]]</f>
        <v>0.50528581448762444</v>
      </c>
      <c r="H193" s="43">
        <f>tbl_scenarios[[#This Row],[net_margin_A]]-tbl_scenarios[[#This Row],[net_margin_pct]]</f>
        <v>-4.1999990831197764E-2</v>
      </c>
      <c r="I19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93" s="2">
        <f>tbl_raw[[#This Row],[gross_revenue]]-tbl_raw[[#This Row],[return_loss]]*(1+scn_B_returns_up/0.05)-tbl_raw[[#This Row],[cogs]]-(tbl_raw[[#This Row],[storage_cost]]+tbl_raw[[#This Row],[fulfillment_cost]]+tbl_raw[[#This Row],[freight_cost]])</f>
        <v>3578.1600000000008</v>
      </c>
      <c r="K193" s="42">
        <f>tbl_scenarios[[#This Row],[net_profit_B]]/tbl_raw[[#This Row],[gross_revenue]]</f>
        <v>0.54679068999821223</v>
      </c>
      <c r="L193" s="43">
        <f>tbl_scenarios[[#This Row],[net_margin_B]]-tbl_scenarios[[#This Row],[net_margin_pct]]</f>
        <v>-4.9511532060997343E-4</v>
      </c>
      <c r="M19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93" s="2">
        <f>tbl_raw[[#This Row],[gross_revenue]]*(1-scn_C_price_down)-tbl_raw[[#This Row],[return_loss]]-tbl_raw[[#This Row],[cogs]]-(tbl_raw[[#This Row],[storage_cost]]+tbl_raw[[#This Row],[fulfillment_cost]]+tbl_raw[[#This Row],[freight_cost]])</f>
        <v>3254.2035000000005</v>
      </c>
      <c r="O193" s="42">
        <f>tbl_scenarios[[#This Row],[net_profit_C]]/(tbl_raw[[#This Row],[gross_revenue]]*(1-scn_C_price_down))</f>
        <v>0.52345874244086554</v>
      </c>
      <c r="P193" s="43">
        <f>tbl_scenarios[[#This Row],[net_margin_C]]-tbl_scenarios[[#This Row],[net_margin_pct]]</f>
        <v>-2.3827062877956662E-2</v>
      </c>
      <c r="Q19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9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94" spans="1:18" x14ac:dyDescent="0.35">
      <c r="A194" s="17" t="str">
        <f>tbl_raw[[#This Row],[product_id]]</f>
        <v>b192be433004cc1f10b467c0e9ea309b</v>
      </c>
      <c r="B194" t="str">
        <f>tbl_raw[[#This Row],[category]]</f>
        <v>computers_accessories</v>
      </c>
      <c r="C194" s="2">
        <f>tbl_profitability[[#This Row],[net_profit]]</f>
        <v>1331.5099999999998</v>
      </c>
      <c r="D194" s="42">
        <f>tbl_profitability[[#This Row],[net_margin_pct]]</f>
        <v>0.20350456219719082</v>
      </c>
      <c r="E194" s="49" t="str">
        <f>tbl_profitability[[#This Row],[decision]]</f>
        <v>OPTIMIZE</v>
      </c>
      <c r="F194" s="2">
        <f>tbl_raw[[#This Row],[gross_revenue]]-tbl_raw[[#This Row],[return_loss]]-tbl_raw[[#This Row],[cogs]]*(1+scn_A_cogs_up)-(tbl_raw[[#This Row],[storage_cost]]+tbl_raw[[#This Row],[fulfillment_cost]]+tbl_raw[[#This Row],[freight_cost]])</f>
        <v>958.56499999999915</v>
      </c>
      <c r="G194" s="42">
        <f>tbl_scenarios[[#This Row],[net_profit_A]]/tbl_raw[[#This Row],[gross_revenue]]</f>
        <v>0.14650460804841878</v>
      </c>
      <c r="H194" s="43">
        <f>tbl_scenarios[[#This Row],[net_margin_A]]-tbl_scenarios[[#This Row],[net_margin_pct]]</f>
        <v>-5.6999954148772042E-2</v>
      </c>
      <c r="I19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94" s="2">
        <f>tbl_raw[[#This Row],[gross_revenue]]-tbl_raw[[#This Row],[return_loss]]*(1+scn_B_returns_up/0.05)-tbl_raw[[#This Row],[cogs]]-(tbl_raw[[#This Row],[storage_cost]]+tbl_raw[[#This Row],[fulfillment_cost]]+tbl_raw[[#This Row],[freight_cost]])</f>
        <v>1300.0099999999998</v>
      </c>
      <c r="K194" s="42">
        <f>tbl_scenarios[[#This Row],[net_profit_B]]/tbl_raw[[#This Row],[gross_revenue]]</f>
        <v>0.19869018325207474</v>
      </c>
      <c r="L194" s="43">
        <f>tbl_scenarios[[#This Row],[net_margin_B]]-tbl_scenarios[[#This Row],[net_margin_pct]]</f>
        <v>-4.8143789451160768E-3</v>
      </c>
      <c r="M194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94" s="2">
        <f>tbl_raw[[#This Row],[gross_revenue]]*(1-scn_C_price_down)-tbl_raw[[#This Row],[return_loss]]-tbl_raw[[#This Row],[cogs]]-(tbl_raw[[#This Row],[storage_cost]]+tbl_raw[[#This Row],[fulfillment_cost]]+tbl_raw[[#This Row],[freight_cost]])</f>
        <v>1004.3649999999993</v>
      </c>
      <c r="O194" s="42">
        <f>tbl_scenarios[[#This Row],[net_profit_C]]/(tbl_raw[[#This Row],[gross_revenue]]*(1-scn_C_price_down))</f>
        <v>0.16158374968125344</v>
      </c>
      <c r="P194" s="43">
        <f>tbl_scenarios[[#This Row],[net_margin_C]]-tbl_scenarios[[#This Row],[net_margin_pct]]</f>
        <v>-4.1920812515937378E-2</v>
      </c>
      <c r="Q19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9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95" spans="1:18" x14ac:dyDescent="0.35">
      <c r="A195" s="17" t="str">
        <f>tbl_raw[[#This Row],[product_id]]</f>
        <v>f35927953ed82e19d06ad3aac2f06353</v>
      </c>
      <c r="B195" t="str">
        <f>tbl_raw[[#This Row],[category]]</f>
        <v>books_general_interest</v>
      </c>
      <c r="C195" s="2">
        <f>tbl_profitability[[#This Row],[net_profit]]</f>
        <v>2551.85</v>
      </c>
      <c r="D195" s="42">
        <f>tbl_profitability[[#This Row],[net_margin_pct]]</f>
        <v>0.39019172812190844</v>
      </c>
      <c r="E195" s="49" t="str">
        <f>tbl_profitability[[#This Row],[decision]]</f>
        <v>SCALE</v>
      </c>
      <c r="F195" s="2">
        <f>tbl_raw[[#This Row],[gross_revenue]]-tbl_raw[[#This Row],[return_loss]]-tbl_raw[[#This Row],[cogs]]*(1+scn_A_cogs_up)-(tbl_raw[[#This Row],[storage_cost]]+tbl_raw[[#This Row],[fulfillment_cost]]+tbl_raw[[#This Row],[freight_cost]])</f>
        <v>2290.2499999999995</v>
      </c>
      <c r="G195" s="42">
        <f>tbl_scenarios[[#This Row],[net_profit_A]]/tbl_raw[[#This Row],[gross_revenue]]</f>
        <v>0.35019166695973536</v>
      </c>
      <c r="H195" s="43">
        <f>tbl_scenarios[[#This Row],[net_margin_A]]-tbl_scenarios[[#This Row],[net_margin_pct]]</f>
        <v>-4.0000061162173084E-2</v>
      </c>
      <c r="I19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95" s="2">
        <f>tbl_raw[[#This Row],[gross_revenue]]-tbl_raw[[#This Row],[return_loss]]*(1+scn_B_returns_up/0.05)-tbl_raw[[#This Row],[cogs]]-(tbl_raw[[#This Row],[storage_cost]]+tbl_raw[[#This Row],[fulfillment_cost]]+tbl_raw[[#This Row],[freight_cost]])</f>
        <v>2546.15</v>
      </c>
      <c r="K195" s="42">
        <f>tbl_scenarios[[#This Row],[net_profit_B]]/tbl_raw[[#This Row],[gross_revenue]]</f>
        <v>0.38932016715621892</v>
      </c>
      <c r="L195" s="43">
        <f>tbl_scenarios[[#This Row],[net_margin_B]]-tbl_scenarios[[#This Row],[net_margin_pct]]</f>
        <v>-8.7156096568952179E-4</v>
      </c>
      <c r="M19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95" s="2">
        <f>tbl_raw[[#This Row],[gross_revenue]]*(1-scn_C_price_down)-tbl_raw[[#This Row],[return_loss]]-tbl_raw[[#This Row],[cogs]]-(tbl_raw[[#This Row],[storage_cost]]+tbl_raw[[#This Row],[fulfillment_cost]]+tbl_raw[[#This Row],[freight_cost]])</f>
        <v>2224.8505</v>
      </c>
      <c r="O195" s="42">
        <f>tbl_scenarios[[#This Row],[net_profit_C]]/(tbl_raw[[#This Row],[gross_revenue]]*(1-scn_C_price_down))</f>
        <v>0.35809655591779838</v>
      </c>
      <c r="P195" s="43">
        <f>tbl_scenarios[[#This Row],[net_margin_C]]-tbl_scenarios[[#This Row],[net_margin_pct]]</f>
        <v>-3.2095172204110067E-2</v>
      </c>
      <c r="Q19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9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96" spans="1:18" x14ac:dyDescent="0.35">
      <c r="A196" s="17" t="str">
        <f>tbl_raw[[#This Row],[product_id]]</f>
        <v>628f5ed6c14790dcb9233c8dbf596175</v>
      </c>
      <c r="B196" t="str">
        <f>tbl_raw[[#This Row],[category]]</f>
        <v>health_beauty</v>
      </c>
      <c r="C196" s="2">
        <f>tbl_profitability[[#This Row],[net_profit]]</f>
        <v>3336.55</v>
      </c>
      <c r="D196" s="42">
        <f>tbl_profitability[[#This Row],[net_margin_pct]]</f>
        <v>0.5112272180554811</v>
      </c>
      <c r="E196" s="49" t="str">
        <f>tbl_profitability[[#This Row],[decision]]</f>
        <v>OPTIMIZE</v>
      </c>
      <c r="F196" s="2">
        <f>tbl_raw[[#This Row],[gross_revenue]]-tbl_raw[[#This Row],[return_loss]]-tbl_raw[[#This Row],[cogs]]*(1+scn_A_cogs_up)-(tbl_raw[[#This Row],[storage_cost]]+tbl_raw[[#This Row],[fulfillment_cost]]+tbl_raw[[#This Row],[freight_cost]])</f>
        <v>3062.4350000000004</v>
      </c>
      <c r="G196" s="42">
        <f>tbl_scenarios[[#This Row],[net_profit_A]]/tbl_raw[[#This Row],[gross_revenue]]</f>
        <v>0.46922723337751188</v>
      </c>
      <c r="H196" s="43">
        <f>tbl_scenarios[[#This Row],[net_margin_A]]-tbl_scenarios[[#This Row],[net_margin_pct]]</f>
        <v>-4.1999984677969227E-2</v>
      </c>
      <c r="I19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96" s="2">
        <f>tbl_raw[[#This Row],[gross_revenue]]-tbl_raw[[#This Row],[return_loss]]*(1+scn_B_returns_up/0.05)-tbl_raw[[#This Row],[cogs]]-(tbl_raw[[#This Row],[storage_cost]]+tbl_raw[[#This Row],[fulfillment_cost]]+tbl_raw[[#This Row],[freight_cost]])</f>
        <v>3332.2299999999996</v>
      </c>
      <c r="K196" s="42">
        <f>tbl_scenarios[[#This Row],[net_profit_B]]/tbl_raw[[#This Row],[gross_revenue]]</f>
        <v>0.5105653063257003</v>
      </c>
      <c r="L196" s="43">
        <f>tbl_scenarios[[#This Row],[net_margin_B]]-tbl_scenarios[[#This Row],[net_margin_pct]]</f>
        <v>-6.6191172978080637E-4</v>
      </c>
      <c r="M19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196" s="2">
        <f>tbl_raw[[#This Row],[gross_revenue]]*(1-scn_C_price_down)-tbl_raw[[#This Row],[return_loss]]-tbl_raw[[#This Row],[cogs]]-(tbl_raw[[#This Row],[storage_cost]]+tbl_raw[[#This Row],[fulfillment_cost]]+tbl_raw[[#This Row],[freight_cost]])</f>
        <v>3010.2224999999999</v>
      </c>
      <c r="O196" s="42">
        <f>tbl_scenarios[[#This Row],[net_profit_C]]/(tbl_raw[[#This Row],[gross_revenue]]*(1-scn_C_price_down))</f>
        <v>0.48550233479524324</v>
      </c>
      <c r="P196" s="43">
        <f>tbl_scenarios[[#This Row],[net_margin_C]]-tbl_scenarios[[#This Row],[net_margin_pct]]</f>
        <v>-2.5724883260237863E-2</v>
      </c>
      <c r="Q19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9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97" spans="1:18" x14ac:dyDescent="0.35">
      <c r="A197" s="17" t="str">
        <f>tbl_raw[[#This Row],[product_id]]</f>
        <v>79c0ace2ccf0da036e787875a49151a4</v>
      </c>
      <c r="B197" t="str">
        <f>tbl_raw[[#This Row],[category]]</f>
        <v>kitchen_dining_laundry_garden_furniture</v>
      </c>
      <c r="C197" s="2">
        <f>tbl_profitability[[#This Row],[net_profit]]</f>
        <v>2012.1100000000001</v>
      </c>
      <c r="D197" s="42">
        <f>tbl_profitability[[#This Row],[net_margin_pct]]</f>
        <v>0.30898495085995087</v>
      </c>
      <c r="E197" s="49" t="str">
        <f>tbl_profitability[[#This Row],[decision]]</f>
        <v>SCALE</v>
      </c>
      <c r="F197" s="2">
        <f>tbl_raw[[#This Row],[gross_revenue]]-tbl_raw[[#This Row],[return_loss]]-tbl_raw[[#This Row],[cogs]]*(1+scn_A_cogs_up)-(tbl_raw[[#This Row],[storage_cost]]+tbl_raw[[#This Row],[fulfillment_cost]]+tbl_raw[[#This Row],[freight_cost]])</f>
        <v>1719.0699999999997</v>
      </c>
      <c r="G197" s="42">
        <f>tbl_scenarios[[#This Row],[net_profit_A]]/tbl_raw[[#This Row],[gross_revenue]]</f>
        <v>0.26398495085995083</v>
      </c>
      <c r="H197" s="43">
        <f>tbl_scenarios[[#This Row],[net_margin_A]]-tbl_scenarios[[#This Row],[net_margin_pct]]</f>
        <v>-4.500000000000004E-2</v>
      </c>
      <c r="I19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97" s="2">
        <f>tbl_raw[[#This Row],[gross_revenue]]-tbl_raw[[#This Row],[return_loss]]*(1+scn_B_returns_up/0.05)-tbl_raw[[#This Row],[cogs]]-(tbl_raw[[#This Row],[storage_cost]]+tbl_raw[[#This Row],[fulfillment_cost]]+tbl_raw[[#This Row],[freight_cost]])</f>
        <v>2005.9900000000002</v>
      </c>
      <c r="K197" s="42">
        <f>tbl_scenarios[[#This Row],[net_profit_B]]/tbl_raw[[#This Row],[gross_revenue]]</f>
        <v>0.30804514742014744</v>
      </c>
      <c r="L197" s="43">
        <f>tbl_scenarios[[#This Row],[net_margin_B]]-tbl_scenarios[[#This Row],[net_margin_pct]]</f>
        <v>-9.3980343980343273E-4</v>
      </c>
      <c r="M19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97" s="2">
        <f>tbl_raw[[#This Row],[gross_revenue]]*(1-scn_C_price_down)-tbl_raw[[#This Row],[return_loss]]-tbl_raw[[#This Row],[cogs]]-(tbl_raw[[#This Row],[storage_cost]]+tbl_raw[[#This Row],[fulfillment_cost]]+tbl_raw[[#This Row],[freight_cost]])</f>
        <v>1686.5099999999998</v>
      </c>
      <c r="O197" s="42">
        <f>tbl_scenarios[[#This Row],[net_profit_C]]/(tbl_raw[[#This Row],[gross_revenue]]*(1-scn_C_price_down))</f>
        <v>0.27261573774731668</v>
      </c>
      <c r="P197" s="43">
        <f>tbl_scenarios[[#This Row],[net_margin_C]]-tbl_scenarios[[#This Row],[net_margin_pct]]</f>
        <v>-3.6369213112634191E-2</v>
      </c>
      <c r="Q19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9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198" spans="1:18" x14ac:dyDescent="0.35">
      <c r="A198" s="17" t="str">
        <f>tbl_raw[[#This Row],[product_id]]</f>
        <v>3354a4e684f5e7199f9407db70ccd92b</v>
      </c>
      <c r="B198" t="str">
        <f>tbl_raw[[#This Row],[category]]</f>
        <v>cool_stuff</v>
      </c>
      <c r="C198" s="2">
        <f>tbl_profitability[[#This Row],[net_profit]]</f>
        <v>1863.9999999999998</v>
      </c>
      <c r="D198" s="42">
        <f>tbl_profitability[[#This Row],[net_margin_pct]]</f>
        <v>0.28636039623429932</v>
      </c>
      <c r="E198" s="49" t="str">
        <f>tbl_profitability[[#This Row],[decision]]</f>
        <v>SCALE</v>
      </c>
      <c r="F198" s="2">
        <f>tbl_raw[[#This Row],[gross_revenue]]-tbl_raw[[#This Row],[return_loss]]-tbl_raw[[#This Row],[cogs]]*(1+scn_A_cogs_up)-(tbl_raw[[#This Row],[storage_cost]]+tbl_raw[[#This Row],[fulfillment_cost]]+tbl_raw[[#This Row],[freight_cost]])</f>
        <v>1571.0819999999997</v>
      </c>
      <c r="G198" s="42">
        <f>tbl_scenarios[[#This Row],[net_profit_A]]/tbl_raw[[#This Row],[gross_revenue]]</f>
        <v>0.2413603347835705</v>
      </c>
      <c r="H198" s="43">
        <f>tbl_scenarios[[#This Row],[net_margin_A]]-tbl_scenarios[[#This Row],[net_margin_pct]]</f>
        <v>-4.5000061450728823E-2</v>
      </c>
      <c r="I19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198" s="2">
        <f>tbl_raw[[#This Row],[gross_revenue]]-tbl_raw[[#This Row],[return_loss]]*(1+scn_B_returns_up/0.05)-tbl_raw[[#This Row],[cogs]]-(tbl_raw[[#This Row],[storage_cost]]+tbl_raw[[#This Row],[fulfillment_cost]]+tbl_raw[[#This Row],[freight_cost]])</f>
        <v>1838.0799999999997</v>
      </c>
      <c r="K198" s="42">
        <f>tbl_scenarios[[#This Row],[net_profit_B]]/tbl_raw[[#This Row],[gross_revenue]]</f>
        <v>0.28237838900769358</v>
      </c>
      <c r="L198" s="43">
        <f>tbl_scenarios[[#This Row],[net_margin_B]]-tbl_scenarios[[#This Row],[net_margin_pct]]</f>
        <v>-3.9820072266057438E-3</v>
      </c>
      <c r="M19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98" s="2">
        <f>tbl_raw[[#This Row],[gross_revenue]]*(1-scn_C_price_down)-tbl_raw[[#This Row],[return_loss]]-tbl_raw[[#This Row],[cogs]]-(tbl_raw[[#This Row],[storage_cost]]+tbl_raw[[#This Row],[fulfillment_cost]]+tbl_raw[[#This Row],[freight_cost]])</f>
        <v>1538.5359999999998</v>
      </c>
      <c r="O198" s="42">
        <f>tbl_scenarios[[#This Row],[net_profit_C]]/(tbl_raw[[#This Row],[gross_revenue]]*(1-scn_C_price_down))</f>
        <v>0.24880041708873613</v>
      </c>
      <c r="P198" s="43">
        <f>tbl_scenarios[[#This Row],[net_margin_C]]-tbl_scenarios[[#This Row],[net_margin_pct]]</f>
        <v>-3.7559979145563194E-2</v>
      </c>
      <c r="Q19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19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199" spans="1:18" x14ac:dyDescent="0.35">
      <c r="A199" s="17" t="str">
        <f>tbl_raw[[#This Row],[product_id]]</f>
        <v>1bdf5e6731585cf01aa8169c7028d6ad</v>
      </c>
      <c r="B199" t="str">
        <f>tbl_raw[[#This Row],[category]]</f>
        <v>art</v>
      </c>
      <c r="C199" s="2">
        <f>tbl_profitability[[#This Row],[net_profit]]</f>
        <v>3666.3800000000006</v>
      </c>
      <c r="D199" s="42">
        <f>tbl_profitability[[#This Row],[net_margin_pct]]</f>
        <v>0.56414525311586405</v>
      </c>
      <c r="E199" s="49" t="str">
        <f>tbl_profitability[[#This Row],[decision]]</f>
        <v>SCALE</v>
      </c>
      <c r="F199" s="2">
        <f>tbl_raw[[#This Row],[gross_revenue]]-tbl_raw[[#This Row],[return_loss]]-tbl_raw[[#This Row],[cogs]]*(1+scn_A_cogs_up)-(tbl_raw[[#This Row],[storage_cost]]+tbl_raw[[#This Row],[fulfillment_cost]]+tbl_raw[[#This Row],[freight_cost]])</f>
        <v>3406.4200000000005</v>
      </c>
      <c r="G199" s="42">
        <f>tbl_scenarios[[#This Row],[net_profit_A]]/tbl_raw[[#This Row],[gross_revenue]]</f>
        <v>0.52414525311586402</v>
      </c>
      <c r="H199" s="43">
        <f>tbl_scenarios[[#This Row],[net_margin_A]]-tbl_scenarios[[#This Row],[net_margin_pct]]</f>
        <v>-4.0000000000000036E-2</v>
      </c>
      <c r="I19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199" s="2">
        <f>tbl_raw[[#This Row],[gross_revenue]]-tbl_raw[[#This Row],[return_loss]]*(1+scn_B_returns_up/0.05)-tbl_raw[[#This Row],[cogs]]-(tbl_raw[[#This Row],[storage_cost]]+tbl_raw[[#This Row],[fulfillment_cost]]+tbl_raw[[#This Row],[freight_cost]])</f>
        <v>3666.02</v>
      </c>
      <c r="K199" s="42">
        <f>tbl_scenarios[[#This Row],[net_profit_B]]/tbl_raw[[#This Row],[gross_revenue]]</f>
        <v>0.56408985997845817</v>
      </c>
      <c r="L199" s="43">
        <f>tbl_scenarios[[#This Row],[net_margin_B]]-tbl_scenarios[[#This Row],[net_margin_pct]]</f>
        <v>-5.5393137405879145E-5</v>
      </c>
      <c r="M19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199" s="2">
        <f>tbl_raw[[#This Row],[gross_revenue]]*(1-scn_C_price_down)-tbl_raw[[#This Row],[return_loss]]-tbl_raw[[#This Row],[cogs]]-(tbl_raw[[#This Row],[storage_cost]]+tbl_raw[[#This Row],[fulfillment_cost]]+tbl_raw[[#This Row],[freight_cost]])</f>
        <v>3341.43</v>
      </c>
      <c r="O199" s="42">
        <f>tbl_scenarios[[#This Row],[net_profit_C]]/(tbl_raw[[#This Row],[gross_revenue]]*(1-scn_C_price_down))</f>
        <v>0.54120552959564638</v>
      </c>
      <c r="P199" s="43">
        <f>tbl_scenarios[[#This Row],[net_margin_C]]-tbl_scenarios[[#This Row],[net_margin_pct]]</f>
        <v>-2.293972352021767E-2</v>
      </c>
      <c r="Q19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19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00" spans="1:18" x14ac:dyDescent="0.35">
      <c r="A200" s="17" t="str">
        <f>tbl_raw[[#This Row],[product_id]]</f>
        <v>89f59eee27a6a49b9f0d887136c71cd4</v>
      </c>
      <c r="B200" t="str">
        <f>tbl_raw[[#This Row],[category]]</f>
        <v>health_beauty</v>
      </c>
      <c r="C200" s="2">
        <f>tbl_profitability[[#This Row],[net_profit]]</f>
        <v>3620.89</v>
      </c>
      <c r="D200" s="42">
        <f>tbl_profitability[[#This Row],[net_margin_pct]]</f>
        <v>0.55721001808179127</v>
      </c>
      <c r="E200" s="49" t="str">
        <f>tbl_profitability[[#This Row],[decision]]</f>
        <v>SCALE</v>
      </c>
      <c r="F200" s="2">
        <f>tbl_raw[[#This Row],[gross_revenue]]-tbl_raw[[#This Row],[return_loss]]-tbl_raw[[#This Row],[cogs]]*(1+scn_A_cogs_up)-(tbl_raw[[#This Row],[storage_cost]]+tbl_raw[[#This Row],[fulfillment_cost]]+tbl_raw[[#This Row],[freight_cost]])</f>
        <v>3347.9629999999997</v>
      </c>
      <c r="G200" s="42">
        <f>tbl_scenarios[[#This Row],[net_profit_A]]/tbl_raw[[#This Row],[gross_revenue]]</f>
        <v>0.51520994113799867</v>
      </c>
      <c r="H200" s="43">
        <f>tbl_scenarios[[#This Row],[net_margin_A]]-tbl_scenarios[[#This Row],[net_margin_pct]]</f>
        <v>-4.2000076943792597E-2</v>
      </c>
      <c r="I20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00" s="2">
        <f>tbl_raw[[#This Row],[gross_revenue]]-tbl_raw[[#This Row],[return_loss]]*(1+scn_B_returns_up/0.05)-tbl_raw[[#This Row],[cogs]]-(tbl_raw[[#This Row],[storage_cost]]+tbl_raw[[#This Row],[fulfillment_cost]]+tbl_raw[[#This Row],[freight_cost]])</f>
        <v>3619.0899999999997</v>
      </c>
      <c r="K200" s="42">
        <f>tbl_scenarios[[#This Row],[net_profit_B]]/tbl_raw[[#This Row],[gross_revenue]]</f>
        <v>0.55693302042857684</v>
      </c>
      <c r="L200" s="43">
        <f>tbl_scenarios[[#This Row],[net_margin_B]]-tbl_scenarios[[#This Row],[net_margin_pct]]</f>
        <v>-2.7699765321442804E-4</v>
      </c>
      <c r="M20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00" s="2">
        <f>tbl_raw[[#This Row],[gross_revenue]]*(1-scn_C_price_down)-tbl_raw[[#This Row],[return_loss]]-tbl_raw[[#This Row],[cogs]]-(tbl_raw[[#This Row],[storage_cost]]+tbl_raw[[#This Row],[fulfillment_cost]]+tbl_raw[[#This Row],[freight_cost]])</f>
        <v>3295.9774999999995</v>
      </c>
      <c r="O200" s="42">
        <f>tbl_scenarios[[#This Row],[net_profit_C]]/(tbl_raw[[#This Row],[gross_revenue]]*(1-scn_C_price_down))</f>
        <v>0.53390528219135913</v>
      </c>
      <c r="P200" s="43">
        <f>tbl_scenarios[[#This Row],[net_margin_C]]-tbl_scenarios[[#This Row],[net_margin_pct]]</f>
        <v>-2.3304735890432138E-2</v>
      </c>
      <c r="Q20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0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01" spans="1:18" x14ac:dyDescent="0.35">
      <c r="A201" s="17" t="str">
        <f>tbl_raw[[#This Row],[product_id]]</f>
        <v>fe01b643060a6446e59f58e3021e66b3</v>
      </c>
      <c r="B201" t="str">
        <f>tbl_raw[[#This Row],[category]]</f>
        <v>perfumery</v>
      </c>
      <c r="C201" s="2">
        <f>tbl_profitability[[#This Row],[net_profit]]</f>
        <v>1797.8799999999999</v>
      </c>
      <c r="D201" s="42">
        <f>tbl_profitability[[#This Row],[net_margin_pct]]</f>
        <v>0.27836992537082339</v>
      </c>
      <c r="E201" s="49" t="str">
        <f>tbl_profitability[[#This Row],[decision]]</f>
        <v>SCALE</v>
      </c>
      <c r="F201" s="2">
        <f>tbl_raw[[#This Row],[gross_revenue]]-tbl_raw[[#This Row],[return_loss]]-tbl_raw[[#This Row],[cogs]]*(1+scn_A_cogs_up)-(tbl_raw[[#This Row],[storage_cost]]+tbl_raw[[#This Row],[fulfillment_cost]]+tbl_raw[[#This Row],[freight_cost]])</f>
        <v>1526.6189999999995</v>
      </c>
      <c r="G201" s="42">
        <f>tbl_scenarios[[#This Row],[net_profit_A]]/tbl_raw[[#This Row],[gross_revenue]]</f>
        <v>0.23636995633728664</v>
      </c>
      <c r="H201" s="43">
        <f>tbl_scenarios[[#This Row],[net_margin_A]]-tbl_scenarios[[#This Row],[net_margin_pct]]</f>
        <v>-4.1999969033536755E-2</v>
      </c>
      <c r="I20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01" s="2">
        <f>tbl_raw[[#This Row],[gross_revenue]]-tbl_raw[[#This Row],[return_loss]]*(1+scn_B_returns_up/0.05)-tbl_raw[[#This Row],[cogs]]-(tbl_raw[[#This Row],[storage_cost]]+tbl_raw[[#This Row],[fulfillment_cost]]+tbl_raw[[#This Row],[freight_cost]])</f>
        <v>1781.3200000000004</v>
      </c>
      <c r="K201" s="42">
        <f>tbl_scenarios[[#This Row],[net_profit_B]]/tbl_raw[[#This Row],[gross_revenue]]</f>
        <v>0.2758059022079089</v>
      </c>
      <c r="L201" s="43">
        <f>tbl_scenarios[[#This Row],[net_margin_B]]-tbl_scenarios[[#This Row],[net_margin_pct]]</f>
        <v>-2.5640231629144861E-3</v>
      </c>
      <c r="M20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01" s="2">
        <f>tbl_raw[[#This Row],[gross_revenue]]*(1-scn_C_price_down)-tbl_raw[[#This Row],[return_loss]]-tbl_raw[[#This Row],[cogs]]-(tbl_raw[[#This Row],[storage_cost]]+tbl_raw[[#This Row],[fulfillment_cost]]+tbl_raw[[#This Row],[freight_cost]])</f>
        <v>1474.9499999999996</v>
      </c>
      <c r="O201" s="42">
        <f>tbl_scenarios[[#This Row],[net_profit_C]]/(tbl_raw[[#This Row],[gross_revenue]]*(1-scn_C_price_down))</f>
        <v>0.24038939512718246</v>
      </c>
      <c r="P201" s="43">
        <f>tbl_scenarios[[#This Row],[net_margin_C]]-tbl_scenarios[[#This Row],[net_margin_pct]]</f>
        <v>-3.7980530243640925E-2</v>
      </c>
      <c r="Q20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0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202" spans="1:18" x14ac:dyDescent="0.35">
      <c r="A202" s="17" t="str">
        <f>tbl_raw[[#This Row],[product_id]]</f>
        <v>781afe929e3016a667f5f439afd55fce</v>
      </c>
      <c r="B202" t="str">
        <f>tbl_raw[[#This Row],[category]]</f>
        <v>sports_leisure</v>
      </c>
      <c r="C202" s="2">
        <f>tbl_profitability[[#This Row],[net_profit]]</f>
        <v>2359.06</v>
      </c>
      <c r="D202" s="42">
        <f>tbl_profitability[[#This Row],[net_margin_pct]]</f>
        <v>0.36764380444776912</v>
      </c>
      <c r="E202" s="49" t="str">
        <f>tbl_profitability[[#This Row],[decision]]</f>
        <v>SCALE</v>
      </c>
      <c r="F202" s="2">
        <f>tbl_raw[[#This Row],[gross_revenue]]-tbl_raw[[#This Row],[return_loss]]-tbl_raw[[#This Row],[cogs]]*(1+scn_A_cogs_up)-(tbl_raw[[#This Row],[storage_cost]]+tbl_raw[[#This Row],[fulfillment_cost]]+tbl_raw[[#This Row],[freight_cost]])</f>
        <v>2089.5589999999997</v>
      </c>
      <c r="G202" s="42">
        <f>tbl_scenarios[[#This Row],[net_profit_A]]/tbl_raw[[#This Row],[gross_revenue]]</f>
        <v>0.32564386678510759</v>
      </c>
      <c r="H202" s="43">
        <f>tbl_scenarios[[#This Row],[net_margin_A]]-tbl_scenarios[[#This Row],[net_margin_pct]]</f>
        <v>-4.1999937662661524E-2</v>
      </c>
      <c r="I20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02" s="2">
        <f>tbl_raw[[#This Row],[gross_revenue]]-tbl_raw[[#This Row],[return_loss]]*(1+scn_B_returns_up/0.05)-tbl_raw[[#This Row],[cogs]]-(tbl_raw[[#This Row],[storage_cost]]+tbl_raw[[#This Row],[fulfillment_cost]]+tbl_raw[[#This Row],[freight_cost]])</f>
        <v>2337.8200000000002</v>
      </c>
      <c r="K202" s="42">
        <f>tbl_scenarios[[#This Row],[net_profit_B]]/tbl_raw[[#This Row],[gross_revenue]]</f>
        <v>0.36433369177302977</v>
      </c>
      <c r="L202" s="43">
        <f>tbl_scenarios[[#This Row],[net_margin_B]]-tbl_scenarios[[#This Row],[net_margin_pct]]</f>
        <v>-3.3101126747393517E-3</v>
      </c>
      <c r="M20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02" s="2">
        <f>tbl_raw[[#This Row],[gross_revenue]]*(1-scn_C_price_down)-tbl_raw[[#This Row],[return_loss]]-tbl_raw[[#This Row],[cogs]]-(tbl_raw[[#This Row],[storage_cost]]+tbl_raw[[#This Row],[fulfillment_cost]]+tbl_raw[[#This Row],[freight_cost]])</f>
        <v>2038.2249999999999</v>
      </c>
      <c r="O202" s="42">
        <f>tbl_scenarios[[#This Row],[net_profit_C]]/(tbl_raw[[#This Row],[gross_revenue]]*(1-scn_C_price_down))</f>
        <v>0.33436189941870431</v>
      </c>
      <c r="P202" s="43">
        <f>tbl_scenarios[[#This Row],[net_margin_C]]-tbl_scenarios[[#This Row],[net_margin_pct]]</f>
        <v>-3.3281905029064807E-2</v>
      </c>
      <c r="Q20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0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03" spans="1:18" x14ac:dyDescent="0.35">
      <c r="A203" s="17" t="str">
        <f>tbl_raw[[#This Row],[product_id]]</f>
        <v>b3bcd6f54c943fecf8f51e0b988e5cc9</v>
      </c>
      <c r="B203" t="str">
        <f>tbl_raw[[#This Row],[category]]</f>
        <v>health_beauty</v>
      </c>
      <c r="C203" s="2">
        <f>tbl_profitability[[#This Row],[net_profit]]</f>
        <v>3474.56</v>
      </c>
      <c r="D203" s="42">
        <f>tbl_profitability[[#This Row],[net_margin_pct]]</f>
        <v>0.54372833613708382</v>
      </c>
      <c r="E203" s="49" t="str">
        <f>tbl_profitability[[#This Row],[decision]]</f>
        <v>SCALE</v>
      </c>
      <c r="F203" s="2">
        <f>tbl_raw[[#This Row],[gross_revenue]]-tbl_raw[[#This Row],[return_loss]]-tbl_raw[[#This Row],[cogs]]*(1+scn_A_cogs_up)-(tbl_raw[[#This Row],[storage_cost]]+tbl_raw[[#This Row],[fulfillment_cost]]+tbl_raw[[#This Row],[freight_cost]])</f>
        <v>3206.1689999999999</v>
      </c>
      <c r="G203" s="42">
        <f>tbl_scenarios[[#This Row],[net_profit_A]]/tbl_raw[[#This Row],[gross_revenue]]</f>
        <v>0.50172825789288367</v>
      </c>
      <c r="H203" s="43">
        <f>tbl_scenarios[[#This Row],[net_margin_A]]-tbl_scenarios[[#This Row],[net_margin_pct]]</f>
        <v>-4.2000078244200156E-2</v>
      </c>
      <c r="I20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03" s="2">
        <f>tbl_raw[[#This Row],[gross_revenue]]-tbl_raw[[#This Row],[return_loss]]*(1+scn_B_returns_up/0.05)-tbl_raw[[#This Row],[cogs]]-(tbl_raw[[#This Row],[storage_cost]]+tbl_raw[[#This Row],[fulfillment_cost]]+tbl_raw[[#This Row],[freight_cost]])</f>
        <v>3472.7599999999998</v>
      </c>
      <c r="K203" s="42">
        <f>tbl_scenarios[[#This Row],[net_profit_B]]/tbl_raw[[#This Row],[gross_revenue]]</f>
        <v>0.5434466570165486</v>
      </c>
      <c r="L203" s="43">
        <f>tbl_scenarios[[#This Row],[net_margin_B]]-tbl_scenarios[[#This Row],[net_margin_pct]]</f>
        <v>-2.8167912053522759E-4</v>
      </c>
      <c r="M20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03" s="2">
        <f>tbl_raw[[#This Row],[gross_revenue]]*(1-scn_C_price_down)-tbl_raw[[#This Row],[return_loss]]-tbl_raw[[#This Row],[cogs]]-(tbl_raw[[#This Row],[storage_cost]]+tbl_raw[[#This Row],[fulfillment_cost]]+tbl_raw[[#This Row],[freight_cost]])</f>
        <v>3155.0474999999992</v>
      </c>
      <c r="O203" s="42">
        <f>tbl_scenarios[[#This Row],[net_profit_C]]/(tbl_raw[[#This Row],[gross_revenue]]*(1-scn_C_price_down))</f>
        <v>0.5197140380390356</v>
      </c>
      <c r="P203" s="43">
        <f>tbl_scenarios[[#This Row],[net_margin_C]]-tbl_scenarios[[#This Row],[net_margin_pct]]</f>
        <v>-2.4014298098048226E-2</v>
      </c>
      <c r="Q20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0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04" spans="1:18" x14ac:dyDescent="0.35">
      <c r="A204" s="17" t="str">
        <f>tbl_raw[[#This Row],[product_id]]</f>
        <v>7612afaa8218e79b3011243ed9edea9c</v>
      </c>
      <c r="B204" t="str">
        <f>tbl_raw[[#This Row],[category]]</f>
        <v>sports_leisure</v>
      </c>
      <c r="C204" s="2">
        <f>tbl_profitability[[#This Row],[net_profit]]</f>
        <v>2658.4400000000005</v>
      </c>
      <c r="D204" s="42">
        <f>tbl_profitability[[#This Row],[net_margin_pct]]</f>
        <v>0.41670951156812347</v>
      </c>
      <c r="E204" s="49" t="str">
        <f>tbl_profitability[[#This Row],[decision]]</f>
        <v>OPTIMIZE</v>
      </c>
      <c r="F204" s="2">
        <f>tbl_raw[[#This Row],[gross_revenue]]-tbl_raw[[#This Row],[return_loss]]-tbl_raw[[#This Row],[cogs]]*(1+scn_A_cogs_up)-(tbl_raw[[#This Row],[storage_cost]]+tbl_raw[[#This Row],[fulfillment_cost]]+tbl_raw[[#This Row],[freight_cost]])</f>
        <v>2390.4970000000003</v>
      </c>
      <c r="G204" s="42">
        <f>tbl_scenarios[[#This Row],[net_profit_A]]/tbl_raw[[#This Row],[gross_revenue]]</f>
        <v>0.37470954291805131</v>
      </c>
      <c r="H204" s="43">
        <f>tbl_scenarios[[#This Row],[net_margin_A]]-tbl_scenarios[[#This Row],[net_margin_pct]]</f>
        <v>-4.1999968650072161E-2</v>
      </c>
      <c r="I20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04" s="2">
        <f>tbl_raw[[#This Row],[gross_revenue]]-tbl_raw[[#This Row],[return_loss]]*(1+scn_B_returns_up/0.05)-tbl_raw[[#This Row],[cogs]]-(tbl_raw[[#This Row],[storage_cost]]+tbl_raw[[#This Row],[fulfillment_cost]]+tbl_raw[[#This Row],[freight_cost]])</f>
        <v>2652.6800000000003</v>
      </c>
      <c r="K204" s="42">
        <f>tbl_scenarios[[#This Row],[net_profit_B]]/tbl_raw[[#This Row],[gross_revenue]]</f>
        <v>0.41580663364474263</v>
      </c>
      <c r="L204" s="43">
        <f>tbl_scenarios[[#This Row],[net_margin_B]]-tbl_scenarios[[#This Row],[net_margin_pct]]</f>
        <v>-9.0287792338084039E-4</v>
      </c>
      <c r="M204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04" s="2">
        <f>tbl_raw[[#This Row],[gross_revenue]]*(1-scn_C_price_down)-tbl_raw[[#This Row],[return_loss]]-tbl_raw[[#This Row],[cogs]]-(tbl_raw[[#This Row],[storage_cost]]+tbl_raw[[#This Row],[fulfillment_cost]]+tbl_raw[[#This Row],[freight_cost]])</f>
        <v>2339.46</v>
      </c>
      <c r="O204" s="42">
        <f>tbl_scenarios[[#This Row],[net_profit_C]]/(tbl_raw[[#This Row],[gross_revenue]]*(1-scn_C_price_down))</f>
        <v>0.38601001217697201</v>
      </c>
      <c r="P204" s="43">
        <f>tbl_scenarios[[#This Row],[net_margin_C]]-tbl_scenarios[[#This Row],[net_margin_pct]]</f>
        <v>-3.0699499391151464E-2</v>
      </c>
      <c r="Q20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0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05" spans="1:18" x14ac:dyDescent="0.35">
      <c r="A205" s="17" t="str">
        <f>tbl_raw[[#This Row],[product_id]]</f>
        <v>15859e3a8aaa3c192c10a91d8722abd5</v>
      </c>
      <c r="B205" t="str">
        <f>tbl_raw[[#This Row],[category]]</f>
        <v>health_beauty</v>
      </c>
      <c r="C205" s="2">
        <f>tbl_profitability[[#This Row],[net_profit]]</f>
        <v>3179.77</v>
      </c>
      <c r="D205" s="42">
        <f>tbl_profitability[[#This Row],[net_margin_pct]]</f>
        <v>0.50010694884385154</v>
      </c>
      <c r="E205" s="49" t="str">
        <f>tbl_profitability[[#This Row],[decision]]</f>
        <v>OPTIMIZE</v>
      </c>
      <c r="F205" s="2">
        <f>tbl_raw[[#This Row],[gross_revenue]]-tbl_raw[[#This Row],[return_loss]]-tbl_raw[[#This Row],[cogs]]*(1+scn_A_cogs_up)-(tbl_raw[[#This Row],[storage_cost]]+tbl_raw[[#This Row],[fulfillment_cost]]+tbl_raw[[#This Row],[freight_cost]])</f>
        <v>2912.7259999999997</v>
      </c>
      <c r="G205" s="42">
        <f>tbl_scenarios[[#This Row],[net_profit_A]]/tbl_raw[[#This Row],[gross_revenue]]</f>
        <v>0.45810687964165836</v>
      </c>
      <c r="H205" s="43">
        <f>tbl_scenarios[[#This Row],[net_margin_A]]-tbl_scenarios[[#This Row],[net_margin_pct]]</f>
        <v>-4.200006920219318E-2</v>
      </c>
      <c r="I205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05" s="2">
        <f>tbl_raw[[#This Row],[gross_revenue]]-tbl_raw[[#This Row],[return_loss]]*(1+scn_B_returns_up/0.05)-tbl_raw[[#This Row],[cogs]]-(tbl_raw[[#This Row],[storage_cost]]+tbl_raw[[#This Row],[fulfillment_cost]]+tbl_raw[[#This Row],[freight_cost]])</f>
        <v>3172.2100000000005</v>
      </c>
      <c r="K205" s="42">
        <f>tbl_scenarios[[#This Row],[net_profit_B]]/tbl_raw[[#This Row],[gross_revenue]]</f>
        <v>0.49891792934456092</v>
      </c>
      <c r="L205" s="43">
        <f>tbl_scenarios[[#This Row],[net_margin_B]]-tbl_scenarios[[#This Row],[net_margin_pct]]</f>
        <v>-1.1890194992906222E-3</v>
      </c>
      <c r="M205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05" s="2">
        <f>tbl_raw[[#This Row],[gross_revenue]]*(1-scn_C_price_down)-tbl_raw[[#This Row],[return_loss]]-tbl_raw[[#This Row],[cogs]]-(tbl_raw[[#This Row],[storage_cost]]+tbl_raw[[#This Row],[fulfillment_cost]]+tbl_raw[[#This Row],[freight_cost]])</f>
        <v>2861.8609999999994</v>
      </c>
      <c r="O205" s="42">
        <f>tbl_scenarios[[#This Row],[net_profit_C]]/(tbl_raw[[#This Row],[gross_revenue]]*(1-scn_C_price_down))</f>
        <v>0.47379678825668575</v>
      </c>
      <c r="P205" s="43">
        <f>tbl_scenarios[[#This Row],[net_margin_C]]-tbl_scenarios[[#This Row],[net_margin_pct]]</f>
        <v>-2.6310160587165787E-2</v>
      </c>
      <c r="Q205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0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06" spans="1:18" x14ac:dyDescent="0.35">
      <c r="A206" s="17" t="str">
        <f>tbl_raw[[#This Row],[product_id]]</f>
        <v>6a162a899a815ed15db1689e8efc976c</v>
      </c>
      <c r="B206" t="str">
        <f>tbl_raw[[#This Row],[category]]</f>
        <v>cool_stuff</v>
      </c>
      <c r="C206" s="2">
        <f>tbl_profitability[[#This Row],[net_profit]]</f>
        <v>3215.2599999999993</v>
      </c>
      <c r="D206" s="42">
        <f>tbl_profitability[[#This Row],[net_margin_pct]]</f>
        <v>0.5064199086470309</v>
      </c>
      <c r="E206" s="49" t="str">
        <f>tbl_profitability[[#This Row],[decision]]</f>
        <v>OPTIMIZE</v>
      </c>
      <c r="F206" s="2">
        <f>tbl_raw[[#This Row],[gross_revenue]]-tbl_raw[[#This Row],[return_loss]]-tbl_raw[[#This Row],[cogs]]*(1+scn_A_cogs_up)-(tbl_raw[[#This Row],[storage_cost]]+tbl_raw[[#This Row],[fulfillment_cost]]+tbl_raw[[#This Row],[freight_cost]])</f>
        <v>2929.5549999999989</v>
      </c>
      <c r="G206" s="42">
        <f>tbl_scenarios[[#This Row],[net_profit_A]]/tbl_raw[[#This Row],[gross_revenue]]</f>
        <v>0.46141990864703086</v>
      </c>
      <c r="H206" s="43">
        <f>tbl_scenarios[[#This Row],[net_margin_A]]-tbl_scenarios[[#This Row],[net_margin_pct]]</f>
        <v>-4.500000000000004E-2</v>
      </c>
      <c r="I20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06" s="2">
        <f>tbl_raw[[#This Row],[gross_revenue]]-tbl_raw[[#This Row],[return_loss]]*(1+scn_B_returns_up/0.05)-tbl_raw[[#This Row],[cogs]]-(tbl_raw[[#This Row],[storage_cost]]+tbl_raw[[#This Row],[fulfillment_cost]]+tbl_raw[[#This Row],[freight_cost]])</f>
        <v>3211.66</v>
      </c>
      <c r="K206" s="42">
        <f>tbl_scenarios[[#This Row],[net_profit_B]]/tbl_raw[[#This Row],[gross_revenue]]</f>
        <v>0.50585289021893209</v>
      </c>
      <c r="L206" s="43">
        <f>tbl_scenarios[[#This Row],[net_margin_B]]-tbl_scenarios[[#This Row],[net_margin_pct]]</f>
        <v>-5.6701842809880887E-4</v>
      </c>
      <c r="M20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06" s="2">
        <f>tbl_raw[[#This Row],[gross_revenue]]*(1-scn_C_price_down)-tbl_raw[[#This Row],[return_loss]]-tbl_raw[[#This Row],[cogs]]-(tbl_raw[[#This Row],[storage_cost]]+tbl_raw[[#This Row],[fulfillment_cost]]+tbl_raw[[#This Row],[freight_cost]])</f>
        <v>2897.8099999999986</v>
      </c>
      <c r="O206" s="42">
        <f>tbl_scenarios[[#This Row],[net_profit_C]]/(tbl_raw[[#This Row],[gross_revenue]]*(1-scn_C_price_down))</f>
        <v>0.48044200910213775</v>
      </c>
      <c r="P206" s="43">
        <f>tbl_scenarios[[#This Row],[net_margin_C]]-tbl_scenarios[[#This Row],[net_margin_pct]]</f>
        <v>-2.5977899544893157E-2</v>
      </c>
      <c r="Q20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0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07" spans="1:18" x14ac:dyDescent="0.35">
      <c r="A207" s="17" t="str">
        <f>tbl_raw[[#This Row],[product_id]]</f>
        <v>23ed7a10a36c6f88a757a9c83df9ea20</v>
      </c>
      <c r="B207" t="str">
        <f>tbl_raw[[#This Row],[category]]</f>
        <v>perfumery</v>
      </c>
      <c r="C207" s="2">
        <f>tbl_profitability[[#This Row],[net_profit]]</f>
        <v>3311.1200000000008</v>
      </c>
      <c r="D207" s="42">
        <f>tbl_profitability[[#This Row],[net_margin_pct]]</f>
        <v>0.52155120814037748</v>
      </c>
      <c r="E207" s="49" t="str">
        <f>tbl_profitability[[#This Row],[decision]]</f>
        <v>SCALE</v>
      </c>
      <c r="F207" s="2">
        <f>tbl_raw[[#This Row],[gross_revenue]]-tbl_raw[[#This Row],[return_loss]]-tbl_raw[[#This Row],[cogs]]*(1+scn_A_cogs_up)-(tbl_raw[[#This Row],[storage_cost]]+tbl_raw[[#This Row],[fulfillment_cost]]+tbl_raw[[#This Row],[freight_cost]])</f>
        <v>3044.4790000000003</v>
      </c>
      <c r="G207" s="42">
        <f>tbl_scenarios[[#This Row],[net_profit_A]]/tbl_raw[[#This Row],[gross_revenue]]</f>
        <v>0.47955123964338597</v>
      </c>
      <c r="H207" s="43">
        <f>tbl_scenarios[[#This Row],[net_margin_A]]-tbl_scenarios[[#This Row],[net_margin_pct]]</f>
        <v>-4.1999968496991502E-2</v>
      </c>
      <c r="I20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07" s="2">
        <f>tbl_raw[[#This Row],[gross_revenue]]-tbl_raw[[#This Row],[return_loss]]*(1+scn_B_returns_up/0.05)-tbl_raw[[#This Row],[cogs]]-(tbl_raw[[#This Row],[storage_cost]]+tbl_raw[[#This Row],[fulfillment_cost]]+tbl_raw[[#This Row],[freight_cost]])</f>
        <v>3306.0800000000008</v>
      </c>
      <c r="K207" s="42">
        <f>tbl_scenarios[[#This Row],[net_profit_B]]/tbl_raw[[#This Row],[gross_revenue]]</f>
        <v>0.52075733232523713</v>
      </c>
      <c r="L207" s="43">
        <f>tbl_scenarios[[#This Row],[net_margin_B]]-tbl_scenarios[[#This Row],[net_margin_pct]]</f>
        <v>-7.9387581514034355E-4</v>
      </c>
      <c r="M20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07" s="2">
        <f>tbl_raw[[#This Row],[gross_revenue]]*(1-scn_C_price_down)-tbl_raw[[#This Row],[return_loss]]-tbl_raw[[#This Row],[cogs]]-(tbl_raw[[#This Row],[storage_cost]]+tbl_raw[[#This Row],[fulfillment_cost]]+tbl_raw[[#This Row],[freight_cost]])</f>
        <v>2993.6900000000005</v>
      </c>
      <c r="O207" s="42">
        <f>tbl_scenarios[[#This Row],[net_profit_C]]/(tbl_raw[[#This Row],[gross_revenue]]*(1-scn_C_price_down))</f>
        <v>0.49636969277934473</v>
      </c>
      <c r="P207" s="43">
        <f>tbl_scenarios[[#This Row],[net_margin_C]]-tbl_scenarios[[#This Row],[net_margin_pct]]</f>
        <v>-2.5181515361032747E-2</v>
      </c>
      <c r="Q20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0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08" spans="1:18" x14ac:dyDescent="0.35">
      <c r="A208" s="17" t="str">
        <f>tbl_raw[[#This Row],[product_id]]</f>
        <v>154e7e31ebfa092203795c972e5804a6</v>
      </c>
      <c r="B208" t="str">
        <f>tbl_raw[[#This Row],[category]]</f>
        <v>health_beauty</v>
      </c>
      <c r="C208" s="2">
        <f>tbl_profitability[[#This Row],[net_profit]]</f>
        <v>-1527.4700000000003</v>
      </c>
      <c r="D208" s="42">
        <f>tbl_profitability[[#This Row],[net_margin_pct]]</f>
        <v>-0.24148997895715391</v>
      </c>
      <c r="E208" s="49" t="str">
        <f>tbl_profitability[[#This Row],[decision]]</f>
        <v>EXIT</v>
      </c>
      <c r="F208" s="2">
        <f>tbl_raw[[#This Row],[gross_revenue]]-tbl_raw[[#This Row],[return_loss]]-tbl_raw[[#This Row],[cogs]]*(1+scn_A_cogs_up)-(tbl_raw[[#This Row],[storage_cost]]+tbl_raw[[#This Row],[fulfillment_cost]]+tbl_raw[[#This Row],[freight_cost]])</f>
        <v>-1793.1280000000006</v>
      </c>
      <c r="G208" s="42">
        <f>tbl_scenarios[[#This Row],[net_profit_A]]/tbl_raw[[#This Row],[gross_revenue]]</f>
        <v>-0.2834899821191143</v>
      </c>
      <c r="H208" s="43">
        <f>tbl_scenarios[[#This Row],[net_margin_A]]-tbl_scenarios[[#This Row],[net_margin_pct]]</f>
        <v>-4.2000003161960398E-2</v>
      </c>
      <c r="I208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08" s="2">
        <f>tbl_raw[[#This Row],[gross_revenue]]-tbl_raw[[#This Row],[return_loss]]*(1+scn_B_returns_up/0.05)-tbl_raw[[#This Row],[cogs]]-(tbl_raw[[#This Row],[storage_cost]]+tbl_raw[[#This Row],[fulfillment_cost]]+tbl_raw[[#This Row],[freight_cost]])</f>
        <v>-1628.63</v>
      </c>
      <c r="K208" s="42">
        <f>tbl_scenarios[[#This Row],[net_profit_B]]/tbl_raw[[#This Row],[gross_revenue]]</f>
        <v>-0.25748317441847601</v>
      </c>
      <c r="L208" s="43">
        <f>tbl_scenarios[[#This Row],[net_margin_B]]-tbl_scenarios[[#This Row],[net_margin_pct]]</f>
        <v>-1.5993195461322107E-2</v>
      </c>
      <c r="M208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08" s="2">
        <f>tbl_raw[[#This Row],[gross_revenue]]*(1-scn_C_price_down)-tbl_raw[[#This Row],[return_loss]]-tbl_raw[[#This Row],[cogs]]-(tbl_raw[[#This Row],[storage_cost]]+tbl_raw[[#This Row],[fulfillment_cost]]+tbl_raw[[#This Row],[freight_cost]])</f>
        <v>-1843.7295000000004</v>
      </c>
      <c r="O208" s="42">
        <f>tbl_scenarios[[#This Row],[net_profit_C]]/(tbl_raw[[#This Row],[gross_revenue]]*(1-scn_C_price_down))</f>
        <v>-0.30683155679700413</v>
      </c>
      <c r="P208" s="43">
        <f>tbl_scenarios[[#This Row],[net_margin_C]]-tbl_scenarios[[#This Row],[net_margin_pct]]</f>
        <v>-6.5341577839850229E-2</v>
      </c>
      <c r="Q208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0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09" spans="1:18" x14ac:dyDescent="0.35">
      <c r="A209" s="17" t="str">
        <f>tbl_raw[[#This Row],[product_id]]</f>
        <v>349ce46a0e2e20054aa9d80c48af8816</v>
      </c>
      <c r="B209" t="str">
        <f>tbl_raw[[#This Row],[category]]</f>
        <v>construction_tools_lights</v>
      </c>
      <c r="C209" s="2">
        <f>tbl_profitability[[#This Row],[net_profit]]</f>
        <v>2286.0600000000004</v>
      </c>
      <c r="D209" s="42">
        <f>tbl_profitability[[#This Row],[net_margin_pct]]</f>
        <v>0.36173266347561223</v>
      </c>
      <c r="E209" s="49" t="str">
        <f>tbl_profitability[[#This Row],[decision]]</f>
        <v>SCALE</v>
      </c>
      <c r="F209" s="2">
        <f>tbl_raw[[#This Row],[gross_revenue]]-tbl_raw[[#This Row],[return_loss]]-tbl_raw[[#This Row],[cogs]]*(1+scn_A_cogs_up)-(tbl_raw[[#This Row],[storage_cost]]+tbl_raw[[#This Row],[fulfillment_cost]]+tbl_raw[[#This Row],[freight_cost]])</f>
        <v>2001.6710000000003</v>
      </c>
      <c r="G209" s="42">
        <f>tbl_scenarios[[#This Row],[net_profit_A]]/tbl_raw[[#This Row],[gross_revenue]]</f>
        <v>0.3167326239170854</v>
      </c>
      <c r="H209" s="43">
        <f>tbl_scenarios[[#This Row],[net_margin_A]]-tbl_scenarios[[#This Row],[net_margin_pct]]</f>
        <v>-4.5000039558526828E-2</v>
      </c>
      <c r="I20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09" s="2">
        <f>tbl_raw[[#This Row],[gross_revenue]]-tbl_raw[[#This Row],[return_loss]]*(1+scn_B_returns_up/0.05)-tbl_raw[[#This Row],[cogs]]-(tbl_raw[[#This Row],[storage_cost]]+tbl_raw[[#This Row],[fulfillment_cost]]+tbl_raw[[#This Row],[freight_cost]])</f>
        <v>2270.9400000000005</v>
      </c>
      <c r="K209" s="42">
        <f>tbl_scenarios[[#This Row],[net_profit_B]]/tbl_raw[[#This Row],[gross_revenue]]</f>
        <v>0.35934016377230121</v>
      </c>
      <c r="L209" s="43">
        <f>tbl_scenarios[[#This Row],[net_margin_B]]-tbl_scenarios[[#This Row],[net_margin_pct]]</f>
        <v>-2.3924997033110129E-3</v>
      </c>
      <c r="M20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09" s="2">
        <f>tbl_raw[[#This Row],[gross_revenue]]*(1-scn_C_price_down)-tbl_raw[[#This Row],[return_loss]]-tbl_raw[[#This Row],[cogs]]-(tbl_raw[[#This Row],[storage_cost]]+tbl_raw[[#This Row],[fulfillment_cost]]+tbl_raw[[#This Row],[freight_cost]])</f>
        <v>1970.0725000000002</v>
      </c>
      <c r="O209" s="42">
        <f>tbl_scenarios[[#This Row],[net_profit_C]]/(tbl_raw[[#This Row],[gross_revenue]]*(1-scn_C_price_down))</f>
        <v>0.32813964576380233</v>
      </c>
      <c r="P209" s="43">
        <f>tbl_scenarios[[#This Row],[net_margin_C]]-tbl_scenarios[[#This Row],[net_margin_pct]]</f>
        <v>-3.3593017711809892E-2</v>
      </c>
      <c r="Q20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0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10" spans="1:18" x14ac:dyDescent="0.35">
      <c r="A210" s="17" t="str">
        <f>tbl_raw[[#This Row],[product_id]]</f>
        <v>bd9fca6bf4bdcbf4094d7bc11415dfe5</v>
      </c>
      <c r="B210" t="str">
        <f>tbl_raw[[#This Row],[category]]</f>
        <v>small_appliances</v>
      </c>
      <c r="C210" s="2">
        <f>tbl_profitability[[#This Row],[net_profit]]</f>
        <v>2511.2199999999998</v>
      </c>
      <c r="D210" s="42">
        <f>tbl_profitability[[#This Row],[net_margin_pct]]</f>
        <v>0.39892295472597294</v>
      </c>
      <c r="E210" s="49" t="str">
        <f>tbl_profitability[[#This Row],[decision]]</f>
        <v>OPTIMIZE</v>
      </c>
      <c r="F210" s="2">
        <f>tbl_raw[[#This Row],[gross_revenue]]-tbl_raw[[#This Row],[return_loss]]-tbl_raw[[#This Row],[cogs]]*(1+scn_A_cogs_up)-(tbl_raw[[#This Row],[storage_cost]]+tbl_raw[[#This Row],[fulfillment_cost]]+tbl_raw[[#This Row],[freight_cost]])</f>
        <v>2152.4049999999993</v>
      </c>
      <c r="G210" s="42">
        <f>tbl_scenarios[[#This Row],[net_profit_A]]/tbl_raw[[#This Row],[gross_revenue]]</f>
        <v>0.34192295472597289</v>
      </c>
      <c r="H210" s="43">
        <f>tbl_scenarios[[#This Row],[net_margin_A]]-tbl_scenarios[[#This Row],[net_margin_pct]]</f>
        <v>-5.7000000000000051E-2</v>
      </c>
      <c r="I21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10" s="2">
        <f>tbl_raw[[#This Row],[gross_revenue]]-tbl_raw[[#This Row],[return_loss]]*(1+scn_B_returns_up/0.05)-tbl_raw[[#This Row],[cogs]]-(tbl_raw[[#This Row],[storage_cost]]+tbl_raw[[#This Row],[fulfillment_cost]]+tbl_raw[[#This Row],[freight_cost]])</f>
        <v>2509.4199999999996</v>
      </c>
      <c r="K210" s="42">
        <f>tbl_scenarios[[#This Row],[net_profit_B]]/tbl_raw[[#This Row],[gross_revenue]]</f>
        <v>0.39863701350277991</v>
      </c>
      <c r="L210" s="43">
        <f>tbl_scenarios[[#This Row],[net_margin_B]]-tbl_scenarios[[#This Row],[net_margin_pct]]</f>
        <v>-2.8594122319303139E-4</v>
      </c>
      <c r="M210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10" s="2">
        <f>tbl_raw[[#This Row],[gross_revenue]]*(1-scn_C_price_down)-tbl_raw[[#This Row],[return_loss]]-tbl_raw[[#This Row],[cogs]]-(tbl_raw[[#This Row],[storage_cost]]+tbl_raw[[#This Row],[fulfillment_cost]]+tbl_raw[[#This Row],[freight_cost]])</f>
        <v>2196.4699999999998</v>
      </c>
      <c r="O210" s="42">
        <f>tbl_scenarios[[#This Row],[net_profit_C]]/(tbl_raw[[#This Row],[gross_revenue]]*(1-scn_C_price_down))</f>
        <v>0.36728732076418208</v>
      </c>
      <c r="P210" s="43">
        <f>tbl_scenarios[[#This Row],[net_margin_C]]-tbl_scenarios[[#This Row],[net_margin_pct]]</f>
        <v>-3.1635633961790866E-2</v>
      </c>
      <c r="Q210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1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11" spans="1:18" x14ac:dyDescent="0.35">
      <c r="A211" s="17" t="str">
        <f>tbl_raw[[#This Row],[product_id]]</f>
        <v>bc2d6310e5cbd60facb2f9c8d9471597</v>
      </c>
      <c r="B211" t="str">
        <f>tbl_raw[[#This Row],[category]]</f>
        <v>cool_stuff</v>
      </c>
      <c r="C211" s="2">
        <f>tbl_profitability[[#This Row],[net_profit]]</f>
        <v>2952.7699999999995</v>
      </c>
      <c r="D211" s="42">
        <f>tbl_profitability[[#This Row],[net_margin_pct]]</f>
        <v>0.46943879173290931</v>
      </c>
      <c r="E211" s="49" t="str">
        <f>tbl_profitability[[#This Row],[decision]]</f>
        <v>SCALE</v>
      </c>
      <c r="F211" s="2">
        <f>tbl_raw[[#This Row],[gross_revenue]]-tbl_raw[[#This Row],[return_loss]]-tbl_raw[[#This Row],[cogs]]*(1+scn_A_cogs_up)-(tbl_raw[[#This Row],[storage_cost]]+tbl_raw[[#This Row],[fulfillment_cost]]+tbl_raw[[#This Row],[freight_cost]])</f>
        <v>2669.7199999999993</v>
      </c>
      <c r="G211" s="42">
        <f>tbl_scenarios[[#This Row],[net_profit_A]]/tbl_raw[[#This Row],[gross_revenue]]</f>
        <v>0.42443879173290927</v>
      </c>
      <c r="H211" s="43">
        <f>tbl_scenarios[[#This Row],[net_margin_A]]-tbl_scenarios[[#This Row],[net_margin_pct]]</f>
        <v>-4.500000000000004E-2</v>
      </c>
      <c r="I21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11" s="2">
        <f>tbl_raw[[#This Row],[gross_revenue]]-tbl_raw[[#This Row],[return_loss]]*(1+scn_B_returns_up/0.05)-tbl_raw[[#This Row],[cogs]]-(tbl_raw[[#This Row],[storage_cost]]+tbl_raw[[#This Row],[fulfillment_cost]]+tbl_raw[[#This Row],[freight_cost]])</f>
        <v>2949.17</v>
      </c>
      <c r="K211" s="42">
        <f>tbl_scenarios[[#This Row],[net_profit_B]]/tbl_raw[[#This Row],[gross_revenue]]</f>
        <v>0.46886645468998411</v>
      </c>
      <c r="L211" s="43">
        <f>tbl_scenarios[[#This Row],[net_margin_B]]-tbl_scenarios[[#This Row],[net_margin_pct]]</f>
        <v>-5.7233704292519727E-4</v>
      </c>
      <c r="M21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11" s="2">
        <f>tbl_raw[[#This Row],[gross_revenue]]*(1-scn_C_price_down)-tbl_raw[[#This Row],[return_loss]]-tbl_raw[[#This Row],[cogs]]-(tbl_raw[[#This Row],[storage_cost]]+tbl_raw[[#This Row],[fulfillment_cost]]+tbl_raw[[#This Row],[freight_cost]])</f>
        <v>2638.2699999999995</v>
      </c>
      <c r="O211" s="42">
        <f>tbl_scenarios[[#This Row],[net_profit_C]]/(tbl_raw[[#This Row],[gross_revenue]]*(1-scn_C_price_down))</f>
        <v>0.44151451761358873</v>
      </c>
      <c r="P211" s="43">
        <f>tbl_scenarios[[#This Row],[net_margin_C]]-tbl_scenarios[[#This Row],[net_margin_pct]]</f>
        <v>-2.792427411932058E-2</v>
      </c>
      <c r="Q21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1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12" spans="1:18" x14ac:dyDescent="0.35">
      <c r="A212" s="17" t="str">
        <f>tbl_raw[[#This Row],[product_id]]</f>
        <v>11bbef4e2a44601d9dd471aa1fb433e6</v>
      </c>
      <c r="B212" t="str">
        <f>tbl_raw[[#This Row],[category]]</f>
        <v>health_beauty</v>
      </c>
      <c r="C212" s="2">
        <f>tbl_profitability[[#This Row],[net_profit]]</f>
        <v>3276.3</v>
      </c>
      <c r="D212" s="42">
        <f>tbl_profitability[[#This Row],[net_margin_pct]]</f>
        <v>0.52171960616642865</v>
      </c>
      <c r="E212" s="49" t="str">
        <f>tbl_profitability[[#This Row],[decision]]</f>
        <v>SCALE</v>
      </c>
      <c r="F212" s="2">
        <f>tbl_raw[[#This Row],[gross_revenue]]-tbl_raw[[#This Row],[return_loss]]-tbl_raw[[#This Row],[cogs]]*(1+scn_A_cogs_up)-(tbl_raw[[#This Row],[storage_cost]]+tbl_raw[[#This Row],[fulfillment_cost]]+tbl_raw[[#This Row],[freight_cost]])</f>
        <v>3012.5479999999998</v>
      </c>
      <c r="G212" s="42">
        <f>tbl_scenarios[[#This Row],[net_profit_A]]/tbl_raw[[#This Row],[gross_revenue]]</f>
        <v>0.47971960935123825</v>
      </c>
      <c r="H212" s="43">
        <f>tbl_scenarios[[#This Row],[net_margin_A]]-tbl_scenarios[[#This Row],[net_margin_pct]]</f>
        <v>-4.1999996815190399E-2</v>
      </c>
      <c r="I21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12" s="2">
        <f>tbl_raw[[#This Row],[gross_revenue]]-tbl_raw[[#This Row],[return_loss]]*(1+scn_B_returns_up/0.05)-tbl_raw[[#This Row],[cogs]]-(tbl_raw[[#This Row],[storage_cost]]+tbl_raw[[#This Row],[fulfillment_cost]]+tbl_raw[[#This Row],[freight_cost]])</f>
        <v>3269.46</v>
      </c>
      <c r="K212" s="42">
        <f>tbl_scenarios[[#This Row],[net_profit_B]]/tbl_raw[[#This Row],[gross_revenue]]</f>
        <v>0.52063040123825399</v>
      </c>
      <c r="L212" s="43">
        <f>tbl_scenarios[[#This Row],[net_margin_B]]-tbl_scenarios[[#This Row],[net_margin_pct]]</f>
        <v>-1.0892049281746585E-3</v>
      </c>
      <c r="M21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12" s="2">
        <f>tbl_raw[[#This Row],[gross_revenue]]*(1-scn_C_price_down)-tbl_raw[[#This Row],[return_loss]]-tbl_raw[[#This Row],[cogs]]-(tbl_raw[[#This Row],[storage_cost]]+tbl_raw[[#This Row],[fulfillment_cost]]+tbl_raw[[#This Row],[freight_cost]])</f>
        <v>2962.3095000000003</v>
      </c>
      <c r="O212" s="42">
        <f>tbl_scenarios[[#This Row],[net_profit_C]]/(tbl_raw[[#This Row],[gross_revenue]]*(1-scn_C_price_down))</f>
        <v>0.49654695385939851</v>
      </c>
      <c r="P212" s="43">
        <f>tbl_scenarios[[#This Row],[net_margin_C]]-tbl_scenarios[[#This Row],[net_margin_pct]]</f>
        <v>-2.5172652307030141E-2</v>
      </c>
      <c r="Q21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1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13" spans="1:18" x14ac:dyDescent="0.35">
      <c r="A213" s="17" t="str">
        <f>tbl_raw[[#This Row],[product_id]]</f>
        <v>30ac6df06dc59ad72cf2f158fc2d904c</v>
      </c>
      <c r="B213" t="str">
        <f>tbl_raw[[#This Row],[category]]</f>
        <v>housewares</v>
      </c>
      <c r="C213" s="2">
        <f>tbl_profitability[[#This Row],[net_profit]]</f>
        <v>1699.0399999999997</v>
      </c>
      <c r="D213" s="42">
        <f>tbl_profitability[[#This Row],[net_margin_pct]]</f>
        <v>0.27132545512615774</v>
      </c>
      <c r="E213" s="49" t="str">
        <f>tbl_profitability[[#This Row],[decision]]</f>
        <v>OPTIMIZE</v>
      </c>
      <c r="F213" s="2">
        <f>tbl_raw[[#This Row],[gross_revenue]]-tbl_raw[[#This Row],[return_loss]]-tbl_raw[[#This Row],[cogs]]*(1+scn_A_cogs_up)-(tbl_raw[[#This Row],[storage_cost]]+tbl_raw[[#This Row],[fulfillment_cost]]+tbl_raw[[#This Row],[freight_cost]])</f>
        <v>1417.2499999999993</v>
      </c>
      <c r="G213" s="42">
        <f>tbl_scenarios[[#This Row],[net_profit_A]]/tbl_raw[[#This Row],[gross_revenue]]</f>
        <v>0.22632545512615768</v>
      </c>
      <c r="H213" s="43">
        <f>tbl_scenarios[[#This Row],[net_margin_A]]-tbl_scenarios[[#This Row],[net_margin_pct]]</f>
        <v>-4.5000000000000068E-2</v>
      </c>
      <c r="I21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13" s="2">
        <f>tbl_raw[[#This Row],[gross_revenue]]-tbl_raw[[#This Row],[return_loss]]*(1+scn_B_returns_up/0.05)-tbl_raw[[#This Row],[cogs]]-(tbl_raw[[#This Row],[storage_cost]]+tbl_raw[[#This Row],[fulfillment_cost]]+tbl_raw[[#This Row],[freight_cost]])</f>
        <v>1679.2399999999996</v>
      </c>
      <c r="K213" s="42">
        <f>tbl_scenarios[[#This Row],[net_profit_B]]/tbl_raw[[#This Row],[gross_revenue]]</f>
        <v>0.2681635260300223</v>
      </c>
      <c r="L213" s="43">
        <f>tbl_scenarios[[#This Row],[net_margin_B]]-tbl_scenarios[[#This Row],[net_margin_pct]]</f>
        <v>-3.1619290961354407E-3</v>
      </c>
      <c r="M21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13" s="2">
        <f>tbl_raw[[#This Row],[gross_revenue]]*(1-scn_C_price_down)-tbl_raw[[#This Row],[return_loss]]-tbl_raw[[#This Row],[cogs]]-(tbl_raw[[#This Row],[storage_cost]]+tbl_raw[[#This Row],[fulfillment_cost]]+tbl_raw[[#This Row],[freight_cost]])</f>
        <v>1385.9399999999994</v>
      </c>
      <c r="O213" s="42">
        <f>tbl_scenarios[[#This Row],[net_profit_C]]/(tbl_raw[[#This Row],[gross_revenue]]*(1-scn_C_price_down))</f>
        <v>0.23297416329069232</v>
      </c>
      <c r="P213" s="43">
        <f>tbl_scenarios[[#This Row],[net_margin_C]]-tbl_scenarios[[#This Row],[net_margin_pct]]</f>
        <v>-3.8351291835465429E-2</v>
      </c>
      <c r="Q21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1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14" spans="1:18" x14ac:dyDescent="0.35">
      <c r="A214" s="17" t="str">
        <f>tbl_raw[[#This Row],[product_id]]</f>
        <v>dc9471db933efad7bf0ce685380578bd</v>
      </c>
      <c r="B214" t="str">
        <f>tbl_raw[[#This Row],[category]]</f>
        <v>computers_accessories</v>
      </c>
      <c r="C214" s="2">
        <f>tbl_profitability[[#This Row],[net_profit]]</f>
        <v>1912.3300000000002</v>
      </c>
      <c r="D214" s="42">
        <f>tbl_profitability[[#This Row],[net_margin_pct]]</f>
        <v>0.3063251965060606</v>
      </c>
      <c r="E214" s="49" t="str">
        <f>tbl_profitability[[#This Row],[decision]]</f>
        <v>OPTIMIZE</v>
      </c>
      <c r="F214" s="2">
        <f>tbl_raw[[#This Row],[gross_revenue]]-tbl_raw[[#This Row],[return_loss]]-tbl_raw[[#This Row],[cogs]]*(1+scn_A_cogs_up)-(tbl_raw[[#This Row],[storage_cost]]+tbl_raw[[#This Row],[fulfillment_cost]]+tbl_raw[[#This Row],[freight_cost]])</f>
        <v>1556.49</v>
      </c>
      <c r="G214" s="42">
        <f>tbl_scenarios[[#This Row],[net_profit_A]]/tbl_raw[[#This Row],[gross_revenue]]</f>
        <v>0.24932522373738747</v>
      </c>
      <c r="H214" s="43">
        <f>tbl_scenarios[[#This Row],[net_margin_A]]-tbl_scenarios[[#This Row],[net_margin_pct]]</f>
        <v>-5.6999972768673135E-2</v>
      </c>
      <c r="I21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14" s="2">
        <f>tbl_raw[[#This Row],[gross_revenue]]-tbl_raw[[#This Row],[return_loss]]*(1+scn_B_returns_up/0.05)-tbl_raw[[#This Row],[cogs]]-(tbl_raw[[#This Row],[storage_cost]]+tbl_raw[[#This Row],[fulfillment_cost]]+tbl_raw[[#This Row],[freight_cost]])</f>
        <v>1892.53</v>
      </c>
      <c r="K214" s="42">
        <f>tbl_scenarios[[#This Row],[net_profit_B]]/tbl_raw[[#This Row],[gross_revenue]]</f>
        <v>0.30315354784143678</v>
      </c>
      <c r="L214" s="43">
        <f>tbl_scenarios[[#This Row],[net_margin_B]]-tbl_scenarios[[#This Row],[net_margin_pct]]</f>
        <v>-3.1716486646238273E-3</v>
      </c>
      <c r="M214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14" s="2">
        <f>tbl_raw[[#This Row],[gross_revenue]]*(1-scn_C_price_down)-tbl_raw[[#This Row],[return_loss]]-tbl_raw[[#This Row],[cogs]]-(tbl_raw[[#This Row],[storage_cost]]+tbl_raw[[#This Row],[fulfillment_cost]]+tbl_raw[[#This Row],[freight_cost]])</f>
        <v>1600.1894999999997</v>
      </c>
      <c r="O214" s="42">
        <f>tbl_scenarios[[#This Row],[net_profit_C]]/(tbl_raw[[#This Row],[gross_revenue]]*(1-scn_C_price_down))</f>
        <v>0.26981599632216896</v>
      </c>
      <c r="P214" s="43">
        <f>tbl_scenarios[[#This Row],[net_margin_C]]-tbl_scenarios[[#This Row],[net_margin_pct]]</f>
        <v>-3.6509200183891644E-2</v>
      </c>
      <c r="Q21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1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15" spans="1:18" x14ac:dyDescent="0.35">
      <c r="A215" s="17" t="str">
        <f>tbl_raw[[#This Row],[product_id]]</f>
        <v>0bcc3eeca39e1064258aa1e932269894</v>
      </c>
      <c r="B215" t="str">
        <f>tbl_raw[[#This Row],[category]]</f>
        <v>garden_tools</v>
      </c>
      <c r="C215" s="2">
        <f>tbl_profitability[[#This Row],[net_profit]]</f>
        <v>-277.98</v>
      </c>
      <c r="D215" s="42">
        <f>tbl_profitability[[#This Row],[net_margin_pct]]</f>
        <v>-4.4684852674050382E-2</v>
      </c>
      <c r="E215" s="49" t="str">
        <f>tbl_profitability[[#This Row],[decision]]</f>
        <v>EXIT</v>
      </c>
      <c r="F215" s="2">
        <f>tbl_raw[[#This Row],[gross_revenue]]-tbl_raw[[#This Row],[return_loss]]-tbl_raw[[#This Row],[cogs]]*(1+scn_A_cogs_up)-(tbl_raw[[#This Row],[storage_cost]]+tbl_raw[[#This Row],[fulfillment_cost]]+tbl_raw[[#This Row],[freight_cost]])</f>
        <v>-557.92000000000007</v>
      </c>
      <c r="G215" s="42">
        <f>tbl_scenarios[[#This Row],[net_profit_A]]/tbl_raw[[#This Row],[gross_revenue]]</f>
        <v>-8.9684772299828019E-2</v>
      </c>
      <c r="H215" s="43">
        <f>tbl_scenarios[[#This Row],[net_margin_A]]-tbl_scenarios[[#This Row],[net_margin_pct]]</f>
        <v>-4.4999919625777637E-2</v>
      </c>
      <c r="I215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15" s="2">
        <f>tbl_raw[[#This Row],[gross_revenue]]-tbl_raw[[#This Row],[return_loss]]*(1+scn_B_returns_up/0.05)-tbl_raw[[#This Row],[cogs]]-(tbl_raw[[#This Row],[storage_cost]]+tbl_raw[[#This Row],[fulfillment_cost]]+tbl_raw[[#This Row],[freight_cost]])</f>
        <v>-319.38000000000056</v>
      </c>
      <c r="K215" s="42">
        <f>tbl_scenarios[[#This Row],[net_profit_B]]/tbl_raw[[#This Row],[gross_revenue]]</f>
        <v>-5.1339838287064669E-2</v>
      </c>
      <c r="L215" s="43">
        <f>tbl_scenarios[[#This Row],[net_margin_B]]-tbl_scenarios[[#This Row],[net_margin_pct]]</f>
        <v>-6.6549856130142873E-3</v>
      </c>
      <c r="M215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15" s="2">
        <f>tbl_raw[[#This Row],[gross_revenue]]*(1-scn_C_price_down)-tbl_raw[[#This Row],[return_loss]]-tbl_raw[[#This Row],[cogs]]-(tbl_raw[[#This Row],[storage_cost]]+tbl_raw[[#This Row],[fulfillment_cost]]+tbl_raw[[#This Row],[freight_cost]])</f>
        <v>-589.02500000000009</v>
      </c>
      <c r="O215" s="42">
        <f>tbl_scenarios[[#This Row],[net_profit_C]]/(tbl_raw[[#This Row],[gross_revenue]]*(1-scn_C_price_down))</f>
        <v>-9.9668265972684633E-2</v>
      </c>
      <c r="P215" s="43">
        <f>tbl_scenarios[[#This Row],[net_margin_C]]-tbl_scenarios[[#This Row],[net_margin_pct]]</f>
        <v>-5.4983413298634251E-2</v>
      </c>
      <c r="Q215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1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16" spans="1:18" x14ac:dyDescent="0.35">
      <c r="A216" s="17" t="str">
        <f>tbl_raw[[#This Row],[product_id]]</f>
        <v>98d61056e0568ba048e5d78038790e77</v>
      </c>
      <c r="B216" t="str">
        <f>tbl_raw[[#This Row],[category]]</f>
        <v>auto</v>
      </c>
      <c r="C216" s="2">
        <f>tbl_profitability[[#This Row],[net_profit]]</f>
        <v>2235.67</v>
      </c>
      <c r="D216" s="42">
        <f>tbl_profitability[[#This Row],[net_margin_pct]]</f>
        <v>0.36144307562970868</v>
      </c>
      <c r="E216" s="49" t="str">
        <f>tbl_profitability[[#This Row],[decision]]</f>
        <v>SCALE</v>
      </c>
      <c r="F216" s="2">
        <f>tbl_raw[[#This Row],[gross_revenue]]-tbl_raw[[#This Row],[return_loss]]-tbl_raw[[#This Row],[cogs]]*(1+scn_A_cogs_up)-(tbl_raw[[#This Row],[storage_cost]]+tbl_raw[[#This Row],[fulfillment_cost]]+tbl_raw[[#This Row],[freight_cost]])</f>
        <v>1957.3269999999998</v>
      </c>
      <c r="G216" s="42">
        <f>tbl_scenarios[[#This Row],[net_profit_A]]/tbl_raw[[#This Row],[gross_revenue]]</f>
        <v>0.31644307562970864</v>
      </c>
      <c r="H216" s="43">
        <f>tbl_scenarios[[#This Row],[net_margin_A]]-tbl_scenarios[[#This Row],[net_margin_pct]]</f>
        <v>-4.500000000000004E-2</v>
      </c>
      <c r="I21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16" s="2">
        <f>tbl_raw[[#This Row],[gross_revenue]]-tbl_raw[[#This Row],[return_loss]]*(1+scn_B_returns_up/0.05)-tbl_raw[[#This Row],[cogs]]-(tbl_raw[[#This Row],[storage_cost]]+tbl_raw[[#This Row],[fulfillment_cost]]+tbl_raw[[#This Row],[freight_cost]])</f>
        <v>2222.3499999999995</v>
      </c>
      <c r="K216" s="42">
        <f>tbl_scenarios[[#This Row],[net_profit_B]]/tbl_raw[[#This Row],[gross_revenue]]</f>
        <v>0.35928961748633875</v>
      </c>
      <c r="L216" s="43">
        <f>tbl_scenarios[[#This Row],[net_margin_B]]-tbl_scenarios[[#This Row],[net_margin_pct]]</f>
        <v>-2.153458143369924E-3</v>
      </c>
      <c r="M21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16" s="2">
        <f>tbl_raw[[#This Row],[gross_revenue]]*(1-scn_C_price_down)-tbl_raw[[#This Row],[return_loss]]-tbl_raw[[#This Row],[cogs]]-(tbl_raw[[#This Row],[storage_cost]]+tbl_raw[[#This Row],[fulfillment_cost]]+tbl_raw[[#This Row],[freight_cost]])</f>
        <v>1926.3999999999996</v>
      </c>
      <c r="O216" s="42">
        <f>tbl_scenarios[[#This Row],[net_profit_C]]/(tbl_raw[[#This Row],[gross_revenue]]*(1-scn_C_price_down))</f>
        <v>0.32783481645232487</v>
      </c>
      <c r="P216" s="43">
        <f>tbl_scenarios[[#This Row],[net_margin_C]]-tbl_scenarios[[#This Row],[net_margin_pct]]</f>
        <v>-3.3608259177383804E-2</v>
      </c>
      <c r="Q21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1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17" spans="1:18" x14ac:dyDescent="0.35">
      <c r="A217" s="17" t="str">
        <f>tbl_raw[[#This Row],[product_id]]</f>
        <v>b9ac7314894a193a11fd3150f8c69307</v>
      </c>
      <c r="B217" t="str">
        <f>tbl_raw[[#This Row],[category]]</f>
        <v>health_beauty</v>
      </c>
      <c r="C217" s="2">
        <f>tbl_profitability[[#This Row],[net_profit]]</f>
        <v>3098.8799999999992</v>
      </c>
      <c r="D217" s="42">
        <f>tbl_profitability[[#This Row],[net_margin_pct]]</f>
        <v>0.50256318772653918</v>
      </c>
      <c r="E217" s="49" t="str">
        <f>tbl_profitability[[#This Row],[decision]]</f>
        <v>OPTIMIZE</v>
      </c>
      <c r="F217" s="2">
        <f>tbl_raw[[#This Row],[gross_revenue]]-tbl_raw[[#This Row],[return_loss]]-tbl_raw[[#This Row],[cogs]]*(1+scn_A_cogs_up)-(tbl_raw[[#This Row],[storage_cost]]+tbl_raw[[#This Row],[fulfillment_cost]]+tbl_raw[[#This Row],[freight_cost]])</f>
        <v>2839.9019999999991</v>
      </c>
      <c r="G217" s="42">
        <f>tbl_scenarios[[#This Row],[net_profit_A]]/tbl_raw[[#This Row],[gross_revenue]]</f>
        <v>0.46056323637926411</v>
      </c>
      <c r="H217" s="43">
        <f>tbl_scenarios[[#This Row],[net_margin_A]]-tbl_scenarios[[#This Row],[net_margin_pct]]</f>
        <v>-4.1999951347275077E-2</v>
      </c>
      <c r="I21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17" s="2">
        <f>tbl_raw[[#This Row],[gross_revenue]]-tbl_raw[[#This Row],[return_loss]]*(1+scn_B_returns_up/0.05)-tbl_raw[[#This Row],[cogs]]-(tbl_raw[[#This Row],[storage_cost]]+tbl_raw[[#This Row],[fulfillment_cost]]+tbl_raw[[#This Row],[freight_cost]])</f>
        <v>3094.9199999999992</v>
      </c>
      <c r="K217" s="42">
        <f>tbl_scenarios[[#This Row],[net_profit_B]]/tbl_raw[[#This Row],[gross_revenue]]</f>
        <v>0.50192097175709305</v>
      </c>
      <c r="L217" s="43">
        <f>tbl_scenarios[[#This Row],[net_margin_B]]-tbl_scenarios[[#This Row],[net_margin_pct]]</f>
        <v>-6.4221596944613601E-4</v>
      </c>
      <c r="M21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17" s="2">
        <f>tbl_raw[[#This Row],[gross_revenue]]*(1-scn_C_price_down)-tbl_raw[[#This Row],[return_loss]]-tbl_raw[[#This Row],[cogs]]-(tbl_raw[[#This Row],[storage_cost]]+tbl_raw[[#This Row],[fulfillment_cost]]+tbl_raw[[#This Row],[freight_cost]])</f>
        <v>2790.5724999999993</v>
      </c>
      <c r="O217" s="42">
        <f>tbl_scenarios[[#This Row],[net_profit_C]]/(tbl_raw[[#This Row],[gross_revenue]]*(1-scn_C_price_down))</f>
        <v>0.47638230287004124</v>
      </c>
      <c r="P217" s="43">
        <f>tbl_scenarios[[#This Row],[net_margin_C]]-tbl_scenarios[[#This Row],[net_margin_pct]]</f>
        <v>-2.6180884856497944E-2</v>
      </c>
      <c r="Q21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1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18" spans="1:18" x14ac:dyDescent="0.35">
      <c r="A218" s="17" t="str">
        <f>tbl_raw[[#This Row],[product_id]]</f>
        <v>b532349fe46b38fbc7bb3914c1bdae07</v>
      </c>
      <c r="B218" t="str">
        <f>tbl_raw[[#This Row],[category]]</f>
        <v>furniture_decor</v>
      </c>
      <c r="C218" s="2">
        <f>tbl_profitability[[#This Row],[net_profit]]</f>
        <v>-825.64000000000033</v>
      </c>
      <c r="D218" s="42">
        <f>tbl_profitability[[#This Row],[net_margin_pct]]</f>
        <v>-0.13398657278107667</v>
      </c>
      <c r="E218" s="49" t="str">
        <f>tbl_profitability[[#This Row],[decision]]</f>
        <v>EXIT</v>
      </c>
      <c r="F218" s="2">
        <f>tbl_raw[[#This Row],[gross_revenue]]-tbl_raw[[#This Row],[return_loss]]-tbl_raw[[#This Row],[cogs]]*(1+scn_A_cogs_up)-(tbl_raw[[#This Row],[storage_cost]]+tbl_raw[[#This Row],[fulfillment_cost]]+tbl_raw[[#This Row],[freight_cost]])</f>
        <v>-1102.9350000000004</v>
      </c>
      <c r="G218" s="42">
        <f>tbl_scenarios[[#This Row],[net_profit_A]]/tbl_raw[[#This Row],[gross_revenue]]</f>
        <v>-0.17898658089518046</v>
      </c>
      <c r="H218" s="43">
        <f>tbl_scenarios[[#This Row],[net_margin_A]]-tbl_scenarios[[#This Row],[net_margin_pct]]</f>
        <v>-4.500000811410379E-2</v>
      </c>
      <c r="I218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18" s="2">
        <f>tbl_raw[[#This Row],[gross_revenue]]-tbl_raw[[#This Row],[return_loss]]*(1+scn_B_returns_up/0.05)-tbl_raw[[#This Row],[cogs]]-(tbl_raw[[#This Row],[storage_cost]]+tbl_raw[[#This Row],[fulfillment_cost]]+tbl_raw[[#This Row],[freight_cost]])</f>
        <v>-886.48000000000047</v>
      </c>
      <c r="K218" s="42">
        <f>tbl_scenarios[[#This Row],[net_profit_B]]/tbl_raw[[#This Row],[gross_revenue]]</f>
        <v>-0.1438598142519365</v>
      </c>
      <c r="L218" s="43">
        <f>tbl_scenarios[[#This Row],[net_margin_B]]-tbl_scenarios[[#This Row],[net_margin_pct]]</f>
        <v>-9.8732414708598282E-3</v>
      </c>
      <c r="M218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18" s="2">
        <f>tbl_raw[[#This Row],[gross_revenue]]*(1-scn_C_price_down)-tbl_raw[[#This Row],[return_loss]]-tbl_raw[[#This Row],[cogs]]-(tbl_raw[[#This Row],[storage_cost]]+tbl_raw[[#This Row],[fulfillment_cost]]+tbl_raw[[#This Row],[freight_cost]])</f>
        <v>-1133.7455000000009</v>
      </c>
      <c r="O218" s="42">
        <f>tbl_scenarios[[#This Row],[net_profit_C]]/(tbl_raw[[#This Row],[gross_revenue]]*(1-scn_C_price_down))</f>
        <v>-0.19367007661165977</v>
      </c>
      <c r="P218" s="43">
        <f>tbl_scenarios[[#This Row],[net_margin_C]]-tbl_scenarios[[#This Row],[net_margin_pct]]</f>
        <v>-5.9683503830583101E-2</v>
      </c>
      <c r="Q218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1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19" spans="1:18" x14ac:dyDescent="0.35">
      <c r="A219" s="17" t="str">
        <f>tbl_raw[[#This Row],[product_id]]</f>
        <v>f96ff9b997681965689f78bef092fdd9</v>
      </c>
      <c r="B219" t="str">
        <f>tbl_raw[[#This Row],[category]]</f>
        <v>health_beauty</v>
      </c>
      <c r="C219" s="2">
        <f>tbl_profitability[[#This Row],[net_profit]]</f>
        <v>3337.0499999999997</v>
      </c>
      <c r="D219" s="42">
        <f>tbl_profitability[[#This Row],[net_margin_pct]]</f>
        <v>0.54155306718597851</v>
      </c>
      <c r="E219" s="49" t="str">
        <f>tbl_profitability[[#This Row],[decision]]</f>
        <v>SCALE</v>
      </c>
      <c r="F219" s="2">
        <f>tbl_raw[[#This Row],[gross_revenue]]-tbl_raw[[#This Row],[return_loss]]-tbl_raw[[#This Row],[cogs]]*(1+scn_A_cogs_up)-(tbl_raw[[#This Row],[storage_cost]]+tbl_raw[[#This Row],[fulfillment_cost]]+tbl_raw[[#This Row],[freight_cost]])</f>
        <v>3078.2459999999996</v>
      </c>
      <c r="G219" s="42">
        <f>tbl_scenarios[[#This Row],[net_profit_A]]/tbl_raw[[#This Row],[gross_revenue]]</f>
        <v>0.49955306718597853</v>
      </c>
      <c r="H219" s="43">
        <f>tbl_scenarios[[#This Row],[net_margin_A]]-tbl_scenarios[[#This Row],[net_margin_pct]]</f>
        <v>-4.1999999999999982E-2</v>
      </c>
      <c r="I21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19" s="2">
        <f>tbl_raw[[#This Row],[gross_revenue]]-tbl_raw[[#This Row],[return_loss]]*(1+scn_B_returns_up/0.05)-tbl_raw[[#This Row],[cogs]]-(tbl_raw[[#This Row],[storage_cost]]+tbl_raw[[#This Row],[fulfillment_cost]]+tbl_raw[[#This Row],[freight_cost]])</f>
        <v>3334.1699999999996</v>
      </c>
      <c r="K219" s="42">
        <f>tbl_scenarios[[#This Row],[net_profit_B]]/tbl_raw[[#This Row],[gross_revenue]]</f>
        <v>0.5410856864654332</v>
      </c>
      <c r="L219" s="43">
        <f>tbl_scenarios[[#This Row],[net_margin_B]]-tbl_scenarios[[#This Row],[net_margin_pct]]</f>
        <v>-4.6738072054530733E-4</v>
      </c>
      <c r="M21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19" s="2">
        <f>tbl_raw[[#This Row],[gross_revenue]]*(1-scn_C_price_down)-tbl_raw[[#This Row],[return_loss]]-tbl_raw[[#This Row],[cogs]]-(tbl_raw[[#This Row],[storage_cost]]+tbl_raw[[#This Row],[fulfillment_cost]]+tbl_raw[[#This Row],[freight_cost]])</f>
        <v>3028.9499999999994</v>
      </c>
      <c r="O219" s="42">
        <f>tbl_scenarios[[#This Row],[net_profit_C]]/(tbl_raw[[#This Row],[gross_revenue]]*(1-scn_C_price_down))</f>
        <v>0.51742428124839845</v>
      </c>
      <c r="P219" s="43">
        <f>tbl_scenarios[[#This Row],[net_margin_C]]-tbl_scenarios[[#This Row],[net_margin_pct]]</f>
        <v>-2.4128785937580055E-2</v>
      </c>
      <c r="Q21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1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20" spans="1:18" x14ac:dyDescent="0.35">
      <c r="A220" s="17" t="str">
        <f>tbl_raw[[#This Row],[product_id]]</f>
        <v>d6fe3b4ddecd4a8393c6a1385de3bfb6</v>
      </c>
      <c r="B220" t="str">
        <f>tbl_raw[[#This Row],[category]]</f>
        <v>office_furniture</v>
      </c>
      <c r="C220" s="2">
        <f>tbl_profitability[[#This Row],[net_profit]]</f>
        <v>1709.7200000000003</v>
      </c>
      <c r="D220" s="42">
        <f>tbl_profitability[[#This Row],[net_margin_pct]]</f>
        <v>0.27754428855047836</v>
      </c>
      <c r="E220" s="49" t="str">
        <f>tbl_profitability[[#This Row],[decision]]</f>
        <v>OPTIMIZE</v>
      </c>
      <c r="F220" s="2">
        <f>tbl_raw[[#This Row],[gross_revenue]]-tbl_raw[[#This Row],[return_loss]]-tbl_raw[[#This Row],[cogs]]*(1+scn_A_cogs_up)-(tbl_raw[[#This Row],[storage_cost]]+tbl_raw[[#This Row],[fulfillment_cost]]+tbl_raw[[#This Row],[freight_cost]])</f>
        <v>1432.5120000000002</v>
      </c>
      <c r="G220" s="42">
        <f>tbl_scenarios[[#This Row],[net_profit_A]]/tbl_raw[[#This Row],[gross_revenue]]</f>
        <v>0.23254423173386451</v>
      </c>
      <c r="H220" s="43">
        <f>tbl_scenarios[[#This Row],[net_margin_A]]-tbl_scenarios[[#This Row],[net_margin_pct]]</f>
        <v>-4.5000056816613843E-2</v>
      </c>
      <c r="I22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20" s="2">
        <f>tbl_raw[[#This Row],[gross_revenue]]-tbl_raw[[#This Row],[return_loss]]*(1+scn_B_returns_up/0.05)-tbl_raw[[#This Row],[cogs]]-(tbl_raw[[#This Row],[storage_cost]]+tbl_raw[[#This Row],[fulfillment_cost]]+tbl_raw[[#This Row],[freight_cost]])</f>
        <v>1698.5600000000004</v>
      </c>
      <c r="K220" s="42">
        <f>tbl_scenarios[[#This Row],[net_profit_B]]/tbl_raw[[#This Row],[gross_revenue]]</f>
        <v>0.27573265023530202</v>
      </c>
      <c r="L220" s="43">
        <f>tbl_scenarios[[#This Row],[net_margin_B]]-tbl_scenarios[[#This Row],[net_margin_pct]]</f>
        <v>-1.8116383151763338E-3</v>
      </c>
      <c r="M220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20" s="2">
        <f>tbl_raw[[#This Row],[gross_revenue]]*(1-scn_C_price_down)-tbl_raw[[#This Row],[return_loss]]-tbl_raw[[#This Row],[cogs]]-(tbl_raw[[#This Row],[storage_cost]]+tbl_raw[[#This Row],[fulfillment_cost]]+tbl_raw[[#This Row],[freight_cost]])</f>
        <v>1401.7115000000003</v>
      </c>
      <c r="O220" s="42">
        <f>tbl_scenarios[[#This Row],[net_profit_C]]/(tbl_raw[[#This Row],[gross_revenue]]*(1-scn_C_price_down))</f>
        <v>0.23952030373734565</v>
      </c>
      <c r="P220" s="43">
        <f>tbl_scenarios[[#This Row],[net_margin_C]]-tbl_scenarios[[#This Row],[net_margin_pct]]</f>
        <v>-3.8023984813132711E-2</v>
      </c>
      <c r="Q220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2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21" spans="1:18" x14ac:dyDescent="0.35">
      <c r="A221" s="17" t="str">
        <f>tbl_raw[[#This Row],[product_id]]</f>
        <v>e3dd336775af78a83fc27ed85f0f15da</v>
      </c>
      <c r="B221" t="str">
        <f>tbl_raw[[#This Row],[category]]</f>
        <v>health_beauty</v>
      </c>
      <c r="C221" s="2">
        <f>tbl_profitability[[#This Row],[net_profit]]</f>
        <v>3216.1100000000006</v>
      </c>
      <c r="D221" s="42">
        <f>tbl_profitability[[#This Row],[net_margin_pct]]</f>
        <v>0.52265152069164467</v>
      </c>
      <c r="E221" s="49" t="str">
        <f>tbl_profitability[[#This Row],[decision]]</f>
        <v>SCALE</v>
      </c>
      <c r="F221" s="2">
        <f>tbl_raw[[#This Row],[gross_revenue]]-tbl_raw[[#This Row],[return_loss]]-tbl_raw[[#This Row],[cogs]]*(1+scn_A_cogs_up)-(tbl_raw[[#This Row],[storage_cost]]+tbl_raw[[#This Row],[fulfillment_cost]]+tbl_raw[[#This Row],[freight_cost]])</f>
        <v>2957.665</v>
      </c>
      <c r="G221" s="42">
        <f>tbl_scenarios[[#This Row],[net_profit_A]]/tbl_raw[[#This Row],[gross_revenue]]</f>
        <v>0.4806515044405984</v>
      </c>
      <c r="H221" s="43">
        <f>tbl_scenarios[[#This Row],[net_margin_A]]-tbl_scenarios[[#This Row],[net_margin_pct]]</f>
        <v>-4.2000016251046268E-2</v>
      </c>
      <c r="I22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21" s="2">
        <f>tbl_raw[[#This Row],[gross_revenue]]-tbl_raw[[#This Row],[return_loss]]*(1+scn_B_returns_up/0.05)-tbl_raw[[#This Row],[cogs]]-(tbl_raw[[#This Row],[storage_cost]]+tbl_raw[[#This Row],[fulfillment_cost]]+tbl_raw[[#This Row],[freight_cost]])</f>
        <v>3210.71</v>
      </c>
      <c r="K221" s="42">
        <f>tbl_scenarios[[#This Row],[net_profit_B]]/tbl_raw[[#This Row],[gross_revenue]]</f>
        <v>0.52177396419894528</v>
      </c>
      <c r="L221" s="43">
        <f>tbl_scenarios[[#This Row],[net_margin_B]]-tbl_scenarios[[#This Row],[net_margin_pct]]</f>
        <v>-8.7755649269938285E-4</v>
      </c>
      <c r="M22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21" s="2">
        <f>tbl_raw[[#This Row],[gross_revenue]]*(1-scn_C_price_down)-tbl_raw[[#This Row],[return_loss]]-tbl_raw[[#This Row],[cogs]]-(tbl_raw[[#This Row],[storage_cost]]+tbl_raw[[#This Row],[fulfillment_cost]]+tbl_raw[[#This Row],[freight_cost]])</f>
        <v>2908.4375</v>
      </c>
      <c r="O221" s="42">
        <f>tbl_scenarios[[#This Row],[net_profit_C]]/(tbl_raw[[#This Row],[gross_revenue]]*(1-scn_C_price_down))</f>
        <v>0.4975279165175206</v>
      </c>
      <c r="P221" s="43">
        <f>tbl_scenarios[[#This Row],[net_margin_C]]-tbl_scenarios[[#This Row],[net_margin_pct]]</f>
        <v>-2.512360417412407E-2</v>
      </c>
      <c r="Q22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2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22" spans="1:18" x14ac:dyDescent="0.35">
      <c r="A222" s="17" t="str">
        <f>tbl_raw[[#This Row],[product_id]]</f>
        <v>31a2f42a87890f87d77daebdfabc182e</v>
      </c>
      <c r="B222" t="str">
        <f>tbl_raw[[#This Row],[category]]</f>
        <v>toys</v>
      </c>
      <c r="C222" s="2">
        <f>tbl_profitability[[#This Row],[net_profit]]</f>
        <v>2574.71</v>
      </c>
      <c r="D222" s="42">
        <f>tbl_profitability[[#This Row],[net_margin_pct]]</f>
        <v>0.41857036025490962</v>
      </c>
      <c r="E222" s="49" t="str">
        <f>tbl_profitability[[#This Row],[decision]]</f>
        <v>SCALE</v>
      </c>
      <c r="F222" s="2">
        <f>tbl_raw[[#This Row],[gross_revenue]]-tbl_raw[[#This Row],[return_loss]]-tbl_raw[[#This Row],[cogs]]*(1+scn_A_cogs_up)-(tbl_raw[[#This Row],[storage_cost]]+tbl_raw[[#This Row],[fulfillment_cost]]+tbl_raw[[#This Row],[freight_cost]])</f>
        <v>2316.3599999999997</v>
      </c>
      <c r="G222" s="42">
        <f>tbl_scenarios[[#This Row],[net_profit_A]]/tbl_raw[[#This Row],[gross_revenue]]</f>
        <v>0.3765704252828716</v>
      </c>
      <c r="H222" s="43">
        <f>tbl_scenarios[[#This Row],[net_margin_A]]-tbl_scenarios[[#This Row],[net_margin_pct]]</f>
        <v>-4.1999934972038022E-2</v>
      </c>
      <c r="I22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22" s="2">
        <f>tbl_raw[[#This Row],[gross_revenue]]-tbl_raw[[#This Row],[return_loss]]*(1+scn_B_returns_up/0.05)-tbl_raw[[#This Row],[cogs]]-(tbl_raw[[#This Row],[storage_cost]]+tbl_raw[[#This Row],[fulfillment_cost]]+tbl_raw[[#This Row],[freight_cost]])</f>
        <v>2559.59</v>
      </c>
      <c r="K222" s="42">
        <f>tbl_scenarios[[#This Row],[net_profit_B]]/tbl_raw[[#This Row],[gross_revenue]]</f>
        <v>0.41611230329041493</v>
      </c>
      <c r="L222" s="43">
        <f>tbl_scenarios[[#This Row],[net_margin_B]]-tbl_scenarios[[#This Row],[net_margin_pct]]</f>
        <v>-2.4580569644946926E-3</v>
      </c>
      <c r="M22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22" s="2">
        <f>tbl_raw[[#This Row],[gross_revenue]]*(1-scn_C_price_down)-tbl_raw[[#This Row],[return_loss]]-tbl_raw[[#This Row],[cogs]]-(tbl_raw[[#This Row],[storage_cost]]+tbl_raw[[#This Row],[fulfillment_cost]]+tbl_raw[[#This Row],[freight_cost]])</f>
        <v>2267.1499999999996</v>
      </c>
      <c r="O222" s="42">
        <f>tbl_scenarios[[#This Row],[net_profit_C]]/(tbl_raw[[#This Row],[gross_revenue]]*(1-scn_C_price_down))</f>
        <v>0.38796880026832586</v>
      </c>
      <c r="P222" s="43">
        <f>tbl_scenarios[[#This Row],[net_margin_C]]-tbl_scenarios[[#This Row],[net_margin_pct]]</f>
        <v>-3.060155998658376E-2</v>
      </c>
      <c r="Q22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2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23" spans="1:18" x14ac:dyDescent="0.35">
      <c r="A223" s="17" t="str">
        <f>tbl_raw[[#This Row],[product_id]]</f>
        <v>ff92ca9bb0b3f4ec00a9b76c9f68cb3a</v>
      </c>
      <c r="B223" t="str">
        <f>tbl_raw[[#This Row],[category]]</f>
        <v>small_appliances_home_oven_and_coffee</v>
      </c>
      <c r="C223" s="2">
        <f>tbl_profitability[[#This Row],[net_profit]]</f>
        <v>2413</v>
      </c>
      <c r="D223" s="42">
        <f>tbl_profitability[[#This Row],[net_margin_pct]]</f>
        <v>0.39347095848416658</v>
      </c>
      <c r="E223" s="49" t="str">
        <f>tbl_profitability[[#This Row],[decision]]</f>
        <v>SCALE</v>
      </c>
      <c r="F223" s="2">
        <f>tbl_raw[[#This Row],[gross_revenue]]-tbl_raw[[#This Row],[return_loss]]-tbl_raw[[#This Row],[cogs]]*(1+scn_A_cogs_up)-(tbl_raw[[#This Row],[storage_cost]]+tbl_raw[[#This Row],[fulfillment_cost]]+tbl_raw[[#This Row],[freight_cost]])</f>
        <v>2063.4419999999996</v>
      </c>
      <c r="G223" s="42">
        <f>tbl_scenarios[[#This Row],[net_profit_A]]/tbl_raw[[#This Row],[gross_revenue]]</f>
        <v>0.33647099109676148</v>
      </c>
      <c r="H223" s="43">
        <f>tbl_scenarios[[#This Row],[net_margin_A]]-tbl_scenarios[[#This Row],[net_margin_pct]]</f>
        <v>-5.6999967387405093E-2</v>
      </c>
      <c r="I22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23" s="2">
        <f>tbl_raw[[#This Row],[gross_revenue]]-tbl_raw[[#This Row],[return_loss]]*(1+scn_B_returns_up/0.05)-tbl_raw[[#This Row],[cogs]]-(tbl_raw[[#This Row],[storage_cost]]+tbl_raw[[#This Row],[fulfillment_cost]]+tbl_raw[[#This Row],[freight_cost]])</f>
        <v>2410.4800000000005</v>
      </c>
      <c r="K223" s="42">
        <f>tbl_scenarios[[#This Row],[net_profit_B]]/tbl_raw[[#This Row],[gross_revenue]]</f>
        <v>0.39306003978736592</v>
      </c>
      <c r="L223" s="43">
        <f>tbl_scenarios[[#This Row],[net_margin_B]]-tbl_scenarios[[#This Row],[net_margin_pct]]</f>
        <v>-4.1091869680065507E-4</v>
      </c>
      <c r="M22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23" s="2">
        <f>tbl_raw[[#This Row],[gross_revenue]]*(1-scn_C_price_down)-tbl_raw[[#This Row],[return_loss]]-tbl_raw[[#This Row],[cogs]]-(tbl_raw[[#This Row],[storage_cost]]+tbl_raw[[#This Row],[fulfillment_cost]]+tbl_raw[[#This Row],[freight_cost]])</f>
        <v>2106.37</v>
      </c>
      <c r="O223" s="42">
        <f>tbl_scenarios[[#This Row],[net_profit_C]]/(tbl_raw[[#This Row],[gross_revenue]]*(1-scn_C_price_down))</f>
        <v>0.36154837735175427</v>
      </c>
      <c r="P223" s="43">
        <f>tbl_scenarios[[#This Row],[net_margin_C]]-tbl_scenarios[[#This Row],[net_margin_pct]]</f>
        <v>-3.1922581132412309E-2</v>
      </c>
      <c r="Q22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2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24" spans="1:18" x14ac:dyDescent="0.35">
      <c r="A224" s="17" t="str">
        <f>tbl_raw[[#This Row],[product_id]]</f>
        <v>386486367c1f9d4f587a8864ccb6902b</v>
      </c>
      <c r="B224" t="str">
        <f>tbl_raw[[#This Row],[category]]</f>
        <v>bed_bath_table</v>
      </c>
      <c r="C224" s="2">
        <f>tbl_profitability[[#This Row],[net_profit]]</f>
        <v>1901.9299999999998</v>
      </c>
      <c r="D224" s="42">
        <f>tbl_profitability[[#This Row],[net_margin_pct]]</f>
        <v>0.31035450577244722</v>
      </c>
      <c r="E224" s="49" t="str">
        <f>tbl_profitability[[#This Row],[decision]]</f>
        <v>OPTIMIZE</v>
      </c>
      <c r="F224" s="2">
        <f>tbl_raw[[#This Row],[gross_revenue]]-tbl_raw[[#This Row],[return_loss]]-tbl_raw[[#This Row],[cogs]]*(1+scn_A_cogs_up)-(tbl_raw[[#This Row],[storage_cost]]+tbl_raw[[#This Row],[fulfillment_cost]]+tbl_raw[[#This Row],[freight_cost]])</f>
        <v>1626.1589999999997</v>
      </c>
      <c r="G224" s="42">
        <f>tbl_scenarios[[#This Row],[net_profit_A]]/tbl_raw[[#This Row],[gross_revenue]]</f>
        <v>0.26535454656712759</v>
      </c>
      <c r="H224" s="43">
        <f>tbl_scenarios[[#This Row],[net_margin_A]]-tbl_scenarios[[#This Row],[net_margin_pct]]</f>
        <v>-4.4999959205319628E-2</v>
      </c>
      <c r="I22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24" s="2">
        <f>tbl_raw[[#This Row],[gross_revenue]]-tbl_raw[[#This Row],[return_loss]]*(1+scn_B_returns_up/0.05)-tbl_raw[[#This Row],[cogs]]-(tbl_raw[[#This Row],[storage_cost]]+tbl_raw[[#This Row],[fulfillment_cost]]+tbl_raw[[#This Row],[freight_cost]])</f>
        <v>1882.1299999999997</v>
      </c>
      <c r="K224" s="42">
        <f>tbl_scenarios[[#This Row],[net_profit_B]]/tbl_raw[[#This Row],[gross_revenue]]</f>
        <v>0.30712356708685185</v>
      </c>
      <c r="L224" s="43">
        <f>tbl_scenarios[[#This Row],[net_margin_B]]-tbl_scenarios[[#This Row],[net_margin_pct]]</f>
        <v>-3.2309386855953748E-3</v>
      </c>
      <c r="M224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24" s="2">
        <f>tbl_raw[[#This Row],[gross_revenue]]*(1-scn_C_price_down)-tbl_raw[[#This Row],[return_loss]]-tbl_raw[[#This Row],[cogs]]-(tbl_raw[[#This Row],[storage_cost]]+tbl_raw[[#This Row],[fulfillment_cost]]+tbl_raw[[#This Row],[freight_cost]])</f>
        <v>1595.5174999999995</v>
      </c>
      <c r="O224" s="42">
        <f>tbl_scenarios[[#This Row],[net_profit_C]]/(tbl_raw[[#This Row],[gross_revenue]]*(1-scn_C_price_down))</f>
        <v>0.27405737449731282</v>
      </c>
      <c r="P224" s="43">
        <f>tbl_scenarios[[#This Row],[net_margin_C]]-tbl_scenarios[[#This Row],[net_margin_pct]]</f>
        <v>-3.6297131275134398E-2</v>
      </c>
      <c r="Q22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2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25" spans="1:18" x14ac:dyDescent="0.35">
      <c r="A225" s="17" t="str">
        <f>tbl_raw[[#This Row],[product_id]]</f>
        <v>4b96786612ebe7463132fce2c4dca136</v>
      </c>
      <c r="B225" t="str">
        <f>tbl_raw[[#This Row],[category]]</f>
        <v>housewares</v>
      </c>
      <c r="C225" s="2">
        <f>tbl_profitability[[#This Row],[net_profit]]</f>
        <v>1563.5399999999995</v>
      </c>
      <c r="D225" s="42">
        <f>tbl_profitability[[#This Row],[net_margin_pct]]</f>
        <v>0.25663356585966346</v>
      </c>
      <c r="E225" s="49" t="str">
        <f>tbl_profitability[[#This Row],[decision]]</f>
        <v>SCALE</v>
      </c>
      <c r="F225" s="2">
        <f>tbl_raw[[#This Row],[gross_revenue]]-tbl_raw[[#This Row],[return_loss]]-tbl_raw[[#This Row],[cogs]]*(1+scn_A_cogs_up)-(tbl_raw[[#This Row],[storage_cost]]+tbl_raw[[#This Row],[fulfillment_cost]]+tbl_raw[[#This Row],[freight_cost]])</f>
        <v>1289.376999999999</v>
      </c>
      <c r="G225" s="42">
        <f>tbl_scenarios[[#This Row],[net_profit_A]]/tbl_raw[[#This Row],[gross_revenue]]</f>
        <v>0.21163348379154684</v>
      </c>
      <c r="H225" s="43">
        <f>tbl_scenarios[[#This Row],[net_margin_A]]-tbl_scenarios[[#This Row],[net_margin_pct]]</f>
        <v>-4.500008206811662E-2</v>
      </c>
      <c r="I225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25" s="2">
        <f>tbl_raw[[#This Row],[gross_revenue]]-tbl_raw[[#This Row],[return_loss]]*(1+scn_B_returns_up/0.05)-tbl_raw[[#This Row],[cogs]]-(tbl_raw[[#This Row],[storage_cost]]+tbl_raw[[#This Row],[fulfillment_cost]]+tbl_raw[[#This Row],[freight_cost]])</f>
        <v>1545.9</v>
      </c>
      <c r="K225" s="42">
        <f>tbl_scenarios[[#This Row],[net_profit_B]]/tbl_raw[[#This Row],[gross_revenue]]</f>
        <v>0.25373820270824787</v>
      </c>
      <c r="L225" s="43">
        <f>tbl_scenarios[[#This Row],[net_margin_B]]-tbl_scenarios[[#This Row],[net_margin_pct]]</f>
        <v>-2.8953631514155864E-3</v>
      </c>
      <c r="M22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25" s="2">
        <f>tbl_raw[[#This Row],[gross_revenue]]*(1-scn_C_price_down)-tbl_raw[[#This Row],[return_loss]]-tbl_raw[[#This Row],[cogs]]-(tbl_raw[[#This Row],[storage_cost]]+tbl_raw[[#This Row],[fulfillment_cost]]+tbl_raw[[#This Row],[freight_cost]])</f>
        <v>1258.9149999999995</v>
      </c>
      <c r="O225" s="42">
        <f>tbl_scenarios[[#This Row],[net_profit_C]]/(tbl_raw[[#This Row],[gross_revenue]]*(1-scn_C_price_down))</f>
        <v>0.21750901669438258</v>
      </c>
      <c r="P225" s="43">
        <f>tbl_scenarios[[#This Row],[net_margin_C]]-tbl_scenarios[[#This Row],[net_margin_pct]]</f>
        <v>-3.9124549165280881E-2</v>
      </c>
      <c r="Q225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2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226" spans="1:18" x14ac:dyDescent="0.35">
      <c r="A226" s="17" t="str">
        <f>tbl_raw[[#This Row],[product_id]]</f>
        <v>23e44bcf966914b366c7e28f13327dfe</v>
      </c>
      <c r="B226" t="str">
        <f>tbl_raw[[#This Row],[category]]</f>
        <v>garden_tools</v>
      </c>
      <c r="C226" s="2">
        <f>tbl_profitability[[#This Row],[net_profit]]</f>
        <v>3029.9</v>
      </c>
      <c r="D226" s="42">
        <f>tbl_profitability[[#This Row],[net_margin_pct]]</f>
        <v>0.49776573024478399</v>
      </c>
      <c r="E226" s="49" t="str">
        <f>tbl_profitability[[#This Row],[decision]]</f>
        <v>OPTIMIZE</v>
      </c>
      <c r="F226" s="2">
        <f>tbl_raw[[#This Row],[gross_revenue]]-tbl_raw[[#This Row],[return_loss]]-tbl_raw[[#This Row],[cogs]]*(1+scn_A_cogs_up)-(tbl_raw[[#This Row],[storage_cost]]+tbl_raw[[#This Row],[fulfillment_cost]]+tbl_raw[[#This Row],[freight_cost]])</f>
        <v>2755.9849999999997</v>
      </c>
      <c r="G226" s="42">
        <f>tbl_scenarios[[#This Row],[net_profit_A]]/tbl_raw[[#This Row],[gross_revenue]]</f>
        <v>0.45276573024478389</v>
      </c>
      <c r="H226" s="43">
        <f>tbl_scenarios[[#This Row],[net_margin_A]]-tbl_scenarios[[#This Row],[net_margin_pct]]</f>
        <v>-4.5000000000000095E-2</v>
      </c>
      <c r="I22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26" s="2">
        <f>tbl_raw[[#This Row],[gross_revenue]]-tbl_raw[[#This Row],[return_loss]]*(1+scn_B_returns_up/0.05)-tbl_raw[[#This Row],[cogs]]-(tbl_raw[[#This Row],[storage_cost]]+tbl_raw[[#This Row],[fulfillment_cost]]+tbl_raw[[#This Row],[freight_cost]])</f>
        <v>3028.82</v>
      </c>
      <c r="K226" s="42">
        <f>tbl_scenarios[[#This Row],[net_profit_B]]/tbl_raw[[#This Row],[gross_revenue]]</f>
        <v>0.49758830294069328</v>
      </c>
      <c r="L226" s="43">
        <f>tbl_scenarios[[#This Row],[net_margin_B]]-tbl_scenarios[[#This Row],[net_margin_pct]]</f>
        <v>-1.7742730409070484E-4</v>
      </c>
      <c r="M22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26" s="2">
        <f>tbl_raw[[#This Row],[gross_revenue]]*(1-scn_C_price_down)-tbl_raw[[#This Row],[return_loss]]-tbl_raw[[#This Row],[cogs]]-(tbl_raw[[#This Row],[storage_cost]]+tbl_raw[[#This Row],[fulfillment_cost]]+tbl_raw[[#This Row],[freight_cost]])</f>
        <v>2725.5499999999997</v>
      </c>
      <c r="O226" s="42">
        <f>tbl_scenarios[[#This Row],[net_profit_C]]/(tbl_raw[[#This Row],[gross_revenue]]*(1-scn_C_price_down))</f>
        <v>0.47133234762608839</v>
      </c>
      <c r="P226" s="43">
        <f>tbl_scenarios[[#This Row],[net_margin_C]]-tbl_scenarios[[#This Row],[net_margin_pct]]</f>
        <v>-2.64333826186956E-2</v>
      </c>
      <c r="Q22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2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27" spans="1:18" x14ac:dyDescent="0.35">
      <c r="A227" s="17" t="str">
        <f>tbl_raw[[#This Row],[product_id]]</f>
        <v>e7f85e7f0203b7b95cc1b4c21b4b070c</v>
      </c>
      <c r="B227" t="str">
        <f>tbl_raw[[#This Row],[category]]</f>
        <v>cool_stuff</v>
      </c>
      <c r="C227" s="2">
        <f>tbl_profitability[[#This Row],[net_profit]]</f>
        <v>2190.8100000000004</v>
      </c>
      <c r="D227" s="42">
        <f>tbl_profitability[[#This Row],[net_margin_pct]]</f>
        <v>0.36093194747169222</v>
      </c>
      <c r="E227" s="49" t="str">
        <f>tbl_profitability[[#This Row],[decision]]</f>
        <v>SCALE</v>
      </c>
      <c r="F227" s="2">
        <f>tbl_raw[[#This Row],[gross_revenue]]-tbl_raw[[#This Row],[return_loss]]-tbl_raw[[#This Row],[cogs]]*(1+scn_A_cogs_up)-(tbl_raw[[#This Row],[storage_cost]]+tbl_raw[[#This Row],[fulfillment_cost]]+tbl_raw[[#This Row],[freight_cost]])</f>
        <v>1917.6659999999999</v>
      </c>
      <c r="G227" s="42">
        <f>tbl_scenarios[[#This Row],[net_profit_A]]/tbl_raw[[#This Row],[gross_revenue]]</f>
        <v>0.31593197218391827</v>
      </c>
      <c r="H227" s="43">
        <f>tbl_scenarios[[#This Row],[net_margin_A]]-tbl_scenarios[[#This Row],[net_margin_pct]]</f>
        <v>-4.4999975287773941E-2</v>
      </c>
      <c r="I22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27" s="2">
        <f>tbl_raw[[#This Row],[gross_revenue]]-tbl_raw[[#This Row],[return_loss]]*(1+scn_B_returns_up/0.05)-tbl_raw[[#This Row],[cogs]]-(tbl_raw[[#This Row],[storage_cost]]+tbl_raw[[#This Row],[fulfillment_cost]]+tbl_raw[[#This Row],[freight_cost]])</f>
        <v>2182.5299999999997</v>
      </c>
      <c r="K227" s="42">
        <f>tbl_scenarios[[#This Row],[net_profit_B]]/tbl_raw[[#This Row],[gross_revenue]]</f>
        <v>0.35956783258949532</v>
      </c>
      <c r="L227" s="43">
        <f>tbl_scenarios[[#This Row],[net_margin_B]]-tbl_scenarios[[#This Row],[net_margin_pct]]</f>
        <v>-1.3641148821968985E-3</v>
      </c>
      <c r="M22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27" s="2">
        <f>tbl_raw[[#This Row],[gross_revenue]]*(1-scn_C_price_down)-tbl_raw[[#This Row],[return_loss]]-tbl_raw[[#This Row],[cogs]]-(tbl_raw[[#This Row],[storage_cost]]+tbl_raw[[#This Row],[fulfillment_cost]]+tbl_raw[[#This Row],[freight_cost]])</f>
        <v>1887.3164999999997</v>
      </c>
      <c r="O227" s="42">
        <f>tbl_scenarios[[#This Row],[net_profit_C]]/(tbl_raw[[#This Row],[gross_revenue]]*(1-scn_C_price_down))</f>
        <v>0.32729678681230751</v>
      </c>
      <c r="P227" s="43">
        <f>tbl_scenarios[[#This Row],[net_margin_C]]-tbl_scenarios[[#This Row],[net_margin_pct]]</f>
        <v>-3.3635160659384711E-2</v>
      </c>
      <c r="Q22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2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28" spans="1:18" x14ac:dyDescent="0.35">
      <c r="A228" s="17" t="str">
        <f>tbl_raw[[#This Row],[product_id]]</f>
        <v>83b00325c13c44245b2c3a2befa62a0e</v>
      </c>
      <c r="B228" t="str">
        <f>tbl_raw[[#This Row],[category]]</f>
        <v>baby</v>
      </c>
      <c r="C228" s="2">
        <f>tbl_profitability[[#This Row],[net_profit]]</f>
        <v>1207.75</v>
      </c>
      <c r="D228" s="42">
        <f>tbl_profitability[[#This Row],[net_margin_pct]]</f>
        <v>0.20063525499075524</v>
      </c>
      <c r="E228" s="49" t="str">
        <f>tbl_profitability[[#This Row],[decision]]</f>
        <v>OPTIMIZE</v>
      </c>
      <c r="F228" s="2">
        <f>tbl_raw[[#This Row],[gross_revenue]]-tbl_raw[[#This Row],[return_loss]]-tbl_raw[[#This Row],[cogs]]*(1+scn_A_cogs_up)-(tbl_raw[[#This Row],[storage_cost]]+tbl_raw[[#This Row],[fulfillment_cost]]+tbl_raw[[#This Row],[freight_cost]])</f>
        <v>954.92599999999993</v>
      </c>
      <c r="G228" s="42">
        <f>tbl_scenarios[[#This Row],[net_profit_A]]/tbl_raw[[#This Row],[gross_revenue]]</f>
        <v>0.15863533140741207</v>
      </c>
      <c r="H228" s="43">
        <f>tbl_scenarios[[#This Row],[net_margin_A]]-tbl_scenarios[[#This Row],[net_margin_pct]]</f>
        <v>-4.1999923583343174E-2</v>
      </c>
      <c r="I22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28" s="2">
        <f>tbl_raw[[#This Row],[gross_revenue]]-tbl_raw[[#This Row],[return_loss]]*(1+scn_B_returns_up/0.05)-tbl_raw[[#This Row],[cogs]]-(tbl_raw[[#This Row],[storage_cost]]+tbl_raw[[#This Row],[fulfillment_cost]]+tbl_raw[[#This Row],[freight_cost]])</f>
        <v>1194.0700000000006</v>
      </c>
      <c r="K228" s="42">
        <f>tbl_scenarios[[#This Row],[net_profit_B]]/tbl_raw[[#This Row],[gross_revenue]]</f>
        <v>0.19836269006566859</v>
      </c>
      <c r="L228" s="43">
        <f>tbl_scenarios[[#This Row],[net_margin_B]]-tbl_scenarios[[#This Row],[net_margin_pct]]</f>
        <v>-2.2725649250866509E-3</v>
      </c>
      <c r="M22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28" s="2">
        <f>tbl_raw[[#This Row],[gross_revenue]]*(1-scn_C_price_down)-tbl_raw[[#This Row],[return_loss]]-tbl_raw[[#This Row],[cogs]]-(tbl_raw[[#This Row],[storage_cost]]+tbl_raw[[#This Row],[fulfillment_cost]]+tbl_raw[[#This Row],[freight_cost]])</f>
        <v>906.76850000000013</v>
      </c>
      <c r="O228" s="42">
        <f>tbl_scenarios[[#This Row],[net_profit_C]]/(tbl_raw[[#This Row],[gross_revenue]]*(1-scn_C_price_down))</f>
        <v>0.15856342630605816</v>
      </c>
      <c r="P228" s="43">
        <f>tbl_scenarios[[#This Row],[net_margin_C]]-tbl_scenarios[[#This Row],[net_margin_pct]]</f>
        <v>-4.2071828684697082E-2</v>
      </c>
      <c r="Q22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2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29" spans="1:18" x14ac:dyDescent="0.35">
      <c r="A229" s="17" t="str">
        <f>tbl_raw[[#This Row],[product_id]]</f>
        <v>4e5e41fb7d296a6f776c63fee5cb9fac</v>
      </c>
      <c r="B229" t="str">
        <f>tbl_raw[[#This Row],[category]]</f>
        <v>watches_gifts</v>
      </c>
      <c r="C229" s="2">
        <f>tbl_profitability[[#This Row],[net_profit]]</f>
        <v>3245.84</v>
      </c>
      <c r="D229" s="42">
        <f>tbl_profitability[[#This Row],[net_margin_pct]]</f>
        <v>0.53979119062586267</v>
      </c>
      <c r="E229" s="49" t="str">
        <f>tbl_profitability[[#This Row],[decision]]</f>
        <v>SCALE</v>
      </c>
      <c r="F229" s="2">
        <f>tbl_raw[[#This Row],[gross_revenue]]-tbl_raw[[#This Row],[return_loss]]-tbl_raw[[#This Row],[cogs]]*(1+scn_A_cogs_up)-(tbl_raw[[#This Row],[storage_cost]]+tbl_raw[[#This Row],[fulfillment_cost]]+tbl_raw[[#This Row],[freight_cost]])</f>
        <v>2993.288</v>
      </c>
      <c r="G229" s="42">
        <f>tbl_scenarios[[#This Row],[net_profit_A]]/tbl_raw[[#This Row],[gross_revenue]]</f>
        <v>0.49779117066956696</v>
      </c>
      <c r="H229" s="43">
        <f>tbl_scenarios[[#This Row],[net_margin_A]]-tbl_scenarios[[#This Row],[net_margin_pct]]</f>
        <v>-4.2000019956295709E-2</v>
      </c>
      <c r="I22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29" s="2">
        <f>tbl_raw[[#This Row],[gross_revenue]]-tbl_raw[[#This Row],[return_loss]]*(1+scn_B_returns_up/0.05)-tbl_raw[[#This Row],[cogs]]-(tbl_raw[[#This Row],[storage_cost]]+tbl_raw[[#This Row],[fulfillment_cost]]+tbl_raw[[#This Row],[freight_cost]])</f>
        <v>3242.2400000000007</v>
      </c>
      <c r="K229" s="42">
        <f>tbl_scenarios[[#This Row],[net_profit_B]]/tbl_raw[[#This Row],[gross_revenue]]</f>
        <v>0.53919250175449107</v>
      </c>
      <c r="L229" s="43">
        <f>tbl_scenarios[[#This Row],[net_margin_B]]-tbl_scenarios[[#This Row],[net_margin_pct]]</f>
        <v>-5.9868887137159987E-4</v>
      </c>
      <c r="M22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29" s="2">
        <f>tbl_raw[[#This Row],[gross_revenue]]*(1-scn_C_price_down)-tbl_raw[[#This Row],[return_loss]]-tbl_raw[[#This Row],[cogs]]-(tbl_raw[[#This Row],[storage_cost]]+tbl_raw[[#This Row],[fulfillment_cost]]+tbl_raw[[#This Row],[freight_cost]])</f>
        <v>2945.183</v>
      </c>
      <c r="O229" s="42">
        <f>tbl_scenarios[[#This Row],[net_profit_C]]/(tbl_raw[[#This Row],[gross_revenue]]*(1-scn_C_price_down))</f>
        <v>0.51556967434301337</v>
      </c>
      <c r="P229" s="43">
        <f>tbl_scenarios[[#This Row],[net_margin_C]]-tbl_scenarios[[#This Row],[net_margin_pct]]</f>
        <v>-2.4221516282849298E-2</v>
      </c>
      <c r="Q22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2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30" spans="1:18" x14ac:dyDescent="0.35">
      <c r="A230" s="17" t="str">
        <f>tbl_raw[[#This Row],[product_id]]</f>
        <v>ec2d43cc59763ec91694573b31f1c29a</v>
      </c>
      <c r="B230" t="str">
        <f>tbl_raw[[#This Row],[category]]</f>
        <v>bed_bath_table</v>
      </c>
      <c r="C230" s="2">
        <f>tbl_profitability[[#This Row],[net_profit]]</f>
        <v>353.38000000000011</v>
      </c>
      <c r="D230" s="42">
        <f>tbl_profitability[[#This Row],[net_margin_pct]]</f>
        <v>5.8781357237552352E-2</v>
      </c>
      <c r="E230" s="49" t="str">
        <f>tbl_profitability[[#This Row],[decision]]</f>
        <v>EXIT</v>
      </c>
      <c r="F230" s="2">
        <f>tbl_raw[[#This Row],[gross_revenue]]-tbl_raw[[#This Row],[return_loss]]-tbl_raw[[#This Row],[cogs]]*(1+scn_A_cogs_up)-(tbl_raw[[#This Row],[storage_cost]]+tbl_raw[[#This Row],[fulfillment_cost]]+tbl_raw[[#This Row],[freight_cost]])</f>
        <v>82.849999999999909</v>
      </c>
      <c r="G230" s="42">
        <f>tbl_scenarios[[#This Row],[net_profit_A]]/tbl_raw[[#This Row],[gross_revenue]]</f>
        <v>1.3781299018425506E-2</v>
      </c>
      <c r="H230" s="43">
        <f>tbl_scenarios[[#This Row],[net_margin_A]]-tbl_scenarios[[#This Row],[net_margin_pct]]</f>
        <v>-4.5000058219126844E-2</v>
      </c>
      <c r="I230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30" s="2">
        <f>tbl_raw[[#This Row],[gross_revenue]]-tbl_raw[[#This Row],[return_loss]]*(1+scn_B_returns_up/0.05)-tbl_raw[[#This Row],[cogs]]-(tbl_raw[[#This Row],[storage_cost]]+tbl_raw[[#This Row],[fulfillment_cost]]+tbl_raw[[#This Row],[freight_cost]])</f>
        <v>306.22000000000025</v>
      </c>
      <c r="K230" s="42">
        <f>tbl_scenarios[[#This Row],[net_profit_B]]/tbl_raw[[#This Row],[gross_revenue]]</f>
        <v>5.0936745750419635E-2</v>
      </c>
      <c r="L230" s="43">
        <f>tbl_scenarios[[#This Row],[net_margin_B]]-tbl_scenarios[[#This Row],[net_margin_pct]]</f>
        <v>-7.8446114871327174E-3</v>
      </c>
      <c r="M230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30" s="2">
        <f>tbl_raw[[#This Row],[gross_revenue]]*(1-scn_C_price_down)-tbl_raw[[#This Row],[return_loss]]-tbl_raw[[#This Row],[cogs]]-(tbl_raw[[#This Row],[storage_cost]]+tbl_raw[[#This Row],[fulfillment_cost]]+tbl_raw[[#This Row],[freight_cost]])</f>
        <v>52.791500000000269</v>
      </c>
      <c r="O230" s="42">
        <f>tbl_scenarios[[#This Row],[net_profit_C]]/(tbl_raw[[#This Row],[gross_revenue]]*(1-scn_C_price_down))</f>
        <v>9.2435339342656613E-3</v>
      </c>
      <c r="P230" s="43">
        <f>tbl_scenarios[[#This Row],[net_margin_C]]-tbl_scenarios[[#This Row],[net_margin_pct]]</f>
        <v>-4.9537823303286689E-2</v>
      </c>
      <c r="Q230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3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31" spans="1:18" x14ac:dyDescent="0.35">
      <c r="A231" s="17" t="str">
        <f>tbl_raw[[#This Row],[product_id]]</f>
        <v>cf78006a2a6b0429b9663edd99bb38f9</v>
      </c>
      <c r="B231" t="str">
        <f>tbl_raw[[#This Row],[category]]</f>
        <v>furniture_decor</v>
      </c>
      <c r="C231" s="2">
        <f>tbl_profitability[[#This Row],[net_profit]]</f>
        <v>2473.9400000000005</v>
      </c>
      <c r="D231" s="42">
        <f>tbl_profitability[[#This Row],[net_margin_pct]]</f>
        <v>0.41233707790259683</v>
      </c>
      <c r="E231" s="49" t="str">
        <f>tbl_profitability[[#This Row],[decision]]</f>
        <v>OPTIMIZE</v>
      </c>
      <c r="F231" s="2">
        <f>tbl_raw[[#This Row],[gross_revenue]]-tbl_raw[[#This Row],[return_loss]]-tbl_raw[[#This Row],[cogs]]*(1+scn_A_cogs_up)-(tbl_raw[[#This Row],[storage_cost]]+tbl_raw[[#This Row],[fulfillment_cost]]+tbl_raw[[#This Row],[freight_cost]])</f>
        <v>2203.9490000000001</v>
      </c>
      <c r="G231" s="42">
        <f>tbl_scenarios[[#This Row],[net_profit_A]]/tbl_raw[[#This Row],[gross_revenue]]</f>
        <v>0.36733707790259673</v>
      </c>
      <c r="H231" s="43">
        <f>tbl_scenarios[[#This Row],[net_margin_A]]-tbl_scenarios[[#This Row],[net_margin_pct]]</f>
        <v>-4.5000000000000095E-2</v>
      </c>
      <c r="I23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31" s="2">
        <f>tbl_raw[[#This Row],[gross_revenue]]-tbl_raw[[#This Row],[return_loss]]*(1+scn_B_returns_up/0.05)-tbl_raw[[#This Row],[cogs]]-(tbl_raw[[#This Row],[storage_cost]]+tbl_raw[[#This Row],[fulfillment_cost]]+tbl_raw[[#This Row],[freight_cost]])</f>
        <v>2466.7400000000007</v>
      </c>
      <c r="K231" s="42">
        <f>tbl_scenarios[[#This Row],[net_profit_B]]/tbl_raw[[#This Row],[gross_revenue]]</f>
        <v>0.41113703790126349</v>
      </c>
      <c r="L231" s="43">
        <f>tbl_scenarios[[#This Row],[net_margin_B]]-tbl_scenarios[[#This Row],[net_margin_pct]]</f>
        <v>-1.2000400013333357E-3</v>
      </c>
      <c r="M23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31" s="2">
        <f>tbl_raw[[#This Row],[gross_revenue]]*(1-scn_C_price_down)-tbl_raw[[#This Row],[return_loss]]-tbl_raw[[#This Row],[cogs]]-(tbl_raw[[#This Row],[storage_cost]]+tbl_raw[[#This Row],[fulfillment_cost]]+tbl_raw[[#This Row],[freight_cost]])</f>
        <v>2173.9499999999998</v>
      </c>
      <c r="O231" s="42">
        <f>tbl_scenarios[[#This Row],[net_profit_C]]/(tbl_raw[[#This Row],[gross_revenue]]*(1-scn_C_price_down))</f>
        <v>0.38140745042378604</v>
      </c>
      <c r="P231" s="43">
        <f>tbl_scenarios[[#This Row],[net_margin_C]]-tbl_scenarios[[#This Row],[net_margin_pct]]</f>
        <v>-3.0929627478810784E-2</v>
      </c>
      <c r="Q23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3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32" spans="1:18" x14ac:dyDescent="0.35">
      <c r="A232" s="17" t="str">
        <f>tbl_raw[[#This Row],[product_id]]</f>
        <v>59f09deeea7c839a9212a19f3416b892</v>
      </c>
      <c r="B232" t="str">
        <f>tbl_raw[[#This Row],[category]]</f>
        <v>housewares</v>
      </c>
      <c r="C232" s="2">
        <f>tbl_profitability[[#This Row],[net_profit]]</f>
        <v>1794.7899999999993</v>
      </c>
      <c r="D232" s="42">
        <f>tbl_profitability[[#This Row],[net_margin_pct]]</f>
        <v>0.29921145638837016</v>
      </c>
      <c r="E232" s="49" t="str">
        <f>tbl_profitability[[#This Row],[decision]]</f>
        <v>OPTIMIZE</v>
      </c>
      <c r="F232" s="2">
        <f>tbl_raw[[#This Row],[gross_revenue]]-tbl_raw[[#This Row],[return_loss]]-tbl_raw[[#This Row],[cogs]]*(1+scn_A_cogs_up)-(tbl_raw[[#This Row],[storage_cost]]+tbl_raw[[#This Row],[fulfillment_cost]]+tbl_raw[[#This Row],[freight_cost]])</f>
        <v>1524.8619999999989</v>
      </c>
      <c r="G232" s="42">
        <f>tbl_scenarios[[#This Row],[net_profit_A]]/tbl_raw[[#This Row],[gross_revenue]]</f>
        <v>0.25421145638837006</v>
      </c>
      <c r="H232" s="43">
        <f>tbl_scenarios[[#This Row],[net_margin_A]]-tbl_scenarios[[#This Row],[net_margin_pct]]</f>
        <v>-4.5000000000000095E-2</v>
      </c>
      <c r="I23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32" s="2">
        <f>tbl_raw[[#This Row],[gross_revenue]]-tbl_raw[[#This Row],[return_loss]]*(1+scn_B_returns_up/0.05)-tbl_raw[[#This Row],[cogs]]-(tbl_raw[[#This Row],[storage_cost]]+tbl_raw[[#This Row],[fulfillment_cost]]+tbl_raw[[#This Row],[freight_cost]])</f>
        <v>1789.0299999999991</v>
      </c>
      <c r="K232" s="42">
        <f>tbl_scenarios[[#This Row],[net_profit_B]]/tbl_raw[[#This Row],[gross_revenue]]</f>
        <v>0.29825120032008523</v>
      </c>
      <c r="L232" s="43">
        <f>tbl_scenarios[[#This Row],[net_margin_B]]-tbl_scenarios[[#This Row],[net_margin_pct]]</f>
        <v>-9.6025606828492593E-4</v>
      </c>
      <c r="M23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32" s="2">
        <f>tbl_raw[[#This Row],[gross_revenue]]*(1-scn_C_price_down)-tbl_raw[[#This Row],[return_loss]]-tbl_raw[[#This Row],[cogs]]-(tbl_raw[[#This Row],[storage_cost]]+tbl_raw[[#This Row],[fulfillment_cost]]+tbl_raw[[#This Row],[freight_cost]])</f>
        <v>1494.8699999999992</v>
      </c>
      <c r="O232" s="42">
        <f>tbl_scenarios[[#This Row],[net_profit_C]]/(tbl_raw[[#This Row],[gross_revenue]]*(1-scn_C_price_down))</f>
        <v>0.26232784882986326</v>
      </c>
      <c r="P232" s="43">
        <f>tbl_scenarios[[#This Row],[net_margin_C]]-tbl_scenarios[[#This Row],[net_margin_pct]]</f>
        <v>-3.6883607558506892E-2</v>
      </c>
      <c r="Q23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3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33" spans="1:18" x14ac:dyDescent="0.35">
      <c r="A233" s="17" t="str">
        <f>tbl_raw[[#This Row],[product_id]]</f>
        <v>06abf4be826ed1d548e8a22a3d75d912</v>
      </c>
      <c r="B233" t="str">
        <f>tbl_raw[[#This Row],[category]]</f>
        <v>health_beauty</v>
      </c>
      <c r="C233" s="2">
        <f>tbl_profitability[[#This Row],[net_profit]]</f>
        <v>3062.0099999999993</v>
      </c>
      <c r="D233" s="42">
        <f>tbl_profitability[[#This Row],[net_margin_pct]]</f>
        <v>0.51118697829716186</v>
      </c>
      <c r="E233" s="49" t="str">
        <f>tbl_profitability[[#This Row],[decision]]</f>
        <v>SCALE</v>
      </c>
      <c r="F233" s="2">
        <f>tbl_raw[[#This Row],[gross_revenue]]-tbl_raw[[#This Row],[return_loss]]-tbl_raw[[#This Row],[cogs]]*(1+scn_A_cogs_up)-(tbl_raw[[#This Row],[storage_cost]]+tbl_raw[[#This Row],[fulfillment_cost]]+tbl_raw[[#This Row],[freight_cost]])</f>
        <v>2810.4299999999989</v>
      </c>
      <c r="G233" s="42">
        <f>tbl_scenarios[[#This Row],[net_profit_A]]/tbl_raw[[#This Row],[gross_revenue]]</f>
        <v>0.46918697829716177</v>
      </c>
      <c r="H233" s="43">
        <f>tbl_scenarios[[#This Row],[net_margin_A]]-tbl_scenarios[[#This Row],[net_margin_pct]]</f>
        <v>-4.2000000000000093E-2</v>
      </c>
      <c r="I23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33" s="2">
        <f>tbl_raw[[#This Row],[gross_revenue]]-tbl_raw[[#This Row],[return_loss]]*(1+scn_B_returns_up/0.05)-tbl_raw[[#This Row],[cogs]]-(tbl_raw[[#This Row],[storage_cost]]+tbl_raw[[#This Row],[fulfillment_cost]]+tbl_raw[[#This Row],[freight_cost]])</f>
        <v>3058.41</v>
      </c>
      <c r="K233" s="42">
        <f>tbl_scenarios[[#This Row],[net_profit_B]]/tbl_raw[[#This Row],[gross_revenue]]</f>
        <v>0.51058597662771288</v>
      </c>
      <c r="L233" s="43">
        <f>tbl_scenarios[[#This Row],[net_margin_B]]-tbl_scenarios[[#This Row],[net_margin_pct]]</f>
        <v>-6.0100166944898614E-4</v>
      </c>
      <c r="M23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33" s="2">
        <f>tbl_raw[[#This Row],[gross_revenue]]*(1-scn_C_price_down)-tbl_raw[[#This Row],[return_loss]]-tbl_raw[[#This Row],[cogs]]-(tbl_raw[[#This Row],[storage_cost]]+tbl_raw[[#This Row],[fulfillment_cost]]+tbl_raw[[#This Row],[freight_cost]])</f>
        <v>2762.5099999999993</v>
      </c>
      <c r="O233" s="42">
        <f>tbl_scenarios[[#This Row],[net_profit_C]]/(tbl_raw[[#This Row],[gross_revenue]]*(1-scn_C_price_down))</f>
        <v>0.48545997715490719</v>
      </c>
      <c r="P233" s="43">
        <f>tbl_scenarios[[#This Row],[net_margin_C]]-tbl_scenarios[[#This Row],[net_margin_pct]]</f>
        <v>-2.572700114225468E-2</v>
      </c>
      <c r="Q23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3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34" spans="1:18" x14ac:dyDescent="0.35">
      <c r="A234" s="17" t="str">
        <f>tbl_raw[[#This Row],[product_id]]</f>
        <v>b914a18d4547eff292fedeccc82faec6</v>
      </c>
      <c r="B234" t="str">
        <f>tbl_raw[[#This Row],[category]]</f>
        <v>watches_gifts</v>
      </c>
      <c r="C234" s="2">
        <f>tbl_profitability[[#This Row],[net_profit]]</f>
        <v>3247.05</v>
      </c>
      <c r="D234" s="42">
        <f>tbl_profitability[[#This Row],[net_margin_pct]]</f>
        <v>0.54362493637995235</v>
      </c>
      <c r="E234" s="49" t="str">
        <f>tbl_profitability[[#This Row],[decision]]</f>
        <v>OPTIMIZE</v>
      </c>
      <c r="F234" s="2">
        <f>tbl_raw[[#This Row],[gross_revenue]]-tbl_raw[[#This Row],[return_loss]]-tbl_raw[[#This Row],[cogs]]*(1+scn_A_cogs_up)-(tbl_raw[[#This Row],[storage_cost]]+tbl_raw[[#This Row],[fulfillment_cost]]+tbl_raw[[#This Row],[freight_cost]])</f>
        <v>2996.1860000000001</v>
      </c>
      <c r="G234" s="42">
        <f>tbl_scenarios[[#This Row],[net_profit_A]]/tbl_raw[[#This Row],[gross_revenue]]</f>
        <v>0.50162498995472937</v>
      </c>
      <c r="H234" s="43">
        <f>tbl_scenarios[[#This Row],[net_margin_A]]-tbl_scenarios[[#This Row],[net_margin_pct]]</f>
        <v>-4.1999946425222978E-2</v>
      </c>
      <c r="I23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34" s="2">
        <f>tbl_raw[[#This Row],[gross_revenue]]-tbl_raw[[#This Row],[return_loss]]*(1+scn_B_returns_up/0.05)-tbl_raw[[#This Row],[cogs]]-(tbl_raw[[#This Row],[storage_cost]]+tbl_raw[[#This Row],[fulfillment_cost]]+tbl_raw[[#This Row],[freight_cost]])</f>
        <v>3244.17</v>
      </c>
      <c r="K234" s="42">
        <f>tbl_scenarios[[#This Row],[net_profit_B]]/tbl_raw[[#This Row],[gross_revenue]]</f>
        <v>0.54314276338699741</v>
      </c>
      <c r="L234" s="43">
        <f>tbl_scenarios[[#This Row],[net_margin_B]]-tbl_scenarios[[#This Row],[net_margin_pct]]</f>
        <v>-4.8217299295494342E-4</v>
      </c>
      <c r="M234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34" s="2">
        <f>tbl_raw[[#This Row],[gross_revenue]]*(1-scn_C_price_down)-tbl_raw[[#This Row],[return_loss]]-tbl_raw[[#This Row],[cogs]]-(tbl_raw[[#This Row],[storage_cost]]+tbl_raw[[#This Row],[fulfillment_cost]]+tbl_raw[[#This Row],[freight_cost]])</f>
        <v>2948.402</v>
      </c>
      <c r="O234" s="42">
        <f>tbl_scenarios[[#This Row],[net_profit_C]]/(tbl_raw[[#This Row],[gross_revenue]]*(1-scn_C_price_down))</f>
        <v>0.51960519618942347</v>
      </c>
      <c r="P234" s="43">
        <f>tbl_scenarios[[#This Row],[net_margin_C]]-tbl_scenarios[[#This Row],[net_margin_pct]]</f>
        <v>-2.4019740190528882E-2</v>
      </c>
      <c r="Q23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3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35" spans="1:18" x14ac:dyDescent="0.35">
      <c r="A235" s="17" t="str">
        <f>tbl_raw[[#This Row],[product_id]]</f>
        <v>f40876e0ef3cd5f9132b1f16b04b1346</v>
      </c>
      <c r="B235" t="str">
        <f>tbl_raw[[#This Row],[category]]</f>
        <v>health_beauty</v>
      </c>
      <c r="C235" s="2">
        <f>tbl_profitability[[#This Row],[net_profit]]</f>
        <v>2139.4499999999998</v>
      </c>
      <c r="D235" s="42">
        <f>tbl_profitability[[#This Row],[net_margin_pct]]</f>
        <v>0.35869729231285102</v>
      </c>
      <c r="E235" s="49" t="str">
        <f>tbl_profitability[[#This Row],[decision]]</f>
        <v>SCALE</v>
      </c>
      <c r="F235" s="2">
        <f>tbl_raw[[#This Row],[gross_revenue]]-tbl_raw[[#This Row],[return_loss]]-tbl_raw[[#This Row],[cogs]]*(1+scn_A_cogs_up)-(tbl_raw[[#This Row],[storage_cost]]+tbl_raw[[#This Row],[fulfillment_cost]]+tbl_raw[[#This Row],[freight_cost]])</f>
        <v>1888.9409999999996</v>
      </c>
      <c r="G235" s="42">
        <f>tbl_scenarios[[#This Row],[net_profit_A]]/tbl_raw[[#This Row],[gross_revenue]]</f>
        <v>0.31669729231285099</v>
      </c>
      <c r="H235" s="43">
        <f>tbl_scenarios[[#This Row],[net_margin_A]]-tbl_scenarios[[#This Row],[net_margin_pct]]</f>
        <v>-4.2000000000000037E-2</v>
      </c>
      <c r="I23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35" s="2">
        <f>tbl_raw[[#This Row],[gross_revenue]]-tbl_raw[[#This Row],[return_loss]]*(1+scn_B_returns_up/0.05)-tbl_raw[[#This Row],[cogs]]-(tbl_raw[[#This Row],[storage_cost]]+tbl_raw[[#This Row],[fulfillment_cost]]+tbl_raw[[#This Row],[freight_cost]])</f>
        <v>2119.6499999999996</v>
      </c>
      <c r="K235" s="42">
        <f>tbl_scenarios[[#This Row],[net_profit_B]]/tbl_raw[[#This Row],[gross_revenue]]</f>
        <v>0.35537765110235553</v>
      </c>
      <c r="L235" s="43">
        <f>tbl_scenarios[[#This Row],[net_margin_B]]-tbl_scenarios[[#This Row],[net_margin_pct]]</f>
        <v>-3.3196412104954942E-3</v>
      </c>
      <c r="M23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35" s="2">
        <f>tbl_raw[[#This Row],[gross_revenue]]*(1-scn_C_price_down)-tbl_raw[[#This Row],[return_loss]]-tbl_raw[[#This Row],[cogs]]-(tbl_raw[[#This Row],[storage_cost]]+tbl_raw[[#This Row],[fulfillment_cost]]+tbl_raw[[#This Row],[freight_cost]])</f>
        <v>1841.2249999999992</v>
      </c>
      <c r="O235" s="42">
        <f>tbl_scenarios[[#This Row],[net_profit_C]]/(tbl_raw[[#This Row],[gross_revenue]]*(1-scn_C_price_down))</f>
        <v>0.32494451822405362</v>
      </c>
      <c r="P235" s="43">
        <f>tbl_scenarios[[#This Row],[net_margin_C]]-tbl_scenarios[[#This Row],[net_margin_pct]]</f>
        <v>-3.3752774088797399E-2</v>
      </c>
      <c r="Q23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3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36" spans="1:18" x14ac:dyDescent="0.35">
      <c r="A236" s="17" t="str">
        <f>tbl_raw[[#This Row],[product_id]]</f>
        <v>caaa713799b547352795c831a14f1c3c</v>
      </c>
      <c r="B236" t="str">
        <f>tbl_raw[[#This Row],[category]]</f>
        <v>computers</v>
      </c>
      <c r="C236" s="2">
        <f>tbl_profitability[[#This Row],[net_profit]]</f>
        <v>2182.16</v>
      </c>
      <c r="D236" s="42">
        <f>tbl_profitability[[#This Row],[net_margin_pct]]</f>
        <v>0.36675389458363372</v>
      </c>
      <c r="E236" s="49" t="str">
        <f>tbl_profitability[[#This Row],[decision]]</f>
        <v>SCALE</v>
      </c>
      <c r="F236" s="2">
        <f>tbl_raw[[#This Row],[gross_revenue]]-tbl_raw[[#This Row],[return_loss]]-tbl_raw[[#This Row],[cogs]]*(1+scn_A_cogs_up)-(tbl_raw[[#This Row],[storage_cost]]+tbl_raw[[#This Row],[fulfillment_cost]]+tbl_raw[[#This Row],[freight_cost]])</f>
        <v>1843.0139999999999</v>
      </c>
      <c r="G236" s="42">
        <f>tbl_scenarios[[#This Row],[net_profit_A]]/tbl_raw[[#This Row],[gross_revenue]]</f>
        <v>0.30975389626432576</v>
      </c>
      <c r="H236" s="43">
        <f>tbl_scenarios[[#This Row],[net_margin_A]]-tbl_scenarios[[#This Row],[net_margin_pct]]</f>
        <v>-5.6999998319307965E-2</v>
      </c>
      <c r="I23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36" s="2">
        <f>tbl_raw[[#This Row],[gross_revenue]]-tbl_raw[[#This Row],[return_loss]]*(1+scn_B_returns_up/0.05)-tbl_raw[[#This Row],[cogs]]-(tbl_raw[[#This Row],[storage_cost]]+tbl_raw[[#This Row],[fulfillment_cost]]+tbl_raw[[#This Row],[freight_cost]])</f>
        <v>2175.8599999999997</v>
      </c>
      <c r="K236" s="42">
        <f>tbl_scenarios[[#This Row],[net_profit_B]]/tbl_raw[[#This Row],[gross_revenue]]</f>
        <v>0.36569505859732798</v>
      </c>
      <c r="L236" s="43">
        <f>tbl_scenarios[[#This Row],[net_margin_B]]-tbl_scenarios[[#This Row],[net_margin_pct]]</f>
        <v>-1.0588359863057395E-3</v>
      </c>
      <c r="M23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36" s="2">
        <f>tbl_raw[[#This Row],[gross_revenue]]*(1-scn_C_price_down)-tbl_raw[[#This Row],[return_loss]]-tbl_raw[[#This Row],[cogs]]-(tbl_raw[[#This Row],[storage_cost]]+tbl_raw[[#This Row],[fulfillment_cost]]+tbl_raw[[#This Row],[freight_cost]])</f>
        <v>1884.6634999999999</v>
      </c>
      <c r="O236" s="42">
        <f>tbl_scenarios[[#This Row],[net_profit_C]]/(tbl_raw[[#This Row],[gross_revenue]]*(1-scn_C_price_down))</f>
        <v>0.33342515219329866</v>
      </c>
      <c r="P236" s="43">
        <f>tbl_scenarios[[#This Row],[net_margin_C]]-tbl_scenarios[[#This Row],[net_margin_pct]]</f>
        <v>-3.3328742390335064E-2</v>
      </c>
      <c r="Q23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3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37" spans="1:18" x14ac:dyDescent="0.35">
      <c r="A237" s="17" t="str">
        <f>tbl_raw[[#This Row],[product_id]]</f>
        <v>e272c7b6c21c38e8ee510666a28460d4</v>
      </c>
      <c r="B237" t="str">
        <f>tbl_raw[[#This Row],[category]]</f>
        <v>computers_accessories</v>
      </c>
      <c r="C237" s="2">
        <f>tbl_profitability[[#This Row],[net_profit]]</f>
        <v>2370.27</v>
      </c>
      <c r="D237" s="42">
        <f>tbl_profitability[[#This Row],[net_margin_pct]]</f>
        <v>0.39937152485256949</v>
      </c>
      <c r="E237" s="49" t="str">
        <f>tbl_profitability[[#This Row],[decision]]</f>
        <v>SCALE</v>
      </c>
      <c r="F237" s="2">
        <f>tbl_raw[[#This Row],[gross_revenue]]-tbl_raw[[#This Row],[return_loss]]-tbl_raw[[#This Row],[cogs]]*(1+scn_A_cogs_up)-(tbl_raw[[#This Row],[storage_cost]]+tbl_raw[[#This Row],[fulfillment_cost]]+tbl_raw[[#This Row],[freight_cost]])</f>
        <v>2031.9750000000001</v>
      </c>
      <c r="G237" s="42">
        <f>tbl_scenarios[[#This Row],[net_profit_A]]/tbl_raw[[#This Row],[gross_revenue]]</f>
        <v>0.34237152485256955</v>
      </c>
      <c r="H237" s="43">
        <f>tbl_scenarios[[#This Row],[net_margin_A]]-tbl_scenarios[[#This Row],[net_margin_pct]]</f>
        <v>-5.699999999999994E-2</v>
      </c>
      <c r="I23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37" s="2">
        <f>tbl_raw[[#This Row],[gross_revenue]]-tbl_raw[[#This Row],[return_loss]]*(1+scn_B_returns_up/0.05)-tbl_raw[[#This Row],[cogs]]-(tbl_raw[[#This Row],[storage_cost]]+tbl_raw[[#This Row],[fulfillment_cost]]+tbl_raw[[#This Row],[freight_cost]])</f>
        <v>2365.77</v>
      </c>
      <c r="K237" s="42">
        <f>tbl_scenarios[[#This Row],[net_profit_B]]/tbl_raw[[#This Row],[gross_revenue]]</f>
        <v>0.39861331086773377</v>
      </c>
      <c r="L237" s="43">
        <f>tbl_scenarios[[#This Row],[net_margin_B]]-tbl_scenarios[[#This Row],[net_margin_pct]]</f>
        <v>-7.5821398483572056E-4</v>
      </c>
      <c r="M23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37" s="2">
        <f>tbl_raw[[#This Row],[gross_revenue]]*(1-scn_C_price_down)-tbl_raw[[#This Row],[return_loss]]-tbl_raw[[#This Row],[cogs]]-(tbl_raw[[#This Row],[storage_cost]]+tbl_raw[[#This Row],[fulfillment_cost]]+tbl_raw[[#This Row],[freight_cost]])</f>
        <v>2073.52</v>
      </c>
      <c r="O237" s="42">
        <f>tbl_scenarios[[#This Row],[net_profit_C]]/(tbl_raw[[#This Row],[gross_revenue]]*(1-scn_C_price_down))</f>
        <v>0.36775949984480999</v>
      </c>
      <c r="P237" s="43">
        <f>tbl_scenarios[[#This Row],[net_margin_C]]-tbl_scenarios[[#This Row],[net_margin_pct]]</f>
        <v>-3.1612025007759503E-2</v>
      </c>
      <c r="Q23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3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38" spans="1:18" x14ac:dyDescent="0.35">
      <c r="A238" s="17" t="str">
        <f>tbl_raw[[#This Row],[product_id]]</f>
        <v>c183fd5d2abf05873fa6e1014ed9e06c</v>
      </c>
      <c r="B238" t="str">
        <f>tbl_raw[[#This Row],[category]]</f>
        <v>agro_industry_and_commerce</v>
      </c>
      <c r="C238" s="2">
        <f>tbl_profitability[[#This Row],[net_profit]]</f>
        <v>3104.9300000000003</v>
      </c>
      <c r="D238" s="42">
        <f>tbl_profitability[[#This Row],[net_margin_pct]]</f>
        <v>0.52319111650321848</v>
      </c>
      <c r="E238" s="49" t="str">
        <f>tbl_profitability[[#This Row],[decision]]</f>
        <v>EXIT</v>
      </c>
      <c r="F238" s="2">
        <f>tbl_raw[[#This Row],[gross_revenue]]-tbl_raw[[#This Row],[return_loss]]-tbl_raw[[#This Row],[cogs]]*(1+scn_A_cogs_up)-(tbl_raw[[#This Row],[storage_cost]]+tbl_raw[[#This Row],[fulfillment_cost]]+tbl_raw[[#This Row],[freight_cost]])</f>
        <v>2837.873</v>
      </c>
      <c r="G238" s="42">
        <f>tbl_scenarios[[#This Row],[net_profit_A]]/tbl_raw[[#This Row],[gross_revenue]]</f>
        <v>0.47819111650321838</v>
      </c>
      <c r="H238" s="43">
        <f>tbl_scenarios[[#This Row],[net_margin_A]]-tbl_scenarios[[#This Row],[net_margin_pct]]</f>
        <v>-4.5000000000000095E-2</v>
      </c>
      <c r="I238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38" s="2">
        <f>tbl_raw[[#This Row],[gross_revenue]]-tbl_raw[[#This Row],[return_loss]]*(1+scn_B_returns_up/0.05)-tbl_raw[[#This Row],[cogs]]-(tbl_raw[[#This Row],[storage_cost]]+tbl_raw[[#This Row],[fulfillment_cost]]+tbl_raw[[#This Row],[freight_cost]])</f>
        <v>3102.7700000000004</v>
      </c>
      <c r="K238" s="42">
        <f>tbl_scenarios[[#This Row],[net_profit_B]]/tbl_raw[[#This Row],[gross_revenue]]</f>
        <v>0.5228271492602703</v>
      </c>
      <c r="L238" s="43">
        <f>tbl_scenarios[[#This Row],[net_margin_B]]-tbl_scenarios[[#This Row],[net_margin_pct]]</f>
        <v>-3.6396724294818217E-4</v>
      </c>
      <c r="M238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38" s="2">
        <f>tbl_raw[[#This Row],[gross_revenue]]*(1-scn_C_price_down)-tbl_raw[[#This Row],[return_loss]]-tbl_raw[[#This Row],[cogs]]-(tbl_raw[[#This Row],[storage_cost]]+tbl_raw[[#This Row],[fulfillment_cost]]+tbl_raw[[#This Row],[freight_cost]])</f>
        <v>2808.2</v>
      </c>
      <c r="O238" s="42">
        <f>tbl_scenarios[[#This Row],[net_profit_C]]/(tbl_raw[[#This Row],[gross_revenue]]*(1-scn_C_price_down))</f>
        <v>0.49809591210865095</v>
      </c>
      <c r="P238" s="43">
        <f>tbl_scenarios[[#This Row],[net_margin_C]]-tbl_scenarios[[#This Row],[net_margin_pct]]</f>
        <v>-2.5095204394567527E-2</v>
      </c>
      <c r="Q238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3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39" spans="1:18" x14ac:dyDescent="0.35">
      <c r="A239" s="17" t="str">
        <f>tbl_raw[[#This Row],[product_id]]</f>
        <v>d04857e7b4b708ee8b8b9921163edba3</v>
      </c>
      <c r="B239" t="str">
        <f>tbl_raw[[#This Row],[category]]</f>
        <v>computers_accessories</v>
      </c>
      <c r="C239" s="2">
        <f>tbl_profitability[[#This Row],[net_profit]]</f>
        <v>124.08999999999969</v>
      </c>
      <c r="D239" s="42">
        <f>tbl_profitability[[#This Row],[net_margin_pct]]</f>
        <v>2.0928765626159473E-2</v>
      </c>
      <c r="E239" s="49" t="str">
        <f>tbl_profitability[[#This Row],[decision]]</f>
        <v>EXIT</v>
      </c>
      <c r="F239" s="2">
        <f>tbl_raw[[#This Row],[gross_revenue]]-tbl_raw[[#This Row],[return_loss]]-tbl_raw[[#This Row],[cogs]]*(1+scn_A_cogs_up)-(tbl_raw[[#This Row],[storage_cost]]+tbl_raw[[#This Row],[fulfillment_cost]]+tbl_raw[[#This Row],[freight_cost]])</f>
        <v>-213.87200000000075</v>
      </c>
      <c r="G239" s="42">
        <f>tbl_scenarios[[#This Row],[net_profit_A]]/tbl_raw[[#This Row],[gross_revenue]]</f>
        <v>-3.6071214134886016E-2</v>
      </c>
      <c r="H239" s="43">
        <f>tbl_scenarios[[#This Row],[net_margin_A]]-tbl_scenarios[[#This Row],[net_margin_pct]]</f>
        <v>-5.699997976104549E-2</v>
      </c>
      <c r="I239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39" s="2">
        <f>tbl_raw[[#This Row],[gross_revenue]]-tbl_raw[[#This Row],[return_loss]]*(1+scn_B_returns_up/0.05)-tbl_raw[[#This Row],[cogs]]-(tbl_raw[[#This Row],[storage_cost]]+tbl_raw[[#This Row],[fulfillment_cost]]+tbl_raw[[#This Row],[freight_cost]])</f>
        <v>48.490000000000236</v>
      </c>
      <c r="K239" s="42">
        <f>tbl_scenarios[[#This Row],[net_profit_B]]/tbl_raw[[#This Row],[gross_revenue]]</f>
        <v>8.1782242341242664E-3</v>
      </c>
      <c r="L239" s="43">
        <f>tbl_scenarios[[#This Row],[net_margin_B]]-tbl_scenarios[[#This Row],[net_margin_pct]]</f>
        <v>-1.2750541392035207E-2</v>
      </c>
      <c r="M239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39" s="2">
        <f>tbl_raw[[#This Row],[gross_revenue]]*(1-scn_C_price_down)-tbl_raw[[#This Row],[return_loss]]-tbl_raw[[#This Row],[cogs]]-(tbl_raw[[#This Row],[storage_cost]]+tbl_raw[[#This Row],[fulfillment_cost]]+tbl_raw[[#This Row],[freight_cost]])</f>
        <v>-172.36800000000085</v>
      </c>
      <c r="O239" s="42">
        <f>tbl_scenarios[[#This Row],[net_profit_C]]/(tbl_raw[[#This Row],[gross_revenue]]*(1-scn_C_price_down))</f>
        <v>-3.0601299340884867E-2</v>
      </c>
      <c r="P239" s="43">
        <f>tbl_scenarios[[#This Row],[net_margin_C]]-tbl_scenarios[[#This Row],[net_margin_pct]]</f>
        <v>-5.1530064967044341E-2</v>
      </c>
      <c r="Q239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3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40" spans="1:18" x14ac:dyDescent="0.35">
      <c r="A240" s="17" t="str">
        <f>tbl_raw[[#This Row],[product_id]]</f>
        <v>404a57563d487aecbc2b1a01d9b89aab</v>
      </c>
      <c r="B240" t="str">
        <f>tbl_raw[[#This Row],[category]]</f>
        <v>bed_bath_table</v>
      </c>
      <c r="C240" s="2">
        <f>tbl_profitability[[#This Row],[net_profit]]</f>
        <v>2388.8699999999994</v>
      </c>
      <c r="D240" s="42">
        <f>tbl_profitability[[#This Row],[net_margin_pct]]</f>
        <v>0.4035321542593624</v>
      </c>
      <c r="E240" s="49" t="str">
        <f>tbl_profitability[[#This Row],[decision]]</f>
        <v>OPTIMIZE</v>
      </c>
      <c r="F240" s="2">
        <f>tbl_raw[[#This Row],[gross_revenue]]-tbl_raw[[#This Row],[return_loss]]-tbl_raw[[#This Row],[cogs]]*(1+scn_A_cogs_up)-(tbl_raw[[#This Row],[storage_cost]]+tbl_raw[[#This Row],[fulfillment_cost]]+tbl_raw[[#This Row],[freight_cost]])</f>
        <v>2122.4739999999993</v>
      </c>
      <c r="G240" s="42">
        <f>tbl_scenarios[[#This Row],[net_profit_A]]/tbl_raw[[#This Row],[gross_revenue]]</f>
        <v>0.35853206979847624</v>
      </c>
      <c r="H240" s="43">
        <f>tbl_scenarios[[#This Row],[net_margin_A]]-tbl_scenarios[[#This Row],[net_margin_pct]]</f>
        <v>-4.5000084460886158E-2</v>
      </c>
      <c r="I24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40" s="2">
        <f>tbl_raw[[#This Row],[gross_revenue]]-tbl_raw[[#This Row],[return_loss]]*(1+scn_B_returns_up/0.05)-tbl_raw[[#This Row],[cogs]]-(tbl_raw[[#This Row],[storage_cost]]+tbl_raw[[#This Row],[fulfillment_cost]]+tbl_raw[[#This Row],[freight_cost]])</f>
        <v>2379.15</v>
      </c>
      <c r="K240" s="42">
        <f>tbl_scenarios[[#This Row],[net_profit_B]]/tbl_raw[[#This Row],[gross_revenue]]</f>
        <v>0.4018902346323418</v>
      </c>
      <c r="L240" s="43">
        <f>tbl_scenarios[[#This Row],[net_margin_B]]-tbl_scenarios[[#This Row],[net_margin_pct]]</f>
        <v>-1.6419196270205938E-3</v>
      </c>
      <c r="M240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40" s="2">
        <f>tbl_raw[[#This Row],[gross_revenue]]*(1-scn_C_price_down)-tbl_raw[[#This Row],[return_loss]]-tbl_raw[[#This Row],[cogs]]-(tbl_raw[[#This Row],[storage_cost]]+tbl_raw[[#This Row],[fulfillment_cost]]+tbl_raw[[#This Row],[freight_cost]])</f>
        <v>2092.8749999999995</v>
      </c>
      <c r="O240" s="42">
        <f>tbl_scenarios[[#This Row],[net_profit_C]]/(tbl_raw[[#This Row],[gross_revenue]]*(1-scn_C_price_down))</f>
        <v>0.37213910974669728</v>
      </c>
      <c r="P240" s="43">
        <f>tbl_scenarios[[#This Row],[net_margin_C]]-tbl_scenarios[[#This Row],[net_margin_pct]]</f>
        <v>-3.1393044512665114E-2</v>
      </c>
      <c r="Q240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4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41" spans="1:18" x14ac:dyDescent="0.35">
      <c r="A241" s="17" t="str">
        <f>tbl_raw[[#This Row],[product_id]]</f>
        <v>61a4100ccd6d9c4c808a1fd954ddb8ad</v>
      </c>
      <c r="B241" t="str">
        <f>tbl_raw[[#This Row],[category]]</f>
        <v>small_appliances</v>
      </c>
      <c r="C241" s="2">
        <f>tbl_profitability[[#This Row],[net_profit]]</f>
        <v>2036.8600000000006</v>
      </c>
      <c r="D241" s="42">
        <f>tbl_profitability[[#This Row],[net_margin_pct]]</f>
        <v>0.34912772062377667</v>
      </c>
      <c r="E241" s="49" t="str">
        <f>tbl_profitability[[#This Row],[decision]]</f>
        <v>SCALE</v>
      </c>
      <c r="F241" s="2">
        <f>tbl_raw[[#This Row],[gross_revenue]]-tbl_raw[[#This Row],[return_loss]]-tbl_raw[[#This Row],[cogs]]*(1+scn_A_cogs_up)-(tbl_raw[[#This Row],[storage_cost]]+tbl_raw[[#This Row],[fulfillment_cost]]+tbl_raw[[#This Row],[freight_cost]])</f>
        <v>1704.3140000000003</v>
      </c>
      <c r="G241" s="42">
        <f>tbl_scenarios[[#This Row],[net_profit_A]]/tbl_raw[[#This Row],[gross_revenue]]</f>
        <v>0.29212771719567926</v>
      </c>
      <c r="H241" s="43">
        <f>tbl_scenarios[[#This Row],[net_margin_A]]-tbl_scenarios[[#This Row],[net_margin_pct]]</f>
        <v>-5.7000003428097412E-2</v>
      </c>
      <c r="I24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41" s="2">
        <f>tbl_raw[[#This Row],[gross_revenue]]-tbl_raw[[#This Row],[return_loss]]*(1+scn_B_returns_up/0.05)-tbl_raw[[#This Row],[cogs]]-(tbl_raw[[#This Row],[storage_cost]]+tbl_raw[[#This Row],[fulfillment_cost]]+tbl_raw[[#This Row],[freight_cost]])</f>
        <v>2032.54</v>
      </c>
      <c r="K241" s="42">
        <f>tbl_scenarios[[#This Row],[net_profit_B]]/tbl_raw[[#This Row],[gross_revenue]]</f>
        <v>0.3483872515914942</v>
      </c>
      <c r="L241" s="43">
        <f>tbl_scenarios[[#This Row],[net_margin_B]]-tbl_scenarios[[#This Row],[net_margin_pct]]</f>
        <v>-7.4046903228247585E-4</v>
      </c>
      <c r="M24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41" s="2">
        <f>tbl_raw[[#This Row],[gross_revenue]]*(1-scn_C_price_down)-tbl_raw[[#This Row],[return_loss]]-tbl_raw[[#This Row],[cogs]]-(tbl_raw[[#This Row],[storage_cost]]+tbl_raw[[#This Row],[fulfillment_cost]]+tbl_raw[[#This Row],[freight_cost]])</f>
        <v>1745.1530000000002</v>
      </c>
      <c r="O241" s="42">
        <f>tbl_scenarios[[#This Row],[net_profit_C]]/(tbl_raw[[#This Row],[gross_revenue]]*(1-scn_C_price_down))</f>
        <v>0.31487128486713328</v>
      </c>
      <c r="P241" s="43">
        <f>tbl_scenarios[[#This Row],[net_margin_C]]-tbl_scenarios[[#This Row],[net_margin_pct]]</f>
        <v>-3.4256435756643389E-2</v>
      </c>
      <c r="Q24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4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42" spans="1:18" x14ac:dyDescent="0.35">
      <c r="A242" s="17" t="str">
        <f>tbl_raw[[#This Row],[product_id]]</f>
        <v>06edb72f1e0c64b14c5b79353f7abea3</v>
      </c>
      <c r="B242" t="str">
        <f>tbl_raw[[#This Row],[category]]</f>
        <v>bed_bath_table</v>
      </c>
      <c r="C242" s="2">
        <f>tbl_profitability[[#This Row],[net_profit]]</f>
        <v>-137.31999999999925</v>
      </c>
      <c r="D242" s="42">
        <f>tbl_profitability[[#This Row],[net_margin_pct]]</f>
        <v>-2.3546881992945409E-2</v>
      </c>
      <c r="E242" s="49" t="str">
        <f>tbl_profitability[[#This Row],[decision]]</f>
        <v>EXIT</v>
      </c>
      <c r="F242" s="2">
        <f>tbl_raw[[#This Row],[gross_revenue]]-tbl_raw[[#This Row],[return_loss]]-tbl_raw[[#This Row],[cogs]]*(1+scn_A_cogs_up)-(tbl_raw[[#This Row],[storage_cost]]+tbl_raw[[#This Row],[fulfillment_cost]]+tbl_raw[[#This Row],[freight_cost]])</f>
        <v>-399.74999999999955</v>
      </c>
      <c r="G242" s="42">
        <f>tbl_scenarios[[#This Row],[net_profit_A]]/tbl_raw[[#This Row],[gross_revenue]]</f>
        <v>-6.8546942009029763E-2</v>
      </c>
      <c r="H242" s="43">
        <f>tbl_scenarios[[#This Row],[net_margin_A]]-tbl_scenarios[[#This Row],[net_margin_pct]]</f>
        <v>-4.5000060016084351E-2</v>
      </c>
      <c r="I242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42" s="2">
        <f>tbl_raw[[#This Row],[gross_revenue]]-tbl_raw[[#This Row],[return_loss]]*(1+scn_B_returns_up/0.05)-tbl_raw[[#This Row],[cogs]]-(tbl_raw[[#This Row],[storage_cost]]+tbl_raw[[#This Row],[fulfillment_cost]]+tbl_raw[[#This Row],[freight_cost]])</f>
        <v>-188.79999999999973</v>
      </c>
      <c r="K242" s="42">
        <f>tbl_scenarios[[#This Row],[net_profit_B]]/tbl_raw[[#This Row],[gross_revenue]]</f>
        <v>-3.2374390622401043E-2</v>
      </c>
      <c r="L242" s="43">
        <f>tbl_scenarios[[#This Row],[net_margin_B]]-tbl_scenarios[[#This Row],[net_margin_pct]]</f>
        <v>-8.8275086294556347E-3</v>
      </c>
      <c r="M242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42" s="2">
        <f>tbl_raw[[#This Row],[gross_revenue]]*(1-scn_C_price_down)-tbl_raw[[#This Row],[return_loss]]-tbl_raw[[#This Row],[cogs]]-(tbl_raw[[#This Row],[storage_cost]]+tbl_raw[[#This Row],[fulfillment_cost]]+tbl_raw[[#This Row],[freight_cost]])</f>
        <v>-428.90849999999909</v>
      </c>
      <c r="O242" s="42">
        <f>tbl_scenarios[[#This Row],[net_profit_C]]/(tbl_raw[[#This Row],[gross_revenue]]*(1-scn_C_price_down))</f>
        <v>-7.7417770518889872E-2</v>
      </c>
      <c r="P242" s="43">
        <f>tbl_scenarios[[#This Row],[net_margin_C]]-tbl_scenarios[[#This Row],[net_margin_pct]]</f>
        <v>-5.387088852594446E-2</v>
      </c>
      <c r="Q242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4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43" spans="1:18" x14ac:dyDescent="0.35">
      <c r="A243" s="17" t="str">
        <f>tbl_raw[[#This Row],[product_id]]</f>
        <v>57c9362442482cd2451f2eabf468e532</v>
      </c>
      <c r="B243" t="str">
        <f>tbl_raw[[#This Row],[category]]</f>
        <v>watches_gifts</v>
      </c>
      <c r="C243" s="2">
        <f>tbl_profitability[[#This Row],[net_profit]]</f>
        <v>3208.4500000000007</v>
      </c>
      <c r="D243" s="42">
        <f>tbl_profitability[[#This Row],[net_margin_pct]]</f>
        <v>0.55080970374096361</v>
      </c>
      <c r="E243" s="49" t="str">
        <f>tbl_profitability[[#This Row],[decision]]</f>
        <v>SCALE</v>
      </c>
      <c r="F243" s="2">
        <f>tbl_raw[[#This Row],[gross_revenue]]-tbl_raw[[#This Row],[return_loss]]-tbl_raw[[#This Row],[cogs]]*(1+scn_A_cogs_up)-(tbl_raw[[#This Row],[storage_cost]]+tbl_raw[[#This Row],[fulfillment_cost]]+tbl_raw[[#This Row],[freight_cost]])</f>
        <v>2963.8010000000004</v>
      </c>
      <c r="G243" s="42">
        <f>tbl_scenarios[[#This Row],[net_profit_A]]/tbl_raw[[#This Row],[gross_revenue]]</f>
        <v>0.50880965910554055</v>
      </c>
      <c r="H243" s="43">
        <f>tbl_scenarios[[#This Row],[net_margin_A]]-tbl_scenarios[[#This Row],[net_margin_pct]]</f>
        <v>-4.2000044635423062E-2</v>
      </c>
      <c r="I24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43" s="2">
        <f>tbl_raw[[#This Row],[gross_revenue]]-tbl_raw[[#This Row],[return_loss]]*(1+scn_B_returns_up/0.05)-tbl_raw[[#This Row],[cogs]]-(tbl_raw[[#This Row],[storage_cost]]+tbl_raw[[#This Row],[fulfillment_cost]]+tbl_raw[[#This Row],[freight_cost]])</f>
        <v>3206.2900000000009</v>
      </c>
      <c r="K243" s="42">
        <f>tbl_scenarios[[#This Row],[net_profit_B]]/tbl_raw[[#This Row],[gross_revenue]]</f>
        <v>0.55043888638053085</v>
      </c>
      <c r="L243" s="43">
        <f>tbl_scenarios[[#This Row],[net_margin_B]]-tbl_scenarios[[#This Row],[net_margin_pct]]</f>
        <v>-3.7081736043276248E-4</v>
      </c>
      <c r="M24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43" s="2">
        <f>tbl_raw[[#This Row],[gross_revenue]]*(1-scn_C_price_down)-tbl_raw[[#This Row],[return_loss]]-tbl_raw[[#This Row],[cogs]]-(tbl_raw[[#This Row],[storage_cost]]+tbl_raw[[#This Row],[fulfillment_cost]]+tbl_raw[[#This Row],[freight_cost]])</f>
        <v>2917.2015000000001</v>
      </c>
      <c r="O243" s="42">
        <f>tbl_scenarios[[#This Row],[net_profit_C]]/(tbl_raw[[#This Row],[gross_revenue]]*(1-scn_C_price_down))</f>
        <v>0.5271681092010142</v>
      </c>
      <c r="P243" s="43">
        <f>tbl_scenarios[[#This Row],[net_margin_C]]-tbl_scenarios[[#This Row],[net_margin_pct]]</f>
        <v>-2.3641594539949407E-2</v>
      </c>
      <c r="Q24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4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44" spans="1:18" x14ac:dyDescent="0.35">
      <c r="A244" s="17" t="str">
        <f>tbl_raw[[#This Row],[product_id]]</f>
        <v>aef8207c2e91f4fcdbc0824737abf358</v>
      </c>
      <c r="B244" t="str">
        <f>tbl_raw[[#This Row],[category]]</f>
        <v>health_beauty</v>
      </c>
      <c r="C244" s="2">
        <f>tbl_profitability[[#This Row],[net_profit]]</f>
        <v>2989.84</v>
      </c>
      <c r="D244" s="42">
        <f>tbl_profitability[[#This Row],[net_margin_pct]]</f>
        <v>0.51550565362373324</v>
      </c>
      <c r="E244" s="49" t="str">
        <f>tbl_profitability[[#This Row],[decision]]</f>
        <v>SCALE</v>
      </c>
      <c r="F244" s="2">
        <f>tbl_raw[[#This Row],[gross_revenue]]-tbl_raw[[#This Row],[return_loss]]-tbl_raw[[#This Row],[cogs]]*(1+scn_A_cogs_up)-(tbl_raw[[#This Row],[storage_cost]]+tbl_raw[[#This Row],[fulfillment_cost]]+tbl_raw[[#This Row],[freight_cost]])</f>
        <v>2746.248</v>
      </c>
      <c r="G244" s="42">
        <f>tbl_scenarios[[#This Row],[net_profit_A]]/tbl_raw[[#This Row],[gross_revenue]]</f>
        <v>0.47350572948815656</v>
      </c>
      <c r="H244" s="43">
        <f>tbl_scenarios[[#This Row],[net_margin_A]]-tbl_scenarios[[#This Row],[net_margin_pct]]</f>
        <v>-4.1999924135576683E-2</v>
      </c>
      <c r="I24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44" s="2">
        <f>tbl_raw[[#This Row],[gross_revenue]]-tbl_raw[[#This Row],[return_loss]]*(1+scn_B_returns_up/0.05)-tbl_raw[[#This Row],[cogs]]-(tbl_raw[[#This Row],[storage_cost]]+tbl_raw[[#This Row],[fulfillment_cost]]+tbl_raw[[#This Row],[freight_cost]])</f>
        <v>2983.3599999999997</v>
      </c>
      <c r="K244" s="42">
        <f>tbl_scenarios[[#This Row],[net_profit_B]]/tbl_raw[[#This Row],[gross_revenue]]</f>
        <v>0.5143883775703384</v>
      </c>
      <c r="L244" s="43">
        <f>tbl_scenarios[[#This Row],[net_margin_B]]-tbl_scenarios[[#This Row],[net_margin_pct]]</f>
        <v>-1.1172760533948445E-3</v>
      </c>
      <c r="M24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44" s="2">
        <f>tbl_raw[[#This Row],[gross_revenue]]*(1-scn_C_price_down)-tbl_raw[[#This Row],[return_loss]]-tbl_raw[[#This Row],[cogs]]-(tbl_raw[[#This Row],[storage_cost]]+tbl_raw[[#This Row],[fulfillment_cost]]+tbl_raw[[#This Row],[freight_cost]])</f>
        <v>2699.8490000000002</v>
      </c>
      <c r="O244" s="42">
        <f>tbl_scenarios[[#This Row],[net_profit_C]]/(tbl_raw[[#This Row],[gross_revenue]]*(1-scn_C_price_down))</f>
        <v>0.49000595118287704</v>
      </c>
      <c r="P244" s="43">
        <f>tbl_scenarios[[#This Row],[net_margin_C]]-tbl_scenarios[[#This Row],[net_margin_pct]]</f>
        <v>-2.5499702440856198E-2</v>
      </c>
      <c r="Q24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4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45" spans="1:18" x14ac:dyDescent="0.35">
      <c r="A245" s="17" t="str">
        <f>tbl_raw[[#This Row],[product_id]]</f>
        <v>43423cdffde7fda63d0414ed38c11a73</v>
      </c>
      <c r="B245" t="str">
        <f>tbl_raw[[#This Row],[category]]</f>
        <v>watches_gifts</v>
      </c>
      <c r="C245" s="2">
        <f>tbl_profitability[[#This Row],[net_profit]]</f>
        <v>1166.8800000000006</v>
      </c>
      <c r="D245" s="42">
        <f>tbl_profitability[[#This Row],[net_margin_pct]]</f>
        <v>0.20187257364695146</v>
      </c>
      <c r="E245" s="49" t="str">
        <f>tbl_profitability[[#This Row],[decision]]</f>
        <v>OPTIMIZE</v>
      </c>
      <c r="F245" s="2">
        <f>tbl_raw[[#This Row],[gross_revenue]]-tbl_raw[[#This Row],[return_loss]]-tbl_raw[[#This Row],[cogs]]*(1+scn_A_cogs_up)-(tbl_raw[[#This Row],[storage_cost]]+tbl_raw[[#This Row],[fulfillment_cost]]+tbl_raw[[#This Row],[freight_cost]])</f>
        <v>924.10800000000017</v>
      </c>
      <c r="G245" s="42">
        <f>tbl_scenarios[[#This Row],[net_profit_A]]/tbl_raw[[#This Row],[gross_revenue]]</f>
        <v>0.15987253212647143</v>
      </c>
      <c r="H245" s="43">
        <f>tbl_scenarios[[#This Row],[net_margin_A]]-tbl_scenarios[[#This Row],[net_margin_pct]]</f>
        <v>-4.2000041520480036E-2</v>
      </c>
      <c r="I245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45" s="2">
        <f>tbl_raw[[#This Row],[gross_revenue]]-tbl_raw[[#This Row],[return_loss]]*(1+scn_B_returns_up/0.05)-tbl_raw[[#This Row],[cogs]]-(tbl_raw[[#This Row],[storage_cost]]+tbl_raw[[#This Row],[fulfillment_cost]]+tbl_raw[[#This Row],[freight_cost]])</f>
        <v>1133.4000000000001</v>
      </c>
      <c r="K245" s="42">
        <f>tbl_scenarios[[#This Row],[net_profit_B]]/tbl_raw[[#This Row],[gross_revenue]]</f>
        <v>0.19608046669019497</v>
      </c>
      <c r="L245" s="43">
        <f>tbl_scenarios[[#This Row],[net_margin_B]]-tbl_scenarios[[#This Row],[net_margin_pct]]</f>
        <v>-5.7921069567564987E-3</v>
      </c>
      <c r="M245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45" s="2">
        <f>tbl_raw[[#This Row],[gross_revenue]]*(1-scn_C_price_down)-tbl_raw[[#This Row],[return_loss]]-tbl_raw[[#This Row],[cogs]]-(tbl_raw[[#This Row],[storage_cost]]+tbl_raw[[#This Row],[fulfillment_cost]]+tbl_raw[[#This Row],[freight_cost]])</f>
        <v>877.86600000000044</v>
      </c>
      <c r="O245" s="42">
        <f>tbl_scenarios[[#This Row],[net_profit_C]]/(tbl_raw[[#This Row],[gross_revenue]]*(1-scn_C_price_down))</f>
        <v>0.15986586699679101</v>
      </c>
      <c r="P245" s="43">
        <f>tbl_scenarios[[#This Row],[net_margin_C]]-tbl_scenarios[[#This Row],[net_margin_pct]]</f>
        <v>-4.2006706650160458E-2</v>
      </c>
      <c r="Q245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4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46" spans="1:18" x14ac:dyDescent="0.35">
      <c r="A246" s="17" t="str">
        <f>tbl_raw[[#This Row],[product_id]]</f>
        <v>1cc61b32763a4d816212b3507b6b6c59</v>
      </c>
      <c r="B246" t="str">
        <f>tbl_raw[[#This Row],[category]]</f>
        <v>books_general_interest</v>
      </c>
      <c r="C246" s="2">
        <f>tbl_profitability[[#This Row],[net_profit]]</f>
        <v>3055.6599999999994</v>
      </c>
      <c r="D246" s="42">
        <f>tbl_profitability[[#This Row],[net_margin_pct]]</f>
        <v>0.52921941841736087</v>
      </c>
      <c r="E246" s="49" t="str">
        <f>tbl_profitability[[#This Row],[decision]]</f>
        <v>SCALE</v>
      </c>
      <c r="F246" s="2">
        <f>tbl_raw[[#This Row],[gross_revenue]]-tbl_raw[[#This Row],[return_loss]]-tbl_raw[[#This Row],[cogs]]*(1+scn_A_cogs_up)-(tbl_raw[[#This Row],[storage_cost]]+tbl_raw[[#This Row],[fulfillment_cost]]+tbl_raw[[#This Row],[freight_cost]])</f>
        <v>2824.7039999999993</v>
      </c>
      <c r="G246" s="42">
        <f>tbl_scenarios[[#This Row],[net_profit_A]]/tbl_raw[[#This Row],[gross_revenue]]</f>
        <v>0.48921941841736077</v>
      </c>
      <c r="H246" s="43">
        <f>tbl_scenarios[[#This Row],[net_margin_A]]-tbl_scenarios[[#This Row],[net_margin_pct]]</f>
        <v>-4.0000000000000091E-2</v>
      </c>
      <c r="I24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46" s="2">
        <f>tbl_raw[[#This Row],[gross_revenue]]-tbl_raw[[#This Row],[return_loss]]*(1+scn_B_returns_up/0.05)-tbl_raw[[#This Row],[cogs]]-(tbl_raw[[#This Row],[storage_cost]]+tbl_raw[[#This Row],[fulfillment_cost]]+tbl_raw[[#This Row],[freight_cost]])</f>
        <v>3054.56</v>
      </c>
      <c r="K246" s="42">
        <f>tbl_scenarios[[#This Row],[net_profit_B]]/tbl_raw[[#This Row],[gross_revenue]]</f>
        <v>0.52902890593879359</v>
      </c>
      <c r="L246" s="43">
        <f>tbl_scenarios[[#This Row],[net_margin_B]]-tbl_scenarios[[#This Row],[net_margin_pct]]</f>
        <v>-1.9051247856727294E-4</v>
      </c>
      <c r="M24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46" s="2">
        <f>tbl_raw[[#This Row],[gross_revenue]]*(1-scn_C_price_down)-tbl_raw[[#This Row],[return_loss]]-tbl_raw[[#This Row],[cogs]]-(tbl_raw[[#This Row],[storage_cost]]+tbl_raw[[#This Row],[fulfillment_cost]]+tbl_raw[[#This Row],[freight_cost]])</f>
        <v>2766.9649999999988</v>
      </c>
      <c r="O246" s="42">
        <f>tbl_scenarios[[#This Row],[net_profit_C]]/(tbl_raw[[#This Row],[gross_revenue]]*(1-scn_C_price_down))</f>
        <v>0.50444149307090602</v>
      </c>
      <c r="P246" s="43">
        <f>tbl_scenarios[[#This Row],[net_margin_C]]-tbl_scenarios[[#This Row],[net_margin_pct]]</f>
        <v>-2.4777925346454843E-2</v>
      </c>
      <c r="Q24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4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47" spans="1:18" x14ac:dyDescent="0.35">
      <c r="A247" s="17" t="str">
        <f>tbl_raw[[#This Row],[product_id]]</f>
        <v>c5b72065154ec27c2d1ed8a654c3348f</v>
      </c>
      <c r="B247" t="str">
        <f>tbl_raw[[#This Row],[category]]</f>
        <v>watches_gifts</v>
      </c>
      <c r="C247" s="2">
        <f>tbl_profitability[[#This Row],[net_profit]]</f>
        <v>2699.4399999999996</v>
      </c>
      <c r="D247" s="42">
        <f>tbl_profitability[[#This Row],[net_margin_pct]]</f>
        <v>0.47348628358941974</v>
      </c>
      <c r="E247" s="49" t="str">
        <f>tbl_profitability[[#This Row],[decision]]</f>
        <v>OPTIMIZE</v>
      </c>
      <c r="F247" s="2">
        <f>tbl_raw[[#This Row],[gross_revenue]]-tbl_raw[[#This Row],[return_loss]]-tbl_raw[[#This Row],[cogs]]*(1+scn_A_cogs_up)-(tbl_raw[[#This Row],[storage_cost]]+tbl_raw[[#This Row],[fulfillment_cost]]+tbl_raw[[#This Row],[freight_cost]])</f>
        <v>2459.9899999999993</v>
      </c>
      <c r="G247" s="42">
        <f>tbl_scenarios[[#This Row],[net_profit_A]]/tbl_raw[[#This Row],[gross_revenue]]</f>
        <v>0.43148635375008759</v>
      </c>
      <c r="H247" s="43">
        <f>tbl_scenarios[[#This Row],[net_margin_A]]-tbl_scenarios[[#This Row],[net_margin_pct]]</f>
        <v>-4.1999929839332151E-2</v>
      </c>
      <c r="I24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47" s="2">
        <f>tbl_raw[[#This Row],[gross_revenue]]-tbl_raw[[#This Row],[return_loss]]*(1+scn_B_returns_up/0.05)-tbl_raw[[#This Row],[cogs]]-(tbl_raw[[#This Row],[storage_cost]]+tbl_raw[[#This Row],[fulfillment_cost]]+tbl_raw[[#This Row],[freight_cost]])</f>
        <v>2688.6399999999994</v>
      </c>
      <c r="K247" s="42">
        <f>tbl_scenarios[[#This Row],[net_profit_B]]/tbl_raw[[#This Row],[gross_revenue]]</f>
        <v>0.47159194555532158</v>
      </c>
      <c r="L247" s="43">
        <f>tbl_scenarios[[#This Row],[net_margin_B]]-tbl_scenarios[[#This Row],[net_margin_pct]]</f>
        <v>-1.8943380340981641E-3</v>
      </c>
      <c r="M24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47" s="2">
        <f>tbl_raw[[#This Row],[gross_revenue]]*(1-scn_C_price_down)-tbl_raw[[#This Row],[return_loss]]-tbl_raw[[#This Row],[cogs]]-(tbl_raw[[#This Row],[storage_cost]]+tbl_raw[[#This Row],[fulfillment_cost]]+tbl_raw[[#This Row],[freight_cost]])</f>
        <v>2414.3799999999992</v>
      </c>
      <c r="O247" s="42">
        <f>tbl_scenarios[[#This Row],[net_profit_C]]/(tbl_raw[[#This Row],[gross_revenue]]*(1-scn_C_price_down))</f>
        <v>0.44577503535728386</v>
      </c>
      <c r="P247" s="43">
        <f>tbl_scenarios[[#This Row],[net_margin_C]]-tbl_scenarios[[#This Row],[net_margin_pct]]</f>
        <v>-2.7711248232135888E-2</v>
      </c>
      <c r="Q24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4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48" spans="1:18" x14ac:dyDescent="0.35">
      <c r="A248" s="17" t="str">
        <f>tbl_raw[[#This Row],[product_id]]</f>
        <v>ffc9caf33e2d1e9f44e3e06da19085f7</v>
      </c>
      <c r="B248" t="str">
        <f>tbl_raw[[#This Row],[category]]</f>
        <v>health_beauty</v>
      </c>
      <c r="C248" s="2">
        <f>tbl_profitability[[#This Row],[net_profit]]</f>
        <v>2703.75</v>
      </c>
      <c r="D248" s="42">
        <f>tbl_profitability[[#This Row],[net_margin_pct]]</f>
        <v>0.48195960363000478</v>
      </c>
      <c r="E248" s="49" t="str">
        <f>tbl_profitability[[#This Row],[decision]]</f>
        <v>SCALE</v>
      </c>
      <c r="F248" s="2">
        <f>tbl_raw[[#This Row],[gross_revenue]]-tbl_raw[[#This Row],[return_loss]]-tbl_raw[[#This Row],[cogs]]*(1+scn_A_cogs_up)-(tbl_raw[[#This Row],[storage_cost]]+tbl_raw[[#This Row],[fulfillment_cost]]+tbl_raw[[#This Row],[freight_cost]])</f>
        <v>2468.134</v>
      </c>
      <c r="G248" s="42">
        <f>tbl_scenarios[[#This Row],[net_profit_A]]/tbl_raw[[#This Row],[gross_revenue]]</f>
        <v>0.43995964284632016</v>
      </c>
      <c r="H248" s="43">
        <f>tbl_scenarios[[#This Row],[net_margin_A]]-tbl_scenarios[[#This Row],[net_margin_pct]]</f>
        <v>-4.199996078368462E-2</v>
      </c>
      <c r="I24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48" s="2">
        <f>tbl_raw[[#This Row],[gross_revenue]]-tbl_raw[[#This Row],[return_loss]]*(1+scn_B_returns_up/0.05)-tbl_raw[[#This Row],[cogs]]-(tbl_raw[[#This Row],[storage_cost]]+tbl_raw[[#This Row],[fulfillment_cost]]+tbl_raw[[#This Row],[freight_cost]])</f>
        <v>2694.0300000000007</v>
      </c>
      <c r="K248" s="42">
        <f>tbl_scenarios[[#This Row],[net_profit_B]]/tbl_raw[[#This Row],[gross_revenue]]</f>
        <v>0.48022695551265543</v>
      </c>
      <c r="L248" s="43">
        <f>tbl_scenarios[[#This Row],[net_margin_B]]-tbl_scenarios[[#This Row],[net_margin_pct]]</f>
        <v>-1.7326481173493558E-3</v>
      </c>
      <c r="M24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48" s="2">
        <f>tbl_raw[[#This Row],[gross_revenue]]*(1-scn_C_price_down)-tbl_raw[[#This Row],[return_loss]]-tbl_raw[[#This Row],[cogs]]-(tbl_raw[[#This Row],[storage_cost]]+tbl_raw[[#This Row],[fulfillment_cost]]+tbl_raw[[#This Row],[freight_cost]])</f>
        <v>2423.2545</v>
      </c>
      <c r="O248" s="42">
        <f>tbl_scenarios[[#This Row],[net_profit_C]]/(tbl_raw[[#This Row],[gross_revenue]]*(1-scn_C_price_down))</f>
        <v>0.45469431961053136</v>
      </c>
      <c r="P248" s="43">
        <f>tbl_scenarios[[#This Row],[net_margin_C]]-tbl_scenarios[[#This Row],[net_margin_pct]]</f>
        <v>-2.7265284019473424E-2</v>
      </c>
      <c r="Q24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4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49" spans="1:18" x14ac:dyDescent="0.35">
      <c r="A249" s="17" t="str">
        <f>tbl_raw[[#This Row],[product_id]]</f>
        <v>9aedf557945e816d48539ee56293f860</v>
      </c>
      <c r="B249" t="str">
        <f>tbl_raw[[#This Row],[category]]</f>
        <v>computers</v>
      </c>
      <c r="C249" s="2">
        <f>tbl_profitability[[#This Row],[net_profit]]</f>
        <v>2147.5</v>
      </c>
      <c r="D249" s="42">
        <f>tbl_profitability[[#This Row],[net_margin_pct]]</f>
        <v>0.38348214285714288</v>
      </c>
      <c r="E249" s="49" t="str">
        <f>tbl_profitability[[#This Row],[decision]]</f>
        <v>OPTIMIZE</v>
      </c>
      <c r="F249" s="2">
        <f>tbl_raw[[#This Row],[gross_revenue]]-tbl_raw[[#This Row],[return_loss]]-tbl_raw[[#This Row],[cogs]]*(1+scn_A_cogs_up)-(tbl_raw[[#This Row],[storage_cost]]+tbl_raw[[#This Row],[fulfillment_cost]]+tbl_raw[[#This Row],[freight_cost]])</f>
        <v>1828.2999999999997</v>
      </c>
      <c r="G249" s="42">
        <f>tbl_scenarios[[#This Row],[net_profit_A]]/tbl_raw[[#This Row],[gross_revenue]]</f>
        <v>0.32648214285714283</v>
      </c>
      <c r="H249" s="43">
        <f>tbl_scenarios[[#This Row],[net_margin_A]]-tbl_scenarios[[#This Row],[net_margin_pct]]</f>
        <v>-5.7000000000000051E-2</v>
      </c>
      <c r="I249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49" s="2">
        <f>tbl_raw[[#This Row],[gross_revenue]]-tbl_raw[[#This Row],[return_loss]]*(1+scn_B_returns_up/0.05)-tbl_raw[[#This Row],[cogs]]-(tbl_raw[[#This Row],[storage_cost]]+tbl_raw[[#This Row],[fulfillment_cost]]+tbl_raw[[#This Row],[freight_cost]])</f>
        <v>2143</v>
      </c>
      <c r="K249" s="42">
        <f>tbl_scenarios[[#This Row],[net_profit_B]]/tbl_raw[[#This Row],[gross_revenue]]</f>
        <v>0.38267857142857142</v>
      </c>
      <c r="L249" s="43">
        <f>tbl_scenarios[[#This Row],[net_margin_B]]-tbl_scenarios[[#This Row],[net_margin_pct]]</f>
        <v>-8.0357142857145902E-4</v>
      </c>
      <c r="M249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49" s="2">
        <f>tbl_raw[[#This Row],[gross_revenue]]*(1-scn_C_price_down)-tbl_raw[[#This Row],[return_loss]]-tbl_raw[[#This Row],[cogs]]-(tbl_raw[[#This Row],[storage_cost]]+tbl_raw[[#This Row],[fulfillment_cost]]+tbl_raw[[#This Row],[freight_cost]])</f>
        <v>1867.5</v>
      </c>
      <c r="O249" s="42">
        <f>tbl_scenarios[[#This Row],[net_profit_C]]/(tbl_raw[[#This Row],[gross_revenue]]*(1-scn_C_price_down))</f>
        <v>0.35103383458646614</v>
      </c>
      <c r="P249" s="43">
        <f>tbl_scenarios[[#This Row],[net_margin_C]]-tbl_scenarios[[#This Row],[net_margin_pct]]</f>
        <v>-3.244830827067674E-2</v>
      </c>
      <c r="Q249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4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50" spans="1:18" x14ac:dyDescent="0.35">
      <c r="A250" s="17" t="str">
        <f>tbl_raw[[#This Row],[product_id]]</f>
        <v>d2239567438e335a463191a43f2f02ff</v>
      </c>
      <c r="B250" t="str">
        <f>tbl_raw[[#This Row],[category]]</f>
        <v>toys</v>
      </c>
      <c r="C250" s="2">
        <f>tbl_profitability[[#This Row],[net_profit]]</f>
        <v>2958.79</v>
      </c>
      <c r="D250" s="42">
        <f>tbl_profitability[[#This Row],[net_margin_pct]]</f>
        <v>0.52842140981908448</v>
      </c>
      <c r="E250" s="49" t="str">
        <f>tbl_profitability[[#This Row],[decision]]</f>
        <v>SCALE</v>
      </c>
      <c r="F250" s="2">
        <f>tbl_raw[[#This Row],[gross_revenue]]-tbl_raw[[#This Row],[return_loss]]-tbl_raw[[#This Row],[cogs]]*(1+scn_A_cogs_up)-(tbl_raw[[#This Row],[storage_cost]]+tbl_raw[[#This Row],[fulfillment_cost]]+tbl_raw[[#This Row],[freight_cost]])</f>
        <v>2723.6189999999997</v>
      </c>
      <c r="G250" s="42">
        <f>tbl_scenarios[[#This Row],[net_profit_A]]/tbl_raw[[#This Row],[gross_revenue]]</f>
        <v>0.48642133838158336</v>
      </c>
      <c r="H250" s="43">
        <f>tbl_scenarios[[#This Row],[net_margin_A]]-tbl_scenarios[[#This Row],[net_margin_pct]]</f>
        <v>-4.2000071437501119E-2</v>
      </c>
      <c r="I25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50" s="2">
        <f>tbl_raw[[#This Row],[gross_revenue]]-tbl_raw[[#This Row],[return_loss]]*(1+scn_B_returns_up/0.05)-tbl_raw[[#This Row],[cogs]]-(tbl_raw[[#This Row],[storage_cost]]+tbl_raw[[#This Row],[fulfillment_cost]]+tbl_raw[[#This Row],[freight_cost]])</f>
        <v>2956.2700000000004</v>
      </c>
      <c r="K250" s="42">
        <f>tbl_scenarios[[#This Row],[net_profit_B]]/tbl_raw[[#This Row],[gross_revenue]]</f>
        <v>0.52797135356205249</v>
      </c>
      <c r="L250" s="43">
        <f>tbl_scenarios[[#This Row],[net_margin_B]]-tbl_scenarios[[#This Row],[net_margin_pct]]</f>
        <v>-4.5005625703198326E-4</v>
      </c>
      <c r="M25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50" s="2">
        <f>tbl_raw[[#This Row],[gross_revenue]]*(1-scn_C_price_down)-tbl_raw[[#This Row],[return_loss]]-tbl_raw[[#This Row],[cogs]]-(tbl_raw[[#This Row],[storage_cost]]+tbl_raw[[#This Row],[fulfillment_cost]]+tbl_raw[[#This Row],[freight_cost]])</f>
        <v>2678.8249999999998</v>
      </c>
      <c r="O250" s="42">
        <f>tbl_scenarios[[#This Row],[net_profit_C]]/(tbl_raw[[#This Row],[gross_revenue]]*(1-scn_C_price_down))</f>
        <v>0.50360148402008897</v>
      </c>
      <c r="P250" s="43">
        <f>tbl_scenarios[[#This Row],[net_margin_C]]-tbl_scenarios[[#This Row],[net_margin_pct]]</f>
        <v>-2.4819925798995501E-2</v>
      </c>
      <c r="Q25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5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51" spans="1:18" x14ac:dyDescent="0.35">
      <c r="A251" s="17" t="str">
        <f>tbl_raw[[#This Row],[product_id]]</f>
        <v>e251ebd2858be1aa7d9b2087a6992580</v>
      </c>
      <c r="B251" t="str">
        <f>tbl_raw[[#This Row],[category]]</f>
        <v>garden_tools</v>
      </c>
      <c r="C251" s="2">
        <f>tbl_profitability[[#This Row],[net_profit]]</f>
        <v>1319.7700000000007</v>
      </c>
      <c r="D251" s="42">
        <f>tbl_profitability[[#This Row],[net_margin_pct]]</f>
        <v>0.23600615153520155</v>
      </c>
      <c r="E251" s="49" t="str">
        <f>tbl_profitability[[#This Row],[decision]]</f>
        <v>OPTIMIZE</v>
      </c>
      <c r="F251" s="2">
        <f>tbl_raw[[#This Row],[gross_revenue]]-tbl_raw[[#This Row],[return_loss]]-tbl_raw[[#This Row],[cogs]]*(1+scn_A_cogs_up)-(tbl_raw[[#This Row],[storage_cost]]+tbl_raw[[#This Row],[fulfillment_cost]]+tbl_raw[[#This Row],[freight_cost]])</f>
        <v>1068.1260000000004</v>
      </c>
      <c r="G251" s="42">
        <f>tbl_scenarios[[#This Row],[net_profit_A]]/tbl_raw[[#This Row],[gross_revenue]]</f>
        <v>0.19100624094705038</v>
      </c>
      <c r="H251" s="43">
        <f>tbl_scenarios[[#This Row],[net_margin_A]]-tbl_scenarios[[#This Row],[net_margin_pct]]</f>
        <v>-4.4999910588151171E-2</v>
      </c>
      <c r="I25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51" s="2">
        <f>tbl_raw[[#This Row],[gross_revenue]]-tbl_raw[[#This Row],[return_loss]]*(1+scn_B_returns_up/0.05)-tbl_raw[[#This Row],[cogs]]-(tbl_raw[[#This Row],[storage_cost]]+tbl_raw[[#This Row],[fulfillment_cost]]+tbl_raw[[#This Row],[freight_cost]])</f>
        <v>1302.49</v>
      </c>
      <c r="K251" s="42">
        <f>tbl_scenarios[[#This Row],[net_profit_B]]/tbl_raw[[#This Row],[gross_revenue]]</f>
        <v>0.23291607803866168</v>
      </c>
      <c r="L251" s="43">
        <f>tbl_scenarios[[#This Row],[net_margin_B]]-tbl_scenarios[[#This Row],[net_margin_pct]]</f>
        <v>-3.0900734965398635E-3</v>
      </c>
      <c r="M25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51" s="2">
        <f>tbl_raw[[#This Row],[gross_revenue]]*(1-scn_C_price_down)-tbl_raw[[#This Row],[return_loss]]-tbl_raw[[#This Row],[cogs]]-(tbl_raw[[#This Row],[storage_cost]]+tbl_raw[[#This Row],[fulfillment_cost]]+tbl_raw[[#This Row],[freight_cost]])</f>
        <v>1040.1650000000002</v>
      </c>
      <c r="O251" s="42">
        <f>tbl_scenarios[[#This Row],[net_profit_C]]/(tbl_raw[[#This Row],[gross_revenue]]*(1-scn_C_price_down))</f>
        <v>0.19579594898442262</v>
      </c>
      <c r="P251" s="43">
        <f>tbl_scenarios[[#This Row],[net_margin_C]]-tbl_scenarios[[#This Row],[net_margin_pct]]</f>
        <v>-4.0210202550778923E-2</v>
      </c>
      <c r="Q25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5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52" spans="1:18" x14ac:dyDescent="0.35">
      <c r="A252" s="17" t="str">
        <f>tbl_raw[[#This Row],[product_id]]</f>
        <v>145028037adecb27b1a58cf9597676cc</v>
      </c>
      <c r="B252" t="str">
        <f>tbl_raw[[#This Row],[category]]</f>
        <v>office_furniture</v>
      </c>
      <c r="C252" s="2">
        <f>tbl_profitability[[#This Row],[net_profit]]</f>
        <v>2256.0100000000002</v>
      </c>
      <c r="D252" s="42">
        <f>tbl_profitability[[#This Row],[net_margin_pct]]</f>
        <v>0.40386860007160763</v>
      </c>
      <c r="E252" s="49" t="str">
        <f>tbl_profitability[[#This Row],[decision]]</f>
        <v>EXIT</v>
      </c>
      <c r="F252" s="2">
        <f>tbl_raw[[#This Row],[gross_revenue]]-tbl_raw[[#This Row],[return_loss]]-tbl_raw[[#This Row],[cogs]]*(1+scn_A_cogs_up)-(tbl_raw[[#This Row],[storage_cost]]+tbl_raw[[#This Row],[fulfillment_cost]]+tbl_raw[[#This Row],[freight_cost]])</f>
        <v>2004.6399999999999</v>
      </c>
      <c r="G252" s="42">
        <f>tbl_scenarios[[#This Row],[net_profit_A]]/tbl_raw[[#This Row],[gross_revenue]]</f>
        <v>0.35886860007160759</v>
      </c>
      <c r="H252" s="43">
        <f>tbl_scenarios[[#This Row],[net_margin_A]]-tbl_scenarios[[#This Row],[net_margin_pct]]</f>
        <v>-4.500000000000004E-2</v>
      </c>
      <c r="I252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52" s="2">
        <f>tbl_raw[[#This Row],[gross_revenue]]-tbl_raw[[#This Row],[return_loss]]*(1+scn_B_returns_up/0.05)-tbl_raw[[#This Row],[cogs]]-(tbl_raw[[#This Row],[storage_cost]]+tbl_raw[[#This Row],[fulfillment_cost]]+tbl_raw[[#This Row],[freight_cost]])</f>
        <v>2250.9700000000003</v>
      </c>
      <c r="K252" s="42">
        <f>tbl_scenarios[[#This Row],[net_profit_B]]/tbl_raw[[#This Row],[gross_revenue]]</f>
        <v>0.40296634443250989</v>
      </c>
      <c r="L252" s="43">
        <f>tbl_scenarios[[#This Row],[net_margin_B]]-tbl_scenarios[[#This Row],[net_margin_pct]]</f>
        <v>-9.0225563909773765E-4</v>
      </c>
      <c r="M252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52" s="2">
        <f>tbl_raw[[#This Row],[gross_revenue]]*(1-scn_C_price_down)-tbl_raw[[#This Row],[return_loss]]-tbl_raw[[#This Row],[cogs]]-(tbl_raw[[#This Row],[storage_cost]]+tbl_raw[[#This Row],[fulfillment_cost]]+tbl_raw[[#This Row],[freight_cost]])</f>
        <v>1976.71</v>
      </c>
      <c r="O252" s="42">
        <f>tbl_scenarios[[#This Row],[net_profit_C]]/(tbl_raw[[#This Row],[gross_revenue]]*(1-scn_C_price_down))</f>
        <v>0.37249326323327114</v>
      </c>
      <c r="P252" s="43">
        <f>tbl_scenarios[[#This Row],[net_margin_C]]-tbl_scenarios[[#This Row],[net_margin_pct]]</f>
        <v>-3.1375336838336487E-2</v>
      </c>
      <c r="Q252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5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53" spans="1:18" x14ac:dyDescent="0.35">
      <c r="A253" s="17" t="str">
        <f>tbl_raw[[#This Row],[product_id]]</f>
        <v>332842d24e84234cd91299a225de76ab</v>
      </c>
      <c r="B253" t="str">
        <f>tbl_raw[[#This Row],[category]]</f>
        <v>watches_gifts</v>
      </c>
      <c r="C253" s="2">
        <f>tbl_profitability[[#This Row],[net_profit]]</f>
        <v>2876.4900000000002</v>
      </c>
      <c r="D253" s="42">
        <f>tbl_profitability[[#This Row],[net_margin_pct]]</f>
        <v>0.51494629430719663</v>
      </c>
      <c r="E253" s="49" t="str">
        <f>tbl_profitability[[#This Row],[decision]]</f>
        <v>OPTIMIZE</v>
      </c>
      <c r="F253" s="2">
        <f>tbl_raw[[#This Row],[gross_revenue]]-tbl_raw[[#This Row],[return_loss]]-tbl_raw[[#This Row],[cogs]]*(1+scn_A_cogs_up)-(tbl_raw[[#This Row],[storage_cost]]+tbl_raw[[#This Row],[fulfillment_cost]]+tbl_raw[[#This Row],[freight_cost]])</f>
        <v>2641.8780000000002</v>
      </c>
      <c r="G253" s="42">
        <f>tbl_scenarios[[#This Row],[net_profit_A]]/tbl_raw[[#This Row],[gross_revenue]]</f>
        <v>0.47294629430719659</v>
      </c>
      <c r="H253" s="43">
        <f>tbl_scenarios[[#This Row],[net_margin_A]]-tbl_scenarios[[#This Row],[net_margin_pct]]</f>
        <v>-4.2000000000000037E-2</v>
      </c>
      <c r="I25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53" s="2">
        <f>tbl_raw[[#This Row],[gross_revenue]]-tbl_raw[[#This Row],[return_loss]]*(1+scn_B_returns_up/0.05)-tbl_raw[[#This Row],[cogs]]-(tbl_raw[[#This Row],[storage_cost]]+tbl_raw[[#This Row],[fulfillment_cost]]+tbl_raw[[#This Row],[freight_cost]])</f>
        <v>2871.4500000000003</v>
      </c>
      <c r="K253" s="42">
        <f>tbl_scenarios[[#This Row],[net_profit_B]]/tbl_raw[[#This Row],[gross_revenue]]</f>
        <v>0.51404403866809889</v>
      </c>
      <c r="L253" s="43">
        <f>tbl_scenarios[[#This Row],[net_margin_B]]-tbl_scenarios[[#This Row],[net_margin_pct]]</f>
        <v>-9.0225563909773765E-4</v>
      </c>
      <c r="M25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53" s="2">
        <f>tbl_raw[[#This Row],[gross_revenue]]*(1-scn_C_price_down)-tbl_raw[[#This Row],[return_loss]]-tbl_raw[[#This Row],[cogs]]-(tbl_raw[[#This Row],[storage_cost]]+tbl_raw[[#This Row],[fulfillment_cost]]+tbl_raw[[#This Row],[freight_cost]])</f>
        <v>2597.19</v>
      </c>
      <c r="O253" s="42">
        <f>tbl_scenarios[[#This Row],[net_profit_C]]/(tbl_raw[[#This Row],[gross_revenue]]*(1-scn_C_price_down))</f>
        <v>0.48941715190231222</v>
      </c>
      <c r="P253" s="43">
        <f>tbl_scenarios[[#This Row],[net_margin_C]]-tbl_scenarios[[#This Row],[net_margin_pct]]</f>
        <v>-2.5529142404884408E-2</v>
      </c>
      <c r="Q25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5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54" spans="1:18" x14ac:dyDescent="0.35">
      <c r="A254" s="17" t="str">
        <f>tbl_raw[[#This Row],[product_id]]</f>
        <v>ba55945d930e34e802e5dd2e5cffdcc8</v>
      </c>
      <c r="B254" t="str">
        <f>tbl_raw[[#This Row],[category]]</f>
        <v>musical_instruments</v>
      </c>
      <c r="C254" s="2">
        <f>tbl_profitability[[#This Row],[net_profit]]</f>
        <v>3206.92</v>
      </c>
      <c r="D254" s="42">
        <f>tbl_profitability[[#This Row],[net_margin_pct]]</f>
        <v>0.57533342183917524</v>
      </c>
      <c r="E254" s="49" t="str">
        <f>tbl_profitability[[#This Row],[decision]]</f>
        <v>OPTIMIZE</v>
      </c>
      <c r="F254" s="2">
        <f>tbl_raw[[#This Row],[gross_revenue]]-tbl_raw[[#This Row],[return_loss]]-tbl_raw[[#This Row],[cogs]]*(1+scn_A_cogs_up)-(tbl_raw[[#This Row],[storage_cost]]+tbl_raw[[#This Row],[fulfillment_cost]]+tbl_raw[[#This Row],[freight_cost]])</f>
        <v>2983.9589999999998</v>
      </c>
      <c r="G254" s="42">
        <f>tbl_scenarios[[#This Row],[net_profit_A]]/tbl_raw[[#This Row],[gross_revenue]]</f>
        <v>0.5353333859584285</v>
      </c>
      <c r="H254" s="43">
        <f>tbl_scenarios[[#This Row],[net_margin_A]]-tbl_scenarios[[#This Row],[net_margin_pct]]</f>
        <v>-4.0000035880746743E-2</v>
      </c>
      <c r="I25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54" s="2">
        <f>tbl_raw[[#This Row],[gross_revenue]]-tbl_raw[[#This Row],[return_loss]]*(1+scn_B_returns_up/0.05)-tbl_raw[[#This Row],[cogs]]-(tbl_raw[[#This Row],[storage_cost]]+tbl_raw[[#This Row],[fulfillment_cost]]+tbl_raw[[#This Row],[freight_cost]])</f>
        <v>3206.62</v>
      </c>
      <c r="K254" s="42">
        <f>tbl_scenarios[[#This Row],[net_profit_B]]/tbl_raw[[#This Row],[gross_revenue]]</f>
        <v>0.57527960071905015</v>
      </c>
      <c r="L254" s="43">
        <f>tbl_scenarios[[#This Row],[net_margin_B]]-tbl_scenarios[[#This Row],[net_margin_pct]]</f>
        <v>-5.3821120125085997E-5</v>
      </c>
      <c r="M254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54" s="2">
        <f>tbl_raw[[#This Row],[gross_revenue]]*(1-scn_C_price_down)-tbl_raw[[#This Row],[return_loss]]-tbl_raw[[#This Row],[cogs]]-(tbl_raw[[#This Row],[storage_cost]]+tbl_raw[[#This Row],[fulfillment_cost]]+tbl_raw[[#This Row],[freight_cost]])</f>
        <v>2928.2190000000001</v>
      </c>
      <c r="O254" s="42">
        <f>tbl_scenarios[[#This Row],[net_profit_C]]/(tbl_raw[[#This Row],[gross_revenue]]*(1-scn_C_price_down))</f>
        <v>0.55298254930439505</v>
      </c>
      <c r="P254" s="43">
        <f>tbl_scenarios[[#This Row],[net_margin_C]]-tbl_scenarios[[#This Row],[net_margin_pct]]</f>
        <v>-2.2350872534780186E-2</v>
      </c>
      <c r="Q25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5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55" spans="1:18" x14ac:dyDescent="0.35">
      <c r="A255" s="17" t="str">
        <f>tbl_raw[[#This Row],[product_id]]</f>
        <v>3429d7e4892a2df967fae671f4c98deb</v>
      </c>
      <c r="B255" t="str">
        <f>tbl_raw[[#This Row],[category]]</f>
        <v>health_beauty</v>
      </c>
      <c r="C255" s="2">
        <f>tbl_profitability[[#This Row],[net_profit]]</f>
        <v>2680.1700000000005</v>
      </c>
      <c r="D255" s="42">
        <f>tbl_profitability[[#This Row],[net_margin_pct]]</f>
        <v>0.48230086106837267</v>
      </c>
      <c r="E255" s="49" t="str">
        <f>tbl_profitability[[#This Row],[decision]]</f>
        <v>SCALE</v>
      </c>
      <c r="F255" s="2">
        <f>tbl_raw[[#This Row],[gross_revenue]]-tbl_raw[[#This Row],[return_loss]]-tbl_raw[[#This Row],[cogs]]*(1+scn_A_cogs_up)-(tbl_raw[[#This Row],[storage_cost]]+tbl_raw[[#This Row],[fulfillment_cost]]+tbl_raw[[#This Row],[freight_cost]])</f>
        <v>2446.7740000000003</v>
      </c>
      <c r="G255" s="42">
        <f>tbl_scenarios[[#This Row],[net_profit_A]]/tbl_raw[[#This Row],[gross_revenue]]</f>
        <v>0.44030087906353194</v>
      </c>
      <c r="H255" s="43">
        <f>tbl_scenarios[[#This Row],[net_margin_A]]-tbl_scenarios[[#This Row],[net_margin_pct]]</f>
        <v>-4.199998200484073E-2</v>
      </c>
      <c r="I25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55" s="2">
        <f>tbl_raw[[#This Row],[gross_revenue]]-tbl_raw[[#This Row],[return_loss]]*(1+scn_B_returns_up/0.05)-tbl_raw[[#This Row],[cogs]]-(tbl_raw[[#This Row],[storage_cost]]+tbl_raw[[#This Row],[fulfillment_cost]]+tbl_raw[[#This Row],[freight_cost]])</f>
        <v>2674.77</v>
      </c>
      <c r="K255" s="42">
        <f>tbl_scenarios[[#This Row],[net_profit_B]]/tbl_raw[[#This Row],[gross_revenue]]</f>
        <v>0.48132912246605664</v>
      </c>
      <c r="L255" s="43">
        <f>tbl_scenarios[[#This Row],[net_margin_B]]-tbl_scenarios[[#This Row],[net_margin_pct]]</f>
        <v>-9.7173860231603015E-4</v>
      </c>
      <c r="M25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55" s="2">
        <f>tbl_raw[[#This Row],[gross_revenue]]*(1-scn_C_price_down)-tbl_raw[[#This Row],[return_loss]]-tbl_raw[[#This Row],[cogs]]-(tbl_raw[[#This Row],[storage_cost]]+tbl_raw[[#This Row],[fulfillment_cost]]+tbl_raw[[#This Row],[freight_cost]])</f>
        <v>2402.3175000000006</v>
      </c>
      <c r="O255" s="42">
        <f>tbl_scenarios[[#This Row],[net_profit_C]]/(tbl_raw[[#This Row],[gross_revenue]]*(1-scn_C_price_down))</f>
        <v>0.45505353796670811</v>
      </c>
      <c r="P255" s="43">
        <f>tbl_scenarios[[#This Row],[net_margin_C]]-tbl_scenarios[[#This Row],[net_margin_pct]]</f>
        <v>-2.7247323101664556E-2</v>
      </c>
      <c r="Q25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5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56" spans="1:18" x14ac:dyDescent="0.35">
      <c r="A256" s="17" t="str">
        <f>tbl_raw[[#This Row],[product_id]]</f>
        <v>9fc063fd34fed29ccc57b7f8e8d03388</v>
      </c>
      <c r="B256" t="str">
        <f>tbl_raw[[#This Row],[category]]</f>
        <v>health_beauty</v>
      </c>
      <c r="C256" s="2">
        <f>tbl_profitability[[#This Row],[net_profit]]</f>
        <v>2793.9400000000005</v>
      </c>
      <c r="D256" s="42">
        <f>tbl_profitability[[#This Row],[net_margin_pct]]</f>
        <v>0.50341261261261272</v>
      </c>
      <c r="E256" s="49" t="str">
        <f>tbl_profitability[[#This Row],[decision]]</f>
        <v>OPTIMIZE</v>
      </c>
      <c r="F256" s="2">
        <f>tbl_raw[[#This Row],[gross_revenue]]-tbl_raw[[#This Row],[return_loss]]-tbl_raw[[#This Row],[cogs]]*(1+scn_A_cogs_up)-(tbl_raw[[#This Row],[storage_cost]]+tbl_raw[[#This Row],[fulfillment_cost]]+tbl_raw[[#This Row],[freight_cost]])</f>
        <v>2560.84</v>
      </c>
      <c r="G256" s="42">
        <f>tbl_scenarios[[#This Row],[net_profit_A]]/tbl_raw[[#This Row],[gross_revenue]]</f>
        <v>0.46141261261261263</v>
      </c>
      <c r="H256" s="43">
        <f>tbl_scenarios[[#This Row],[net_margin_A]]-tbl_scenarios[[#This Row],[net_margin_pct]]</f>
        <v>-4.2000000000000093E-2</v>
      </c>
      <c r="I25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56" s="2">
        <f>tbl_raw[[#This Row],[gross_revenue]]-tbl_raw[[#This Row],[return_loss]]*(1+scn_B_returns_up/0.05)-tbl_raw[[#This Row],[cogs]]-(tbl_raw[[#This Row],[storage_cost]]+tbl_raw[[#This Row],[fulfillment_cost]]+tbl_raw[[#This Row],[freight_cost]])</f>
        <v>2788.54</v>
      </c>
      <c r="K256" s="42">
        <f>tbl_scenarios[[#This Row],[net_profit_B]]/tbl_raw[[#This Row],[gross_revenue]]</f>
        <v>0.50243963963963967</v>
      </c>
      <c r="L256" s="43">
        <f>tbl_scenarios[[#This Row],[net_margin_B]]-tbl_scenarios[[#This Row],[net_margin_pct]]</f>
        <v>-9.7297297297305185E-4</v>
      </c>
      <c r="M25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56" s="2">
        <f>tbl_raw[[#This Row],[gross_revenue]]*(1-scn_C_price_down)-tbl_raw[[#This Row],[return_loss]]-tbl_raw[[#This Row],[cogs]]-(tbl_raw[[#This Row],[storage_cost]]+tbl_raw[[#This Row],[fulfillment_cost]]+tbl_raw[[#This Row],[freight_cost]])</f>
        <v>2516.4400000000005</v>
      </c>
      <c r="O256" s="42">
        <f>tbl_scenarios[[#This Row],[net_profit_C]]/(tbl_raw[[#This Row],[gross_revenue]]*(1-scn_C_price_down))</f>
        <v>0.47727643432906602</v>
      </c>
      <c r="P256" s="43">
        <f>tbl_scenarios[[#This Row],[net_margin_C]]-tbl_scenarios[[#This Row],[net_margin_pct]]</f>
        <v>-2.6136178283546696E-2</v>
      </c>
      <c r="Q25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5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57" spans="1:18" x14ac:dyDescent="0.35">
      <c r="A257" s="17" t="str">
        <f>tbl_raw[[#This Row],[product_id]]</f>
        <v>ca38c039b717207dec906f4fa9a21db7</v>
      </c>
      <c r="B257" t="str">
        <f>tbl_raw[[#This Row],[category]]</f>
        <v>health_beauty</v>
      </c>
      <c r="C257" s="2">
        <f>tbl_profitability[[#This Row],[net_profit]]</f>
        <v>2548.5300000000007</v>
      </c>
      <c r="D257" s="42">
        <f>tbl_profitability[[#This Row],[net_margin_pct]]</f>
        <v>0.46122564952692585</v>
      </c>
      <c r="E257" s="49" t="str">
        <f>tbl_profitability[[#This Row],[decision]]</f>
        <v>SCALE</v>
      </c>
      <c r="F257" s="2">
        <f>tbl_raw[[#This Row],[gross_revenue]]-tbl_raw[[#This Row],[return_loss]]-tbl_raw[[#This Row],[cogs]]*(1+scn_A_cogs_up)-(tbl_raw[[#This Row],[storage_cost]]+tbl_raw[[#This Row],[fulfillment_cost]]+tbl_raw[[#This Row],[freight_cost]])</f>
        <v>2316.4560000000001</v>
      </c>
      <c r="G257" s="42">
        <f>tbl_scenarios[[#This Row],[net_profit_A]]/tbl_raw[[#This Row],[gross_revenue]]</f>
        <v>0.41922556265790256</v>
      </c>
      <c r="H257" s="43">
        <f>tbl_scenarios[[#This Row],[net_margin_A]]-tbl_scenarios[[#This Row],[net_margin_pct]]</f>
        <v>-4.200008686902329E-2</v>
      </c>
      <c r="I25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57" s="2">
        <f>tbl_raw[[#This Row],[gross_revenue]]-tbl_raw[[#This Row],[return_loss]]*(1+scn_B_returns_up/0.05)-tbl_raw[[#This Row],[cogs]]-(tbl_raw[[#This Row],[storage_cost]]+tbl_raw[[#This Row],[fulfillment_cost]]+tbl_raw[[#This Row],[freight_cost]])</f>
        <v>2537.7300000000005</v>
      </c>
      <c r="K257" s="42">
        <f>tbl_scenarios[[#This Row],[net_profit_B]]/tbl_raw[[#This Row],[gross_revenue]]</f>
        <v>0.4592710965042458</v>
      </c>
      <c r="L257" s="43">
        <f>tbl_scenarios[[#This Row],[net_margin_B]]-tbl_scenarios[[#This Row],[net_margin_pct]]</f>
        <v>-1.95455302268005E-3</v>
      </c>
      <c r="M25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57" s="2">
        <f>tbl_raw[[#This Row],[gross_revenue]]*(1-scn_C_price_down)-tbl_raw[[#This Row],[return_loss]]-tbl_raw[[#This Row],[cogs]]-(tbl_raw[[#This Row],[storage_cost]]+tbl_raw[[#This Row],[fulfillment_cost]]+tbl_raw[[#This Row],[freight_cost]])</f>
        <v>2272.2520000000004</v>
      </c>
      <c r="O257" s="42">
        <f>tbl_scenarios[[#This Row],[net_profit_C]]/(tbl_raw[[#This Row],[gross_revenue]]*(1-scn_C_price_down))</f>
        <v>0.43286910476518509</v>
      </c>
      <c r="P257" s="43">
        <f>tbl_scenarios[[#This Row],[net_margin_C]]-tbl_scenarios[[#This Row],[net_margin_pct]]</f>
        <v>-2.8356544761740765E-2</v>
      </c>
      <c r="Q25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5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58" spans="1:18" x14ac:dyDescent="0.35">
      <c r="A258" s="17" t="str">
        <f>tbl_raw[[#This Row],[product_id]]</f>
        <v>b3e40ff639c185b9d726b4b19c17e6cd</v>
      </c>
      <c r="B258" t="str">
        <f>tbl_raw[[#This Row],[category]]</f>
        <v>cool_stuff</v>
      </c>
      <c r="C258" s="2">
        <f>tbl_profitability[[#This Row],[net_profit]]</f>
        <v>2395.6</v>
      </c>
      <c r="D258" s="42">
        <f>tbl_profitability[[#This Row],[net_margin_pct]]</f>
        <v>0.43400437700189859</v>
      </c>
      <c r="E258" s="49" t="str">
        <f>tbl_profitability[[#This Row],[decision]]</f>
        <v>OPTIMIZE</v>
      </c>
      <c r="F258" s="2">
        <f>tbl_raw[[#This Row],[gross_revenue]]-tbl_raw[[#This Row],[return_loss]]-tbl_raw[[#This Row],[cogs]]*(1+scn_A_cogs_up)-(tbl_raw[[#This Row],[storage_cost]]+tbl_raw[[#This Row],[fulfillment_cost]]+tbl_raw[[#This Row],[freight_cost]])</f>
        <v>2147.2109999999998</v>
      </c>
      <c r="G258" s="42">
        <f>tbl_scenarios[[#This Row],[net_profit_A]]/tbl_raw[[#This Row],[gross_revenue]]</f>
        <v>0.389004413235358</v>
      </c>
      <c r="H258" s="43">
        <f>tbl_scenarios[[#This Row],[net_margin_A]]-tbl_scenarios[[#This Row],[net_margin_pct]]</f>
        <v>-4.4999963766540585E-2</v>
      </c>
      <c r="I25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58" s="2">
        <f>tbl_raw[[#This Row],[gross_revenue]]-tbl_raw[[#This Row],[return_loss]]*(1+scn_B_returns_up/0.05)-tbl_raw[[#This Row],[cogs]]-(tbl_raw[[#This Row],[storage_cost]]+tbl_raw[[#This Row],[fulfillment_cost]]+tbl_raw[[#This Row],[freight_cost]])</f>
        <v>2386.9600000000005</v>
      </c>
      <c r="K258" s="42">
        <f>tbl_scenarios[[#This Row],[net_profit_B]]/tbl_raw[[#This Row],[gross_revenue]]</f>
        <v>0.43243909155470533</v>
      </c>
      <c r="L258" s="43">
        <f>tbl_scenarios[[#This Row],[net_margin_B]]-tbl_scenarios[[#This Row],[net_margin_pct]]</f>
        <v>-1.5652854471932542E-3</v>
      </c>
      <c r="M25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58" s="2">
        <f>tbl_raw[[#This Row],[gross_revenue]]*(1-scn_C_price_down)-tbl_raw[[#This Row],[return_loss]]-tbl_raw[[#This Row],[cogs]]-(tbl_raw[[#This Row],[storage_cost]]+tbl_raw[[#This Row],[fulfillment_cost]]+tbl_raw[[#This Row],[freight_cost]])</f>
        <v>2119.6119999999996</v>
      </c>
      <c r="O258" s="42">
        <f>tbl_scenarios[[#This Row],[net_profit_C]]/(tbl_raw[[#This Row],[gross_revenue]]*(1-scn_C_price_down))</f>
        <v>0.40421513368620904</v>
      </c>
      <c r="P258" s="43">
        <f>tbl_scenarios[[#This Row],[net_margin_C]]-tbl_scenarios[[#This Row],[net_margin_pct]]</f>
        <v>-2.9789243315689551E-2</v>
      </c>
      <c r="Q25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5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59" spans="1:18" x14ac:dyDescent="0.35">
      <c r="A259" s="17" t="str">
        <f>tbl_raw[[#This Row],[product_id]]</f>
        <v>2bb3e85f2a403543fdb64e266e70c792</v>
      </c>
      <c r="B259" t="str">
        <f>tbl_raw[[#This Row],[category]]</f>
        <v>toys</v>
      </c>
      <c r="C259" s="2">
        <f>tbl_profitability[[#This Row],[net_profit]]</f>
        <v>1806.6299999999992</v>
      </c>
      <c r="D259" s="42">
        <f>tbl_profitability[[#This Row],[net_margin_pct]]</f>
        <v>0.32767983458482958</v>
      </c>
      <c r="E259" s="49" t="str">
        <f>tbl_profitability[[#This Row],[decision]]</f>
        <v>SCALE</v>
      </c>
      <c r="F259" s="2">
        <f>tbl_raw[[#This Row],[gross_revenue]]-tbl_raw[[#This Row],[return_loss]]-tbl_raw[[#This Row],[cogs]]*(1+scn_A_cogs_up)-(tbl_raw[[#This Row],[storage_cost]]+tbl_raw[[#This Row],[fulfillment_cost]]+tbl_raw[[#This Row],[freight_cost]])</f>
        <v>1575.0669999999991</v>
      </c>
      <c r="G259" s="42">
        <f>tbl_scenarios[[#This Row],[net_profit_A]]/tbl_raw[[#This Row],[gross_revenue]]</f>
        <v>0.28567979830957291</v>
      </c>
      <c r="H259" s="43">
        <f>tbl_scenarios[[#This Row],[net_margin_A]]-tbl_scenarios[[#This Row],[net_margin_pct]]</f>
        <v>-4.2000036275256669E-2</v>
      </c>
      <c r="I25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59" s="2">
        <f>tbl_raw[[#This Row],[gross_revenue]]-tbl_raw[[#This Row],[return_loss]]*(1+scn_B_returns_up/0.05)-tbl_raw[[#This Row],[cogs]]-(tbl_raw[[#This Row],[storage_cost]]+tbl_raw[[#This Row],[fulfillment_cost]]+tbl_raw[[#This Row],[freight_cost]])</f>
        <v>1800.869999999999</v>
      </c>
      <c r="K259" s="42">
        <f>tbl_scenarios[[#This Row],[net_profit_B]]/tbl_raw[[#This Row],[gross_revenue]]</f>
        <v>0.32663510719338323</v>
      </c>
      <c r="L259" s="43">
        <f>tbl_scenarios[[#This Row],[net_margin_B]]-tbl_scenarios[[#This Row],[net_margin_pct]]</f>
        <v>-1.0447273914463429E-3</v>
      </c>
      <c r="M25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59" s="2">
        <f>tbl_raw[[#This Row],[gross_revenue]]*(1-scn_C_price_down)-tbl_raw[[#This Row],[return_loss]]-tbl_raw[[#This Row],[cogs]]-(tbl_raw[[#This Row],[storage_cost]]+tbl_raw[[#This Row],[fulfillment_cost]]+tbl_raw[[#This Row],[freight_cost]])</f>
        <v>1530.9599999999991</v>
      </c>
      <c r="O259" s="42">
        <f>tbl_scenarios[[#This Row],[net_profit_C]]/(tbl_raw[[#This Row],[gross_revenue]]*(1-scn_C_price_down))</f>
        <v>0.29229456272087323</v>
      </c>
      <c r="P259" s="43">
        <f>tbl_scenarios[[#This Row],[net_margin_C]]-tbl_scenarios[[#This Row],[net_margin_pct]]</f>
        <v>-3.5385271863956347E-2</v>
      </c>
      <c r="Q25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5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60" spans="1:18" x14ac:dyDescent="0.35">
      <c r="A260" s="17" t="str">
        <f>tbl_raw[[#This Row],[product_id]]</f>
        <v>c3ba4e8d3cb30049213b682e751e9d00</v>
      </c>
      <c r="B260" t="str">
        <f>tbl_raw[[#This Row],[category]]</f>
        <v>watches_gifts</v>
      </c>
      <c r="C260" s="2">
        <f>tbl_profitability[[#This Row],[net_profit]]</f>
        <v>2115.25</v>
      </c>
      <c r="D260" s="42">
        <f>tbl_profitability[[#This Row],[net_margin_pct]]</f>
        <v>0.38417181256810751</v>
      </c>
      <c r="E260" s="49" t="str">
        <f>tbl_profitability[[#This Row],[decision]]</f>
        <v>OPTIMIZE</v>
      </c>
      <c r="F260" s="2">
        <f>tbl_raw[[#This Row],[gross_revenue]]-tbl_raw[[#This Row],[return_loss]]-tbl_raw[[#This Row],[cogs]]*(1+scn_A_cogs_up)-(tbl_raw[[#This Row],[storage_cost]]+tbl_raw[[#This Row],[fulfillment_cost]]+tbl_raw[[#This Row],[freight_cost]])</f>
        <v>1883.9979999999996</v>
      </c>
      <c r="G260" s="42">
        <f>tbl_scenarios[[#This Row],[net_profit_A]]/tbl_raw[[#This Row],[gross_revenue]]</f>
        <v>0.34217181256810747</v>
      </c>
      <c r="H260" s="43">
        <f>tbl_scenarios[[#This Row],[net_margin_A]]-tbl_scenarios[[#This Row],[net_margin_pct]]</f>
        <v>-4.2000000000000037E-2</v>
      </c>
      <c r="I26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60" s="2">
        <f>tbl_raw[[#This Row],[gross_revenue]]-tbl_raw[[#This Row],[return_loss]]*(1+scn_B_returns_up/0.05)-tbl_raw[[#This Row],[cogs]]-(tbl_raw[[#This Row],[storage_cost]]+tbl_raw[[#This Row],[fulfillment_cost]]+tbl_raw[[#This Row],[freight_cost]])</f>
        <v>2094.37</v>
      </c>
      <c r="K260" s="42">
        <f>tbl_scenarios[[#This Row],[net_profit_B]]/tbl_raw[[#This Row],[gross_revenue]]</f>
        <v>0.38037958590628401</v>
      </c>
      <c r="L260" s="43">
        <f>tbl_scenarios[[#This Row],[net_margin_B]]-tbl_scenarios[[#This Row],[net_margin_pct]]</f>
        <v>-3.7922266618234945E-3</v>
      </c>
      <c r="M260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60" s="2">
        <f>tbl_raw[[#This Row],[gross_revenue]]*(1-scn_C_price_down)-tbl_raw[[#This Row],[return_loss]]-tbl_raw[[#This Row],[cogs]]-(tbl_raw[[#This Row],[storage_cost]]+tbl_raw[[#This Row],[fulfillment_cost]]+tbl_raw[[#This Row],[freight_cost]])</f>
        <v>1839.9499999999998</v>
      </c>
      <c r="O260" s="42">
        <f>tbl_scenarios[[#This Row],[net_profit_C]]/(tbl_raw[[#This Row],[gross_revenue]]*(1-scn_C_price_down))</f>
        <v>0.35175980270327106</v>
      </c>
      <c r="P260" s="43">
        <f>tbl_scenarios[[#This Row],[net_margin_C]]-tbl_scenarios[[#This Row],[net_margin_pct]]</f>
        <v>-3.2412009864836444E-2</v>
      </c>
      <c r="Q260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6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61" spans="1:18" x14ac:dyDescent="0.35">
      <c r="A261" s="17" t="str">
        <f>tbl_raw[[#This Row],[product_id]]</f>
        <v>73bcea88583002fe12b7399af4ae60da</v>
      </c>
      <c r="B261" t="str">
        <f>tbl_raw[[#This Row],[category]]</f>
        <v>watches_gifts</v>
      </c>
      <c r="C261" s="2">
        <f>tbl_profitability[[#This Row],[net_profit]]</f>
        <v>2317.7599999999998</v>
      </c>
      <c r="D261" s="42">
        <f>tbl_profitability[[#This Row],[net_margin_pct]]</f>
        <v>0.42145611983830988</v>
      </c>
      <c r="E261" s="49" t="str">
        <f>tbl_profitability[[#This Row],[decision]]</f>
        <v>SCALE</v>
      </c>
      <c r="F261" s="2">
        <f>tbl_raw[[#This Row],[gross_revenue]]-tbl_raw[[#This Row],[return_loss]]-tbl_raw[[#This Row],[cogs]]*(1+scn_A_cogs_up)-(tbl_raw[[#This Row],[storage_cost]]+tbl_raw[[#This Row],[fulfillment_cost]]+tbl_raw[[#This Row],[freight_cost]])</f>
        <v>2086.7849999999994</v>
      </c>
      <c r="G261" s="42">
        <f>tbl_scenarios[[#This Row],[net_profit_A]]/tbl_raw[[#This Row],[gross_revenue]]</f>
        <v>0.37945615984260117</v>
      </c>
      <c r="H261" s="43">
        <f>tbl_scenarios[[#This Row],[net_margin_A]]-tbl_scenarios[[#This Row],[net_margin_pct]]</f>
        <v>-4.1999959995708713E-2</v>
      </c>
      <c r="I26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61" s="2">
        <f>tbl_raw[[#This Row],[gross_revenue]]-tbl_raw[[#This Row],[return_loss]]*(1+scn_B_returns_up/0.05)-tbl_raw[[#This Row],[cogs]]-(tbl_raw[[#This Row],[storage_cost]]+tbl_raw[[#This Row],[fulfillment_cost]]+tbl_raw[[#This Row],[freight_cost]])</f>
        <v>2302.9999999999995</v>
      </c>
      <c r="K261" s="42">
        <f>tbl_scenarios[[#This Row],[net_profit_B]]/tbl_raw[[#This Row],[gross_revenue]]</f>
        <v>0.41877219556279666</v>
      </c>
      <c r="L261" s="43">
        <f>tbl_scenarios[[#This Row],[net_margin_B]]-tbl_scenarios[[#This Row],[net_margin_pct]]</f>
        <v>-2.6839242755132275E-3</v>
      </c>
      <c r="M26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61" s="2">
        <f>tbl_raw[[#This Row],[gross_revenue]]*(1-scn_C_price_down)-tbl_raw[[#This Row],[return_loss]]-tbl_raw[[#This Row],[cogs]]-(tbl_raw[[#This Row],[storage_cost]]+tbl_raw[[#This Row],[fulfillment_cost]]+tbl_raw[[#This Row],[freight_cost]])</f>
        <v>2042.7894999999994</v>
      </c>
      <c r="O261" s="42">
        <f>tbl_scenarios[[#This Row],[net_profit_C]]/(tbl_raw[[#This Row],[gross_revenue]]*(1-scn_C_price_down))</f>
        <v>0.39100644193506301</v>
      </c>
      <c r="P261" s="43">
        <f>tbl_scenarios[[#This Row],[net_margin_C]]-tbl_scenarios[[#This Row],[net_margin_pct]]</f>
        <v>-3.0449677903246875E-2</v>
      </c>
      <c r="Q26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6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62" spans="1:18" x14ac:dyDescent="0.35">
      <c r="A262" s="17" t="str">
        <f>tbl_raw[[#This Row],[product_id]]</f>
        <v>27dd6092aaf2627e39331ad9823b5ebf</v>
      </c>
      <c r="B262" t="str">
        <f>tbl_raw[[#This Row],[category]]</f>
        <v>watches_gifts</v>
      </c>
      <c r="C262" s="2">
        <f>tbl_profitability[[#This Row],[net_profit]]</f>
        <v>3091.0000000000005</v>
      </c>
      <c r="D262" s="42">
        <f>tbl_profitability[[#This Row],[net_margin_pct]]</f>
        <v>0.56240902474526933</v>
      </c>
      <c r="E262" s="49" t="str">
        <f>tbl_profitability[[#This Row],[decision]]</f>
        <v>OPTIMIZE</v>
      </c>
      <c r="F262" s="2">
        <f>tbl_raw[[#This Row],[gross_revenue]]-tbl_raw[[#This Row],[return_loss]]-tbl_raw[[#This Row],[cogs]]*(1+scn_A_cogs_up)-(tbl_raw[[#This Row],[storage_cost]]+tbl_raw[[#This Row],[fulfillment_cost]]+tbl_raw[[#This Row],[freight_cost]])</f>
        <v>2860.1680000000001</v>
      </c>
      <c r="G262" s="42">
        <f>tbl_scenarios[[#This Row],[net_profit_A]]/tbl_raw[[#This Row],[gross_revenue]]</f>
        <v>0.52040902474526929</v>
      </c>
      <c r="H262" s="43">
        <f>tbl_scenarios[[#This Row],[net_margin_A]]-tbl_scenarios[[#This Row],[net_margin_pct]]</f>
        <v>-4.2000000000000037E-2</v>
      </c>
      <c r="I26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62" s="2">
        <f>tbl_raw[[#This Row],[gross_revenue]]-tbl_raw[[#This Row],[return_loss]]*(1+scn_B_returns_up/0.05)-tbl_raw[[#This Row],[cogs]]-(tbl_raw[[#This Row],[storage_cost]]+tbl_raw[[#This Row],[fulfillment_cost]]+tbl_raw[[#This Row],[freight_cost]])</f>
        <v>3089.56</v>
      </c>
      <c r="K262" s="42">
        <f>tbl_scenarios[[#This Row],[net_profit_B]]/tbl_raw[[#This Row],[gross_revenue]]</f>
        <v>0.56214701601164485</v>
      </c>
      <c r="L262" s="43">
        <f>tbl_scenarios[[#This Row],[net_margin_B]]-tbl_scenarios[[#This Row],[net_margin_pct]]</f>
        <v>-2.6200873362447474E-4</v>
      </c>
      <c r="M26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62" s="2">
        <f>tbl_raw[[#This Row],[gross_revenue]]*(1-scn_C_price_down)-tbl_raw[[#This Row],[return_loss]]-tbl_raw[[#This Row],[cogs]]-(tbl_raw[[#This Row],[storage_cost]]+tbl_raw[[#This Row],[fulfillment_cost]]+tbl_raw[[#This Row],[freight_cost]])</f>
        <v>2816.2000000000003</v>
      </c>
      <c r="O262" s="42">
        <f>tbl_scenarios[[#This Row],[net_profit_C]]/(tbl_raw[[#This Row],[gross_revenue]]*(1-scn_C_price_down))</f>
        <v>0.53937792078449409</v>
      </c>
      <c r="P262" s="43">
        <f>tbl_scenarios[[#This Row],[net_margin_C]]-tbl_scenarios[[#This Row],[net_margin_pct]]</f>
        <v>-2.3031103960775234E-2</v>
      </c>
      <c r="Q26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6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63" spans="1:18" x14ac:dyDescent="0.35">
      <c r="A263" s="17" t="str">
        <f>tbl_raw[[#This Row],[product_id]]</f>
        <v>bdb0b11a36aed4d0d862a7037c838560</v>
      </c>
      <c r="B263" t="str">
        <f>tbl_raw[[#This Row],[category]]</f>
        <v>telephony</v>
      </c>
      <c r="C263" s="2">
        <f>tbl_profitability[[#This Row],[net_profit]]</f>
        <v>2151.0699999999997</v>
      </c>
      <c r="D263" s="42">
        <f>tbl_profitability[[#This Row],[net_margin_pct]]</f>
        <v>0.39145950864422197</v>
      </c>
      <c r="E263" s="49" t="str">
        <f>tbl_profitability[[#This Row],[decision]]</f>
        <v>SCALE</v>
      </c>
      <c r="F263" s="2">
        <f>tbl_raw[[#This Row],[gross_revenue]]-tbl_raw[[#This Row],[return_loss]]-tbl_raw[[#This Row],[cogs]]*(1+scn_A_cogs_up)-(tbl_raw[[#This Row],[storage_cost]]+tbl_raw[[#This Row],[fulfillment_cost]]+tbl_raw[[#This Row],[freight_cost]])</f>
        <v>1837.8549999999998</v>
      </c>
      <c r="G263" s="42">
        <f>tbl_scenarios[[#This Row],[net_profit_A]]/tbl_raw[[#This Row],[gross_revenue]]</f>
        <v>0.33445950864422197</v>
      </c>
      <c r="H263" s="43">
        <f>tbl_scenarios[[#This Row],[net_margin_A]]-tbl_scenarios[[#This Row],[net_margin_pct]]</f>
        <v>-5.6999999999999995E-2</v>
      </c>
      <c r="I26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63" s="2">
        <f>tbl_raw[[#This Row],[gross_revenue]]-tbl_raw[[#This Row],[return_loss]]*(1+scn_B_returns_up/0.05)-tbl_raw[[#This Row],[cogs]]-(tbl_raw[[#This Row],[storage_cost]]+tbl_raw[[#This Row],[fulfillment_cost]]+tbl_raw[[#This Row],[freight_cost]])</f>
        <v>2146.5699999999997</v>
      </c>
      <c r="K263" s="42">
        <f>tbl_scenarios[[#This Row],[net_profit_B]]/tbl_raw[[#This Row],[gross_revenue]]</f>
        <v>0.39064058234758864</v>
      </c>
      <c r="L263" s="43">
        <f>tbl_scenarios[[#This Row],[net_margin_B]]-tbl_scenarios[[#This Row],[net_margin_pct]]</f>
        <v>-8.1892629663332661E-4</v>
      </c>
      <c r="M26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63" s="2">
        <f>tbl_raw[[#This Row],[gross_revenue]]*(1-scn_C_price_down)-tbl_raw[[#This Row],[return_loss]]-tbl_raw[[#This Row],[cogs]]-(tbl_raw[[#This Row],[storage_cost]]+tbl_raw[[#This Row],[fulfillment_cost]]+tbl_raw[[#This Row],[freight_cost]])</f>
        <v>1876.32</v>
      </c>
      <c r="O263" s="42">
        <f>tbl_scenarios[[#This Row],[net_profit_C]]/(tbl_raw[[#This Row],[gross_revenue]]*(1-scn_C_price_down))</f>
        <v>0.35943106173076</v>
      </c>
      <c r="P263" s="43">
        <f>tbl_scenarios[[#This Row],[net_margin_C]]-tbl_scenarios[[#This Row],[net_margin_pct]]</f>
        <v>-3.2028446913461961E-2</v>
      </c>
      <c r="Q26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6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64" spans="1:18" x14ac:dyDescent="0.35">
      <c r="A264" s="17" t="str">
        <f>tbl_raw[[#This Row],[product_id]]</f>
        <v>eba7488e1c67729f045ab43fac426f2e</v>
      </c>
      <c r="B264" t="str">
        <f>tbl_raw[[#This Row],[category]]</f>
        <v>perfumery</v>
      </c>
      <c r="C264" s="2">
        <f>tbl_profitability[[#This Row],[net_profit]]</f>
        <v>2582.5099999999993</v>
      </c>
      <c r="D264" s="42">
        <f>tbl_profitability[[#This Row],[net_margin_pct]]</f>
        <v>0.47386374061909381</v>
      </c>
      <c r="E264" s="49" t="str">
        <f>tbl_profitability[[#This Row],[decision]]</f>
        <v>SCALE</v>
      </c>
      <c r="F264" s="2">
        <f>tbl_raw[[#This Row],[gross_revenue]]-tbl_raw[[#This Row],[return_loss]]-tbl_raw[[#This Row],[cogs]]*(1+scn_A_cogs_up)-(tbl_raw[[#This Row],[storage_cost]]+tbl_raw[[#This Row],[fulfillment_cost]]+tbl_raw[[#This Row],[freight_cost]])</f>
        <v>2353.6139999999996</v>
      </c>
      <c r="G264" s="42">
        <f>tbl_scenarios[[#This Row],[net_profit_A]]/tbl_raw[[#This Row],[gross_revenue]]</f>
        <v>0.43186370392117279</v>
      </c>
      <c r="H264" s="43">
        <f>tbl_scenarios[[#This Row],[net_margin_A]]-tbl_scenarios[[#This Row],[net_margin_pct]]</f>
        <v>-4.2000036697921017E-2</v>
      </c>
      <c r="I26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64" s="2">
        <f>tbl_raw[[#This Row],[gross_revenue]]-tbl_raw[[#This Row],[return_loss]]*(1+scn_B_returns_up/0.05)-tbl_raw[[#This Row],[cogs]]-(tbl_raw[[#This Row],[storage_cost]]+tbl_raw[[#This Row],[fulfillment_cost]]+tbl_raw[[#This Row],[freight_cost]])</f>
        <v>2573.5099999999993</v>
      </c>
      <c r="K264" s="42">
        <f>tbl_scenarios[[#This Row],[net_profit_B]]/tbl_raw[[#This Row],[gross_revenue]]</f>
        <v>0.47221233417126912</v>
      </c>
      <c r="L264" s="43">
        <f>tbl_scenarios[[#This Row],[net_margin_B]]-tbl_scenarios[[#This Row],[net_margin_pct]]</f>
        <v>-1.6514064478246882E-3</v>
      </c>
      <c r="M26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64" s="2">
        <f>tbl_raw[[#This Row],[gross_revenue]]*(1-scn_C_price_down)-tbl_raw[[#This Row],[return_loss]]-tbl_raw[[#This Row],[cogs]]-(tbl_raw[[#This Row],[storage_cost]]+tbl_raw[[#This Row],[fulfillment_cost]]+tbl_raw[[#This Row],[freight_cost]])</f>
        <v>2310.0149999999994</v>
      </c>
      <c r="O264" s="42">
        <f>tbl_scenarios[[#This Row],[net_profit_C]]/(tbl_raw[[#This Row],[gross_revenue]]*(1-scn_C_price_down))</f>
        <v>0.44617235854641457</v>
      </c>
      <c r="P264" s="43">
        <f>tbl_scenarios[[#This Row],[net_margin_C]]-tbl_scenarios[[#This Row],[net_margin_pct]]</f>
        <v>-2.7691382072679238E-2</v>
      </c>
      <c r="Q26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6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65" spans="1:18" x14ac:dyDescent="0.35">
      <c r="A265" s="17" t="str">
        <f>tbl_raw[[#This Row],[product_id]]</f>
        <v>89b121bee266dcd25688a1ba72eefb61</v>
      </c>
      <c r="B265" t="str">
        <f>tbl_raw[[#This Row],[category]]</f>
        <v>computers_accessories</v>
      </c>
      <c r="C265" s="2">
        <f>tbl_profitability[[#This Row],[net_profit]]</f>
        <v>672.75</v>
      </c>
      <c r="D265" s="42">
        <f>tbl_profitability[[#This Row],[net_margin_pct]]</f>
        <v>0.12382205698299345</v>
      </c>
      <c r="E265" s="49" t="str">
        <f>tbl_profitability[[#This Row],[decision]]</f>
        <v>EXIT</v>
      </c>
      <c r="F265" s="2">
        <f>tbl_raw[[#This Row],[gross_revenue]]-tbl_raw[[#This Row],[return_loss]]-tbl_raw[[#This Row],[cogs]]*(1+scn_A_cogs_up)-(tbl_raw[[#This Row],[storage_cost]]+tbl_raw[[#This Row],[fulfillment_cost]]+tbl_raw[[#This Row],[freight_cost]])</f>
        <v>363.05799999999954</v>
      </c>
      <c r="G265" s="42">
        <f>tbl_scenarios[[#This Row],[net_profit_A]]/tbl_raw[[#This Row],[gross_revenue]]</f>
        <v>6.6822130604431929E-2</v>
      </c>
      <c r="H265" s="43">
        <f>tbl_scenarios[[#This Row],[net_margin_A]]-tbl_scenarios[[#This Row],[net_margin_pct]]</f>
        <v>-5.6999926378561522E-2</v>
      </c>
      <c r="I265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65" s="2">
        <f>tbl_raw[[#This Row],[gross_revenue]]-tbl_raw[[#This Row],[return_loss]]*(1+scn_B_returns_up/0.05)-tbl_raw[[#This Row],[cogs]]-(tbl_raw[[#This Row],[storage_cost]]+tbl_raw[[#This Row],[fulfillment_cost]]+tbl_raw[[#This Row],[freight_cost]])</f>
        <v>611.55000000000018</v>
      </c>
      <c r="K265" s="42">
        <f>tbl_scenarios[[#This Row],[net_profit_B]]/tbl_raw[[#This Row],[gross_revenue]]</f>
        <v>0.11255797688286832</v>
      </c>
      <c r="L265" s="43">
        <f>tbl_scenarios[[#This Row],[net_margin_B]]-tbl_scenarios[[#This Row],[net_margin_pct]]</f>
        <v>-1.1264080100125126E-2</v>
      </c>
      <c r="M265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65" s="2">
        <f>tbl_raw[[#This Row],[gross_revenue]]*(1-scn_C_price_down)-tbl_raw[[#This Row],[return_loss]]-tbl_raw[[#This Row],[cogs]]-(tbl_raw[[#This Row],[storage_cost]]+tbl_raw[[#This Row],[fulfillment_cost]]+tbl_raw[[#This Row],[freight_cost]])</f>
        <v>401.09000000000015</v>
      </c>
      <c r="O265" s="42">
        <f>tbl_scenarios[[#This Row],[net_profit_C]]/(tbl_raw[[#This Row],[gross_revenue]]*(1-scn_C_price_down))</f>
        <v>7.7707428403151022E-2</v>
      </c>
      <c r="P265" s="43">
        <f>tbl_scenarios[[#This Row],[net_margin_C]]-tbl_scenarios[[#This Row],[net_margin_pct]]</f>
        <v>-4.6114628579842429E-2</v>
      </c>
      <c r="Q265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6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66" spans="1:18" x14ac:dyDescent="0.35">
      <c r="A266" s="17" t="str">
        <f>tbl_raw[[#This Row],[product_id]]</f>
        <v>5cd07c84a1c25575ac2fc3fa73f1d952</v>
      </c>
      <c r="B266" t="str">
        <f>tbl_raw[[#This Row],[category]]</f>
        <v>toys</v>
      </c>
      <c r="C266" s="2">
        <f>tbl_profitability[[#This Row],[net_profit]]</f>
        <v>2894.2700000000004</v>
      </c>
      <c r="D266" s="42">
        <f>tbl_profitability[[#This Row],[net_margin_pct]]</f>
        <v>0.5346788346788347</v>
      </c>
      <c r="E266" s="49" t="str">
        <f>tbl_profitability[[#This Row],[decision]]</f>
        <v>EXIT</v>
      </c>
      <c r="F266" s="2">
        <f>tbl_raw[[#This Row],[gross_revenue]]-tbl_raw[[#This Row],[return_loss]]-tbl_raw[[#This Row],[cogs]]*(1+scn_A_cogs_up)-(tbl_raw[[#This Row],[storage_cost]]+tbl_raw[[#This Row],[fulfillment_cost]]+tbl_raw[[#This Row],[freight_cost]])</f>
        <v>2666.92</v>
      </c>
      <c r="G266" s="42">
        <f>tbl_scenarios[[#This Row],[net_profit_A]]/tbl_raw[[#This Row],[gross_revenue]]</f>
        <v>0.49267887162624002</v>
      </c>
      <c r="H266" s="43">
        <f>tbl_scenarios[[#This Row],[net_margin_A]]-tbl_scenarios[[#This Row],[net_margin_pct]]</f>
        <v>-4.199996305259468E-2</v>
      </c>
      <c r="I266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66" s="2">
        <f>tbl_raw[[#This Row],[gross_revenue]]-tbl_raw[[#This Row],[return_loss]]*(1+scn_B_returns_up/0.05)-tbl_raw[[#This Row],[cogs]]-(tbl_raw[[#This Row],[storage_cost]]+tbl_raw[[#This Row],[fulfillment_cost]]+tbl_raw[[#This Row],[freight_cost]])</f>
        <v>2891.0300000000007</v>
      </c>
      <c r="K266" s="42">
        <f>tbl_scenarios[[#This Row],[net_profit_B]]/tbl_raw[[#This Row],[gross_revenue]]</f>
        <v>0.53408028671186569</v>
      </c>
      <c r="L266" s="43">
        <f>tbl_scenarios[[#This Row],[net_margin_B]]-tbl_scenarios[[#This Row],[net_margin_pct]]</f>
        <v>-5.9854796696900969E-4</v>
      </c>
      <c r="M266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66" s="2">
        <f>tbl_raw[[#This Row],[gross_revenue]]*(1-scn_C_price_down)-tbl_raw[[#This Row],[return_loss]]-tbl_raw[[#This Row],[cogs]]-(tbl_raw[[#This Row],[storage_cost]]+tbl_raw[[#This Row],[fulfillment_cost]]+tbl_raw[[#This Row],[freight_cost]])</f>
        <v>2623.6149999999998</v>
      </c>
      <c r="O266" s="42">
        <f>tbl_scenarios[[#This Row],[net_profit_C]]/(tbl_raw[[#This Row],[gross_revenue]]*(1-scn_C_price_down))</f>
        <v>0.51018824703035226</v>
      </c>
      <c r="P266" s="43">
        <f>tbl_scenarios[[#This Row],[net_margin_C]]-tbl_scenarios[[#This Row],[net_margin_pct]]</f>
        <v>-2.4490587648482443E-2</v>
      </c>
      <c r="Q266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6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67" spans="1:18" x14ac:dyDescent="0.35">
      <c r="A267" s="17" t="str">
        <f>tbl_raw[[#This Row],[product_id]]</f>
        <v>638bbb2a5e4f360b71f332ddfebfd672</v>
      </c>
      <c r="B267" t="str">
        <f>tbl_raw[[#This Row],[category]]</f>
        <v>construction_tools_construction</v>
      </c>
      <c r="C267" s="2">
        <f>tbl_profitability[[#This Row],[net_profit]]</f>
        <v>2541.4000000000005</v>
      </c>
      <c r="D267" s="42">
        <f>tbl_profitability[[#This Row],[net_margin_pct]]</f>
        <v>0.47097850259451457</v>
      </c>
      <c r="E267" s="49" t="str">
        <f>tbl_profitability[[#This Row],[decision]]</f>
        <v>SCALE</v>
      </c>
      <c r="F267" s="2">
        <f>tbl_raw[[#This Row],[gross_revenue]]-tbl_raw[[#This Row],[return_loss]]-tbl_raw[[#This Row],[cogs]]*(1+scn_A_cogs_up)-(tbl_raw[[#This Row],[storage_cost]]+tbl_raw[[#This Row],[fulfillment_cost]]+tbl_raw[[#This Row],[freight_cost]])</f>
        <v>2298.5800000000004</v>
      </c>
      <c r="G267" s="42">
        <f>tbl_scenarios[[#This Row],[net_profit_A]]/tbl_raw[[#This Row],[gross_revenue]]</f>
        <v>0.42597850259451453</v>
      </c>
      <c r="H267" s="43">
        <f>tbl_scenarios[[#This Row],[net_margin_A]]-tbl_scenarios[[#This Row],[net_margin_pct]]</f>
        <v>-4.500000000000004E-2</v>
      </c>
      <c r="I26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67" s="2">
        <f>tbl_raw[[#This Row],[gross_revenue]]-tbl_raw[[#This Row],[return_loss]]*(1+scn_B_returns_up/0.05)-tbl_raw[[#This Row],[cogs]]-(tbl_raw[[#This Row],[storage_cost]]+tbl_raw[[#This Row],[fulfillment_cost]]+tbl_raw[[#This Row],[freight_cost]])</f>
        <v>2539.96</v>
      </c>
      <c r="K267" s="42">
        <f>tbl_scenarios[[#This Row],[net_profit_B]]/tbl_raw[[#This Row],[gross_revenue]]</f>
        <v>0.47071163825055595</v>
      </c>
      <c r="L267" s="43">
        <f>tbl_scenarios[[#This Row],[net_margin_B]]-tbl_scenarios[[#This Row],[net_margin_pct]]</f>
        <v>-2.6686434395861713E-4</v>
      </c>
      <c r="M26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67" s="2">
        <f>tbl_raw[[#This Row],[gross_revenue]]*(1-scn_C_price_down)-tbl_raw[[#This Row],[return_loss]]-tbl_raw[[#This Row],[cogs]]-(tbl_raw[[#This Row],[storage_cost]]+tbl_raw[[#This Row],[fulfillment_cost]]+tbl_raw[[#This Row],[freight_cost]])</f>
        <v>2271.6000000000004</v>
      </c>
      <c r="O267" s="42">
        <f>tbl_scenarios[[#This Row],[net_profit_C]]/(tbl_raw[[#This Row],[gross_revenue]]*(1-scn_C_price_down))</f>
        <v>0.44313526588896268</v>
      </c>
      <c r="P267" s="43">
        <f>tbl_scenarios[[#This Row],[net_margin_C]]-tbl_scenarios[[#This Row],[net_margin_pct]]</f>
        <v>-2.7843236705551888E-2</v>
      </c>
      <c r="Q26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6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68" spans="1:18" x14ac:dyDescent="0.35">
      <c r="A268" s="17" t="str">
        <f>tbl_raw[[#This Row],[product_id]]</f>
        <v>3e5201fe0d1ba474d9b90152c83c706c</v>
      </c>
      <c r="B268" t="str">
        <f>tbl_raw[[#This Row],[category]]</f>
        <v>bed_bath_table</v>
      </c>
      <c r="C268" s="2">
        <f>tbl_profitability[[#This Row],[net_profit]]</f>
        <v>1865.6700000000005</v>
      </c>
      <c r="D268" s="42">
        <f>tbl_profitability[[#This Row],[net_margin_pct]]</f>
        <v>0.3466757098260741</v>
      </c>
      <c r="E268" s="49" t="str">
        <f>tbl_profitability[[#This Row],[decision]]</f>
        <v>OPTIMIZE</v>
      </c>
      <c r="F268" s="2">
        <f>tbl_raw[[#This Row],[gross_revenue]]-tbl_raw[[#This Row],[return_loss]]-tbl_raw[[#This Row],[cogs]]*(1+scn_A_cogs_up)-(tbl_raw[[#This Row],[storage_cost]]+tbl_raw[[#This Row],[fulfillment_cost]]+tbl_raw[[#This Row],[freight_cost]])</f>
        <v>1623.4980000000005</v>
      </c>
      <c r="G268" s="42">
        <f>tbl_scenarios[[#This Row],[net_profit_A]]/tbl_raw[[#This Row],[gross_revenue]]</f>
        <v>0.30167570982607411</v>
      </c>
      <c r="H268" s="43">
        <f>tbl_scenarios[[#This Row],[net_margin_A]]-tbl_scenarios[[#This Row],[net_margin_pct]]</f>
        <v>-4.4999999999999984E-2</v>
      </c>
      <c r="I26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68" s="2">
        <f>tbl_raw[[#This Row],[gross_revenue]]-tbl_raw[[#This Row],[return_loss]]*(1+scn_B_returns_up/0.05)-tbl_raw[[#This Row],[cogs]]-(tbl_raw[[#This Row],[storage_cost]]+tbl_raw[[#This Row],[fulfillment_cost]]+tbl_raw[[#This Row],[freight_cost]])</f>
        <v>1849.8300000000004</v>
      </c>
      <c r="K268" s="42">
        <f>tbl_scenarios[[#This Row],[net_profit_B]]/tbl_raw[[#This Row],[gross_revenue]]</f>
        <v>0.34373234725732127</v>
      </c>
      <c r="L268" s="43">
        <f>tbl_scenarios[[#This Row],[net_margin_B]]-tbl_scenarios[[#This Row],[net_margin_pct]]</f>
        <v>-2.9433625687528275E-3</v>
      </c>
      <c r="M26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68" s="2">
        <f>tbl_raw[[#This Row],[gross_revenue]]*(1-scn_C_price_down)-tbl_raw[[#This Row],[return_loss]]-tbl_raw[[#This Row],[cogs]]-(tbl_raw[[#This Row],[storage_cost]]+tbl_raw[[#This Row],[fulfillment_cost]]+tbl_raw[[#This Row],[freight_cost]])</f>
        <v>1596.5900000000006</v>
      </c>
      <c r="O268" s="42">
        <f>tbl_scenarios[[#This Row],[net_profit_C]]/(tbl_raw[[#This Row],[gross_revenue]]*(1-scn_C_price_down))</f>
        <v>0.31229022086955172</v>
      </c>
      <c r="P268" s="43">
        <f>tbl_scenarios[[#This Row],[net_margin_C]]-tbl_scenarios[[#This Row],[net_margin_pct]]</f>
        <v>-3.4385488956522381E-2</v>
      </c>
      <c r="Q26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6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69" spans="1:18" x14ac:dyDescent="0.35">
      <c r="A269" s="17" t="str">
        <f>tbl_raw[[#This Row],[product_id]]</f>
        <v>1d16c0509e7011656e03c6a582ff6667</v>
      </c>
      <c r="B269" t="str">
        <f>tbl_raw[[#This Row],[category]]</f>
        <v>health_beauty</v>
      </c>
      <c r="C269" s="2">
        <f>tbl_profitability[[#This Row],[net_profit]]</f>
        <v>1896.3399999999995</v>
      </c>
      <c r="D269" s="42">
        <f>tbl_profitability[[#This Row],[net_margin_pct]]</f>
        <v>0.35645488721804502</v>
      </c>
      <c r="E269" s="49" t="str">
        <f>tbl_profitability[[#This Row],[decision]]</f>
        <v>SCALE</v>
      </c>
      <c r="F269" s="2">
        <f>tbl_raw[[#This Row],[gross_revenue]]-tbl_raw[[#This Row],[return_loss]]-tbl_raw[[#This Row],[cogs]]*(1+scn_A_cogs_up)-(tbl_raw[[#This Row],[storage_cost]]+tbl_raw[[#This Row],[fulfillment_cost]]+tbl_raw[[#This Row],[freight_cost]])</f>
        <v>1672.8999999999994</v>
      </c>
      <c r="G269" s="42">
        <f>tbl_scenarios[[#This Row],[net_profit_A]]/tbl_raw[[#This Row],[gross_revenue]]</f>
        <v>0.31445488721804499</v>
      </c>
      <c r="H269" s="43">
        <f>tbl_scenarios[[#This Row],[net_margin_A]]-tbl_scenarios[[#This Row],[net_margin_pct]]</f>
        <v>-4.2000000000000037E-2</v>
      </c>
      <c r="I26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69" s="2">
        <f>tbl_raw[[#This Row],[gross_revenue]]-tbl_raw[[#This Row],[return_loss]]*(1+scn_B_returns_up/0.05)-tbl_raw[[#This Row],[cogs]]-(tbl_raw[[#This Row],[storage_cost]]+tbl_raw[[#This Row],[fulfillment_cost]]+tbl_raw[[#This Row],[freight_cost]])</f>
        <v>1893.82</v>
      </c>
      <c r="K269" s="42">
        <f>tbl_scenarios[[#This Row],[net_profit_B]]/tbl_raw[[#This Row],[gross_revenue]]</f>
        <v>0.35598120300751879</v>
      </c>
      <c r="L269" s="43">
        <f>tbl_scenarios[[#This Row],[net_margin_B]]-tbl_scenarios[[#This Row],[net_margin_pct]]</f>
        <v>-4.7368421052623733E-4</v>
      </c>
      <c r="M26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69" s="2">
        <f>tbl_raw[[#This Row],[gross_revenue]]*(1-scn_C_price_down)-tbl_raw[[#This Row],[return_loss]]-tbl_raw[[#This Row],[cogs]]-(tbl_raw[[#This Row],[storage_cost]]+tbl_raw[[#This Row],[fulfillment_cost]]+tbl_raw[[#This Row],[freight_cost]])</f>
        <v>1630.3399999999995</v>
      </c>
      <c r="O269" s="42">
        <f>tbl_scenarios[[#This Row],[net_profit_C]]/(tbl_raw[[#This Row],[gross_revenue]]*(1-scn_C_price_down))</f>
        <v>0.32258409180846842</v>
      </c>
      <c r="P269" s="43">
        <f>tbl_scenarios[[#This Row],[net_margin_C]]-tbl_scenarios[[#This Row],[net_margin_pct]]</f>
        <v>-3.3870795409576604E-2</v>
      </c>
      <c r="Q26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6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70" spans="1:18" x14ac:dyDescent="0.35">
      <c r="A270" s="17" t="str">
        <f>tbl_raw[[#This Row],[product_id]]</f>
        <v>51ce083cd2b9078656a94655ab45b8a4</v>
      </c>
      <c r="B270" t="str">
        <f>tbl_raw[[#This Row],[category]]</f>
        <v>bed_bath_table</v>
      </c>
      <c r="C270" s="2">
        <f>tbl_profitability[[#This Row],[net_profit]]</f>
        <v>2175.56</v>
      </c>
      <c r="D270" s="42">
        <f>tbl_profitability[[#This Row],[net_margin_pct]]</f>
        <v>0.40913980516793924</v>
      </c>
      <c r="E270" s="49" t="str">
        <f>tbl_profitability[[#This Row],[decision]]</f>
        <v>SCALE</v>
      </c>
      <c r="F270" s="2">
        <f>tbl_raw[[#This Row],[gross_revenue]]-tbl_raw[[#This Row],[return_loss]]-tbl_raw[[#This Row],[cogs]]*(1+scn_A_cogs_up)-(tbl_raw[[#This Row],[storage_cost]]+tbl_raw[[#This Row],[fulfillment_cost]]+tbl_raw[[#This Row],[freight_cost]])</f>
        <v>1936.2769999999996</v>
      </c>
      <c r="G270" s="42">
        <f>tbl_scenarios[[#This Row],[net_profit_A]]/tbl_raw[[#This Row],[gross_revenue]]</f>
        <v>0.36413980516793915</v>
      </c>
      <c r="H270" s="43">
        <f>tbl_scenarios[[#This Row],[net_margin_A]]-tbl_scenarios[[#This Row],[net_margin_pct]]</f>
        <v>-4.5000000000000095E-2</v>
      </c>
      <c r="I27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70" s="2">
        <f>tbl_raw[[#This Row],[gross_revenue]]-tbl_raw[[#This Row],[return_loss]]*(1+scn_B_returns_up/0.05)-tbl_raw[[#This Row],[cogs]]-(tbl_raw[[#This Row],[storage_cost]]+tbl_raw[[#This Row],[fulfillment_cost]]+tbl_raw[[#This Row],[freight_cost]])</f>
        <v>2166.1999999999994</v>
      </c>
      <c r="K270" s="42">
        <f>tbl_scenarios[[#This Row],[net_profit_B]]/tbl_raw[[#This Row],[gross_revenue]]</f>
        <v>0.40737954639485452</v>
      </c>
      <c r="L270" s="43">
        <f>tbl_scenarios[[#This Row],[net_margin_B]]-tbl_scenarios[[#This Row],[net_margin_pct]]</f>
        <v>-1.7602587730847219E-3</v>
      </c>
      <c r="M27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70" s="2">
        <f>tbl_raw[[#This Row],[gross_revenue]]*(1-scn_C_price_down)-tbl_raw[[#This Row],[return_loss]]-tbl_raw[[#This Row],[cogs]]-(tbl_raw[[#This Row],[storage_cost]]+tbl_raw[[#This Row],[fulfillment_cost]]+tbl_raw[[#This Row],[freight_cost]])</f>
        <v>1909.69</v>
      </c>
      <c r="O270" s="42">
        <f>tbl_scenarios[[#This Row],[net_profit_C]]/(tbl_raw[[#This Row],[gross_revenue]]*(1-scn_C_price_down))</f>
        <v>0.37804190017677813</v>
      </c>
      <c r="P270" s="43">
        <f>tbl_scenarios[[#This Row],[net_margin_C]]-tbl_scenarios[[#This Row],[net_margin_pct]]</f>
        <v>-3.1097904991161107E-2</v>
      </c>
      <c r="Q27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7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71" spans="1:18" x14ac:dyDescent="0.35">
      <c r="A271" s="17" t="str">
        <f>tbl_raw[[#This Row],[product_id]]</f>
        <v>9da950e8c8c482441f1b93955b21c827</v>
      </c>
      <c r="B271" t="str">
        <f>tbl_raw[[#This Row],[category]]</f>
        <v>cool_stuff</v>
      </c>
      <c r="C271" s="2">
        <f>tbl_profitability[[#This Row],[net_profit]]</f>
        <v>2221.7899999999995</v>
      </c>
      <c r="D271" s="42">
        <f>tbl_profitability[[#This Row],[net_margin_pct]]</f>
        <v>0.41882160886432435</v>
      </c>
      <c r="E271" s="49" t="str">
        <f>tbl_profitability[[#This Row],[decision]]</f>
        <v>SCALE</v>
      </c>
      <c r="F271" s="2">
        <f>tbl_raw[[#This Row],[gross_revenue]]-tbl_raw[[#This Row],[return_loss]]-tbl_raw[[#This Row],[cogs]]*(1+scn_A_cogs_up)-(tbl_raw[[#This Row],[storage_cost]]+tbl_raw[[#This Row],[fulfillment_cost]]+tbl_raw[[#This Row],[freight_cost]])</f>
        <v>1983.0709999999995</v>
      </c>
      <c r="G271" s="42">
        <f>tbl_scenarios[[#This Row],[net_profit_A]]/tbl_raw[[#This Row],[gross_revenue]]</f>
        <v>0.37382155231240777</v>
      </c>
      <c r="H271" s="43">
        <f>tbl_scenarios[[#This Row],[net_margin_A]]-tbl_scenarios[[#This Row],[net_margin_pct]]</f>
        <v>-4.5000056551916578E-2</v>
      </c>
      <c r="I27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71" s="2">
        <f>tbl_raw[[#This Row],[gross_revenue]]-tbl_raw[[#This Row],[return_loss]]*(1+scn_B_returns_up/0.05)-tbl_raw[[#This Row],[cogs]]-(tbl_raw[[#This Row],[storage_cost]]+tbl_raw[[#This Row],[fulfillment_cost]]+tbl_raw[[#This Row],[freight_cost]])</f>
        <v>2212.7899999999995</v>
      </c>
      <c r="K271" s="42">
        <f>tbl_scenarios[[#This Row],[net_profit_B]]/tbl_raw[[#This Row],[gross_revenue]]</f>
        <v>0.41712505136799077</v>
      </c>
      <c r="L271" s="43">
        <f>tbl_scenarios[[#This Row],[net_margin_B]]-tbl_scenarios[[#This Row],[net_margin_pct]]</f>
        <v>-1.6965574963335728E-3</v>
      </c>
      <c r="M27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71" s="2">
        <f>tbl_raw[[#This Row],[gross_revenue]]*(1-scn_C_price_down)-tbl_raw[[#This Row],[return_loss]]-tbl_raw[[#This Row],[cogs]]-(tbl_raw[[#This Row],[storage_cost]]+tbl_raw[[#This Row],[fulfillment_cost]]+tbl_raw[[#This Row],[freight_cost]])</f>
        <v>1956.5469999999991</v>
      </c>
      <c r="O271" s="42">
        <f>tbl_scenarios[[#This Row],[net_profit_C]]/(tbl_raw[[#This Row],[gross_revenue]]*(1-scn_C_price_down))</f>
        <v>0.38823327248876244</v>
      </c>
      <c r="P271" s="43">
        <f>tbl_scenarios[[#This Row],[net_margin_C]]-tbl_scenarios[[#This Row],[net_margin_pct]]</f>
        <v>-3.0588336375561909E-2</v>
      </c>
      <c r="Q27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7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72" spans="1:18" x14ac:dyDescent="0.35">
      <c r="A272" s="17" t="str">
        <f>tbl_raw[[#This Row],[product_id]]</f>
        <v>a233df9a388d27dbdfd31731d4236db0</v>
      </c>
      <c r="B272" t="str">
        <f>tbl_raw[[#This Row],[category]]</f>
        <v>computers_accessories</v>
      </c>
      <c r="C272" s="2">
        <f>tbl_profitability[[#This Row],[net_profit]]</f>
        <v>2034.8799999999997</v>
      </c>
      <c r="D272" s="42">
        <f>tbl_profitability[[#This Row],[net_margin_pct]]</f>
        <v>0.38394107147574136</v>
      </c>
      <c r="E272" s="49" t="str">
        <f>tbl_profitability[[#This Row],[decision]]</f>
        <v>OPTIMIZE</v>
      </c>
      <c r="F272" s="2">
        <f>tbl_raw[[#This Row],[gross_revenue]]-tbl_raw[[#This Row],[return_loss]]-tbl_raw[[#This Row],[cogs]]*(1+scn_A_cogs_up)-(tbl_raw[[#This Row],[storage_cost]]+tbl_raw[[#This Row],[fulfillment_cost]]+tbl_raw[[#This Row],[freight_cost]])</f>
        <v>1732.7809999999995</v>
      </c>
      <c r="G272" s="42">
        <f>tbl_scenarios[[#This Row],[net_profit_A]]/tbl_raw[[#This Row],[gross_revenue]]</f>
        <v>0.32694104506054733</v>
      </c>
      <c r="H272" s="43">
        <f>tbl_scenarios[[#This Row],[net_margin_A]]-tbl_scenarios[[#This Row],[net_margin_pct]]</f>
        <v>-5.7000026415194027E-2</v>
      </c>
      <c r="I27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72" s="2">
        <f>tbl_raw[[#This Row],[gross_revenue]]-tbl_raw[[#This Row],[return_loss]]*(1+scn_B_returns_up/0.05)-tbl_raw[[#This Row],[cogs]]-(tbl_raw[[#This Row],[storage_cost]]+tbl_raw[[#This Row],[fulfillment_cost]]+tbl_raw[[#This Row],[freight_cost]])</f>
        <v>2033.0799999999995</v>
      </c>
      <c r="K272" s="42">
        <f>tbl_scenarios[[#This Row],[net_profit_B]]/tbl_raw[[#This Row],[gross_revenue]]</f>
        <v>0.3836014475526322</v>
      </c>
      <c r="L272" s="43">
        <f>tbl_scenarios[[#This Row],[net_margin_B]]-tbl_scenarios[[#This Row],[net_margin_pct]]</f>
        <v>-3.3962392310915579E-4</v>
      </c>
      <c r="M27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72" s="2">
        <f>tbl_raw[[#This Row],[gross_revenue]]*(1-scn_C_price_down)-tbl_raw[[#This Row],[return_loss]]-tbl_raw[[#This Row],[cogs]]-(tbl_raw[[#This Row],[storage_cost]]+tbl_raw[[#This Row],[fulfillment_cost]]+tbl_raw[[#This Row],[freight_cost]])</f>
        <v>1769.8809999999999</v>
      </c>
      <c r="O272" s="42">
        <f>tbl_scenarios[[#This Row],[net_profit_C]]/(tbl_raw[[#This Row],[gross_revenue]]*(1-scn_C_price_down))</f>
        <v>0.3515169173428857</v>
      </c>
      <c r="P272" s="43">
        <f>tbl_scenarios[[#This Row],[net_margin_C]]-tbl_scenarios[[#This Row],[net_margin_pct]]</f>
        <v>-3.2424154132855654E-2</v>
      </c>
      <c r="Q27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7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73" spans="1:18" x14ac:dyDescent="0.35">
      <c r="A273" s="17" t="str">
        <f>tbl_raw[[#This Row],[product_id]]</f>
        <v>75d6b6963340c6063f7f4cfcccfe6a30</v>
      </c>
      <c r="B273" t="str">
        <f>tbl_raw[[#This Row],[category]]</f>
        <v>perfumery</v>
      </c>
      <c r="C273" s="2">
        <f>tbl_profitability[[#This Row],[net_profit]]</f>
        <v>1306.5500000000004</v>
      </c>
      <c r="D273" s="42">
        <f>tbl_profitability[[#This Row],[net_margin_pct]]</f>
        <v>0.24707501980873939</v>
      </c>
      <c r="E273" s="49" t="str">
        <f>tbl_profitability[[#This Row],[decision]]</f>
        <v>OPTIMIZE</v>
      </c>
      <c r="F273" s="2">
        <f>tbl_raw[[#This Row],[gross_revenue]]-tbl_raw[[#This Row],[return_loss]]-tbl_raw[[#This Row],[cogs]]*(1+scn_A_cogs_up)-(tbl_raw[[#This Row],[storage_cost]]+tbl_raw[[#This Row],[fulfillment_cost]]+tbl_raw[[#This Row],[freight_cost]])</f>
        <v>1084.4510000000002</v>
      </c>
      <c r="G273" s="42">
        <f>tbl_scenarios[[#This Row],[net_profit_A]]/tbl_raw[[#This Row],[gross_revenue]]</f>
        <v>0.20507500846244478</v>
      </c>
      <c r="H273" s="43">
        <f>tbl_scenarios[[#This Row],[net_margin_A]]-tbl_scenarios[[#This Row],[net_margin_pct]]</f>
        <v>-4.2000011346294608E-2</v>
      </c>
      <c r="I27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73" s="2">
        <f>tbl_raw[[#This Row],[gross_revenue]]-tbl_raw[[#This Row],[return_loss]]*(1+scn_B_returns_up/0.05)-tbl_raw[[#This Row],[cogs]]-(tbl_raw[[#This Row],[storage_cost]]+tbl_raw[[#This Row],[fulfillment_cost]]+tbl_raw[[#This Row],[freight_cost]])</f>
        <v>1273.07</v>
      </c>
      <c r="K273" s="42">
        <f>tbl_scenarios[[#This Row],[net_profit_B]]/tbl_raw[[#This Row],[gross_revenue]]</f>
        <v>0.24074378743095307</v>
      </c>
      <c r="L273" s="43">
        <f>tbl_scenarios[[#This Row],[net_margin_B]]-tbl_scenarios[[#This Row],[net_margin_pct]]</f>
        <v>-6.3312323777863222E-3</v>
      </c>
      <c r="M27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73" s="2">
        <f>tbl_raw[[#This Row],[gross_revenue]]*(1-scn_C_price_down)-tbl_raw[[#This Row],[return_loss]]-tbl_raw[[#This Row],[cogs]]-(tbl_raw[[#This Row],[storage_cost]]+tbl_raw[[#This Row],[fulfillment_cost]]+tbl_raw[[#This Row],[freight_cost]])</f>
        <v>1042.1465000000001</v>
      </c>
      <c r="O273" s="42">
        <f>tbl_scenarios[[#This Row],[net_profit_C]]/(tbl_raw[[#This Row],[gross_revenue]]*(1-scn_C_price_down))</f>
        <v>0.2074473892723572</v>
      </c>
      <c r="P273" s="43">
        <f>tbl_scenarios[[#This Row],[net_margin_C]]-tbl_scenarios[[#This Row],[net_margin_pct]]</f>
        <v>-3.9627630536382186E-2</v>
      </c>
      <c r="Q27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7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74" spans="1:18" x14ac:dyDescent="0.35">
      <c r="A274" s="17" t="str">
        <f>tbl_raw[[#This Row],[product_id]]</f>
        <v>a39cc58c1b5926b6f9f378daa89f1315</v>
      </c>
      <c r="B274" t="str">
        <f>tbl_raw[[#This Row],[category]]</f>
        <v>home_construction</v>
      </c>
      <c r="C274" s="2">
        <f>tbl_profitability[[#This Row],[net_profit]]</f>
        <v>1281.02</v>
      </c>
      <c r="D274" s="42">
        <f>tbl_profitability[[#This Row],[net_margin_pct]]</f>
        <v>0.24354918437963419</v>
      </c>
      <c r="E274" s="49" t="str">
        <f>tbl_profitability[[#This Row],[decision]]</f>
        <v>OPTIMIZE</v>
      </c>
      <c r="F274" s="2">
        <f>tbl_raw[[#This Row],[gross_revenue]]-tbl_raw[[#This Row],[return_loss]]-tbl_raw[[#This Row],[cogs]]*(1+scn_A_cogs_up)-(tbl_raw[[#This Row],[storage_cost]]+tbl_raw[[#This Row],[fulfillment_cost]]+tbl_raw[[#This Row],[freight_cost]])</f>
        <v>1044.3289999999997</v>
      </c>
      <c r="G274" s="42">
        <f>tbl_scenarios[[#This Row],[net_profit_A]]/tbl_raw[[#This Row],[gross_revenue]]</f>
        <v>0.19854918437963415</v>
      </c>
      <c r="H274" s="43">
        <f>tbl_scenarios[[#This Row],[net_margin_A]]-tbl_scenarios[[#This Row],[net_margin_pct]]</f>
        <v>-4.500000000000004E-2</v>
      </c>
      <c r="I27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74" s="2">
        <f>tbl_raw[[#This Row],[gross_revenue]]-tbl_raw[[#This Row],[return_loss]]*(1+scn_B_returns_up/0.05)-tbl_raw[[#This Row],[cogs]]-(tbl_raw[[#This Row],[storage_cost]]+tbl_raw[[#This Row],[fulfillment_cost]]+tbl_raw[[#This Row],[freight_cost]])</f>
        <v>1268.4200000000005</v>
      </c>
      <c r="K274" s="42">
        <f>tbl_scenarios[[#This Row],[net_profit_B]]/tbl_raw[[#This Row],[gross_revenue]]</f>
        <v>0.24115365603254885</v>
      </c>
      <c r="L274" s="43">
        <f>tbl_scenarios[[#This Row],[net_margin_B]]-tbl_scenarios[[#This Row],[net_margin_pct]]</f>
        <v>-2.3955283470853406E-3</v>
      </c>
      <c r="M274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74" s="2">
        <f>tbl_raw[[#This Row],[gross_revenue]]*(1-scn_C_price_down)-tbl_raw[[#This Row],[return_loss]]-tbl_raw[[#This Row],[cogs]]-(tbl_raw[[#This Row],[storage_cost]]+tbl_raw[[#This Row],[fulfillment_cost]]+tbl_raw[[#This Row],[freight_cost]])</f>
        <v>1018.0299999999993</v>
      </c>
      <c r="O274" s="42">
        <f>tbl_scenarios[[#This Row],[net_profit_C]]/(tbl_raw[[#This Row],[gross_revenue]]*(1-scn_C_price_down))</f>
        <v>0.20373598355750958</v>
      </c>
      <c r="P274" s="43">
        <f>tbl_scenarios[[#This Row],[net_margin_C]]-tbl_scenarios[[#This Row],[net_margin_pct]]</f>
        <v>-3.9813200822124611E-2</v>
      </c>
      <c r="Q27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7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75" spans="1:18" x14ac:dyDescent="0.35">
      <c r="A275" s="17" t="str">
        <f>tbl_raw[[#This Row],[product_id]]</f>
        <v>97c948ebc8c04b26b7bbb095d4228f2a</v>
      </c>
      <c r="B275" t="str">
        <f>tbl_raw[[#This Row],[category]]</f>
        <v>health_beauty</v>
      </c>
      <c r="C275" s="2">
        <f>tbl_profitability[[#This Row],[net_profit]]</f>
        <v>1784.87</v>
      </c>
      <c r="D275" s="42">
        <f>tbl_profitability[[#This Row],[net_margin_pct]]</f>
        <v>0.33997523809523805</v>
      </c>
      <c r="E275" s="49" t="str">
        <f>tbl_profitability[[#This Row],[decision]]</f>
        <v>SCALE</v>
      </c>
      <c r="F275" s="2">
        <f>tbl_raw[[#This Row],[gross_revenue]]-tbl_raw[[#This Row],[return_loss]]-tbl_raw[[#This Row],[cogs]]*(1+scn_A_cogs_up)-(tbl_raw[[#This Row],[storage_cost]]+tbl_raw[[#This Row],[fulfillment_cost]]+tbl_raw[[#This Row],[freight_cost]])</f>
        <v>1564.37</v>
      </c>
      <c r="G275" s="42">
        <f>tbl_scenarios[[#This Row],[net_profit_A]]/tbl_raw[[#This Row],[gross_revenue]]</f>
        <v>0.29797523809523807</v>
      </c>
      <c r="H275" s="43">
        <f>tbl_scenarios[[#This Row],[net_margin_A]]-tbl_scenarios[[#This Row],[net_margin_pct]]</f>
        <v>-4.1999999999999982E-2</v>
      </c>
      <c r="I27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75" s="2">
        <f>tbl_raw[[#This Row],[gross_revenue]]-tbl_raw[[#This Row],[return_loss]]*(1+scn_B_returns_up/0.05)-tbl_raw[[#This Row],[cogs]]-(tbl_raw[[#This Row],[storage_cost]]+tbl_raw[[#This Row],[fulfillment_cost]]+tbl_raw[[#This Row],[freight_cost]])</f>
        <v>1783.0699999999997</v>
      </c>
      <c r="K275" s="42">
        <f>tbl_scenarios[[#This Row],[net_profit_B]]/tbl_raw[[#This Row],[gross_revenue]]</f>
        <v>0.33963238095238091</v>
      </c>
      <c r="L275" s="43">
        <f>tbl_scenarios[[#This Row],[net_margin_B]]-tbl_scenarios[[#This Row],[net_margin_pct]]</f>
        <v>-3.4285714285714475E-4</v>
      </c>
      <c r="M27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75" s="2">
        <f>tbl_raw[[#This Row],[gross_revenue]]*(1-scn_C_price_down)-tbl_raw[[#This Row],[return_loss]]-tbl_raw[[#This Row],[cogs]]-(tbl_raw[[#This Row],[storage_cost]]+tbl_raw[[#This Row],[fulfillment_cost]]+tbl_raw[[#This Row],[freight_cost]])</f>
        <v>1522.37</v>
      </c>
      <c r="O275" s="42">
        <f>tbl_scenarios[[#This Row],[net_profit_C]]/(tbl_raw[[#This Row],[gross_revenue]]*(1-scn_C_price_down))</f>
        <v>0.30523709273182953</v>
      </c>
      <c r="P275" s="43">
        <f>tbl_scenarios[[#This Row],[net_margin_C]]-tbl_scenarios[[#This Row],[net_margin_pct]]</f>
        <v>-3.4738145363408524E-2</v>
      </c>
      <c r="Q27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7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76" spans="1:18" x14ac:dyDescent="0.35">
      <c r="A276" s="17" t="str">
        <f>tbl_raw[[#This Row],[product_id]]</f>
        <v>05a9dadb8402b6b7ae3dd28f7da187b5</v>
      </c>
      <c r="B276" t="str">
        <f>tbl_raw[[#This Row],[category]]</f>
        <v>computers_accessories</v>
      </c>
      <c r="C276" s="2">
        <f>tbl_profitability[[#This Row],[net_profit]]</f>
        <v>743.22000000000025</v>
      </c>
      <c r="D276" s="42">
        <f>tbl_profitability[[#This Row],[net_margin_pct]]</f>
        <v>0.14164665523156095</v>
      </c>
      <c r="E276" s="49" t="str">
        <f>tbl_profitability[[#This Row],[decision]]</f>
        <v>OPTIMIZE</v>
      </c>
      <c r="F276" s="2">
        <f>tbl_raw[[#This Row],[gross_revenue]]-tbl_raw[[#This Row],[return_loss]]-tbl_raw[[#This Row],[cogs]]*(1+scn_A_cogs_up)-(tbl_raw[[#This Row],[storage_cost]]+tbl_raw[[#This Row],[fulfillment_cost]]+tbl_raw[[#This Row],[freight_cost]])</f>
        <v>444.14100000000008</v>
      </c>
      <c r="G276" s="42">
        <f>tbl_scenarios[[#This Row],[net_profit_A]]/tbl_raw[[#This Row],[gross_revenue]]</f>
        <v>8.4646655231560911E-2</v>
      </c>
      <c r="H276" s="43">
        <f>tbl_scenarios[[#This Row],[net_margin_A]]-tbl_scenarios[[#This Row],[net_margin_pct]]</f>
        <v>-5.7000000000000037E-2</v>
      </c>
      <c r="I276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76" s="2">
        <f>tbl_raw[[#This Row],[gross_revenue]]-tbl_raw[[#This Row],[return_loss]]*(1+scn_B_returns_up/0.05)-tbl_raw[[#This Row],[cogs]]-(tbl_raw[[#This Row],[storage_cost]]+tbl_raw[[#This Row],[fulfillment_cost]]+tbl_raw[[#This Row],[freight_cost]])</f>
        <v>713.52000000000044</v>
      </c>
      <c r="K276" s="42">
        <f>tbl_scenarios[[#This Row],[net_profit_B]]/tbl_raw[[#This Row],[gross_revenue]]</f>
        <v>0.13598627787307041</v>
      </c>
      <c r="L276" s="43">
        <f>tbl_scenarios[[#This Row],[net_margin_B]]-tbl_scenarios[[#This Row],[net_margin_pct]]</f>
        <v>-5.660377358490537E-3</v>
      </c>
      <c r="M27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76" s="2">
        <f>tbl_raw[[#This Row],[gross_revenue]]*(1-scn_C_price_down)-tbl_raw[[#This Row],[return_loss]]-tbl_raw[[#This Row],[cogs]]-(tbl_raw[[#This Row],[storage_cost]]+tbl_raw[[#This Row],[fulfillment_cost]]+tbl_raw[[#This Row],[freight_cost]])</f>
        <v>480.86999999999989</v>
      </c>
      <c r="O276" s="42">
        <f>tbl_scenarios[[#This Row],[net_profit_C]]/(tbl_raw[[#This Row],[gross_revenue]]*(1-scn_C_price_down))</f>
        <v>9.6470163401643036E-2</v>
      </c>
      <c r="P276" s="43">
        <f>tbl_scenarios[[#This Row],[net_margin_C]]-tbl_scenarios[[#This Row],[net_margin_pct]]</f>
        <v>-4.5176491829917911E-2</v>
      </c>
      <c r="Q276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7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277" spans="1:18" x14ac:dyDescent="0.35">
      <c r="A277" s="17" t="str">
        <f>tbl_raw[[#This Row],[product_id]]</f>
        <v>817e1c2d22418c36386406ccacfa53e8</v>
      </c>
      <c r="B277" t="str">
        <f>tbl_raw[[#This Row],[category]]</f>
        <v>furniture_decor</v>
      </c>
      <c r="C277" s="2">
        <f>tbl_profitability[[#This Row],[net_profit]]</f>
        <v>1431.9399999999996</v>
      </c>
      <c r="D277" s="42">
        <f>tbl_profitability[[#This Row],[net_margin_pct]]</f>
        <v>0.2733753340969835</v>
      </c>
      <c r="E277" s="49" t="str">
        <f>tbl_profitability[[#This Row],[decision]]</f>
        <v>SCALE</v>
      </c>
      <c r="F277" s="2">
        <f>tbl_raw[[#This Row],[gross_revenue]]-tbl_raw[[#This Row],[return_loss]]-tbl_raw[[#This Row],[cogs]]*(1+scn_A_cogs_up)-(tbl_raw[[#This Row],[storage_cost]]+tbl_raw[[#This Row],[fulfillment_cost]]+tbl_raw[[#This Row],[freight_cost]])</f>
        <v>1196.2299999999996</v>
      </c>
      <c r="G277" s="42">
        <f>tbl_scenarios[[#This Row],[net_profit_A]]/tbl_raw[[#This Row],[gross_revenue]]</f>
        <v>0.22837533409698349</v>
      </c>
      <c r="H277" s="43">
        <f>tbl_scenarios[[#This Row],[net_margin_A]]-tbl_scenarios[[#This Row],[net_margin_pct]]</f>
        <v>-4.5000000000000012E-2</v>
      </c>
      <c r="I27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77" s="2">
        <f>tbl_raw[[#This Row],[gross_revenue]]-tbl_raw[[#This Row],[return_loss]]*(1+scn_B_returns_up/0.05)-tbl_raw[[#This Row],[cogs]]-(tbl_raw[[#This Row],[storage_cost]]+tbl_raw[[#This Row],[fulfillment_cost]]+tbl_raw[[#This Row],[freight_cost]])</f>
        <v>1420.42</v>
      </c>
      <c r="K277" s="42">
        <f>tbl_scenarios[[#This Row],[net_profit_B]]/tbl_raw[[#This Row],[gross_revenue]]</f>
        <v>0.27117602138220698</v>
      </c>
      <c r="L277" s="43">
        <f>tbl_scenarios[[#This Row],[net_margin_B]]-tbl_scenarios[[#This Row],[net_margin_pct]]</f>
        <v>-2.1993127147765246E-3</v>
      </c>
      <c r="M27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77" s="2">
        <f>tbl_raw[[#This Row],[gross_revenue]]*(1-scn_C_price_down)-tbl_raw[[#This Row],[return_loss]]-tbl_raw[[#This Row],[cogs]]-(tbl_raw[[#This Row],[storage_cost]]+tbl_raw[[#This Row],[fulfillment_cost]]+tbl_raw[[#This Row],[freight_cost]])</f>
        <v>1170.0399999999991</v>
      </c>
      <c r="O277" s="42">
        <f>tbl_scenarios[[#This Row],[net_profit_C]]/(tbl_raw[[#This Row],[gross_revenue]]*(1-scn_C_price_down))</f>
        <v>0.2351319306284036</v>
      </c>
      <c r="P277" s="43">
        <f>tbl_scenarios[[#This Row],[net_margin_C]]-tbl_scenarios[[#This Row],[net_margin_pct]]</f>
        <v>-3.8243403468579906E-2</v>
      </c>
      <c r="Q27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7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278" spans="1:18" x14ac:dyDescent="0.35">
      <c r="A278" s="17" t="str">
        <f>tbl_raw[[#This Row],[product_id]]</f>
        <v>65841ad29fc48cd40902e03da7511e05</v>
      </c>
      <c r="B278" t="str">
        <f>tbl_raw[[#This Row],[category]]</f>
        <v>cool_stuff</v>
      </c>
      <c r="C278" s="2">
        <f>tbl_profitability[[#This Row],[net_profit]]</f>
        <v>2070.09</v>
      </c>
      <c r="D278" s="42">
        <f>tbl_profitability[[#This Row],[net_margin_pct]]</f>
        <v>0.39710147707653942</v>
      </c>
      <c r="E278" s="49" t="str">
        <f>tbl_profitability[[#This Row],[decision]]</f>
        <v>OPTIMIZE</v>
      </c>
      <c r="F278" s="2">
        <f>tbl_raw[[#This Row],[gross_revenue]]-tbl_raw[[#This Row],[return_loss]]-tbl_raw[[#This Row],[cogs]]*(1+scn_A_cogs_up)-(tbl_raw[[#This Row],[storage_cost]]+tbl_raw[[#This Row],[fulfillment_cost]]+tbl_raw[[#This Row],[freight_cost]])</f>
        <v>1835.5050000000001</v>
      </c>
      <c r="G278" s="42">
        <f>tbl_scenarios[[#This Row],[net_profit_A]]/tbl_raw[[#This Row],[gross_revenue]]</f>
        <v>0.35210147707653944</v>
      </c>
      <c r="H278" s="43">
        <f>tbl_scenarios[[#This Row],[net_margin_A]]-tbl_scenarios[[#This Row],[net_margin_pct]]</f>
        <v>-4.4999999999999984E-2</v>
      </c>
      <c r="I27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78" s="2">
        <f>tbl_raw[[#This Row],[gross_revenue]]-tbl_raw[[#This Row],[return_loss]]*(1+scn_B_returns_up/0.05)-tbl_raw[[#This Row],[cogs]]-(tbl_raw[[#This Row],[storage_cost]]+tbl_raw[[#This Row],[fulfillment_cost]]+tbl_raw[[#This Row],[freight_cost]])</f>
        <v>2067.9300000000003</v>
      </c>
      <c r="K278" s="42">
        <f>tbl_scenarios[[#This Row],[net_profit_B]]/tbl_raw[[#This Row],[gross_revenue]]</f>
        <v>0.39668712833301367</v>
      </c>
      <c r="L278" s="43">
        <f>tbl_scenarios[[#This Row],[net_margin_B]]-tbl_scenarios[[#This Row],[net_margin_pct]]</f>
        <v>-4.143487435257498E-4</v>
      </c>
      <c r="M27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78" s="2">
        <f>tbl_raw[[#This Row],[gross_revenue]]*(1-scn_C_price_down)-tbl_raw[[#This Row],[return_loss]]-tbl_raw[[#This Row],[cogs]]-(tbl_raw[[#This Row],[storage_cost]]+tbl_raw[[#This Row],[fulfillment_cost]]+tbl_raw[[#This Row],[freight_cost]])</f>
        <v>1809.4399999999996</v>
      </c>
      <c r="O278" s="42">
        <f>tbl_scenarios[[#This Row],[net_profit_C]]/(tbl_raw[[#This Row],[gross_revenue]]*(1-scn_C_price_down))</f>
        <v>0.36536997587004144</v>
      </c>
      <c r="P278" s="43">
        <f>tbl_scenarios[[#This Row],[net_margin_C]]-tbl_scenarios[[#This Row],[net_margin_pct]]</f>
        <v>-3.1731501206497981E-2</v>
      </c>
      <c r="Q27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7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79" spans="1:18" x14ac:dyDescent="0.35">
      <c r="A279" s="17" t="str">
        <f>tbl_raw[[#This Row],[product_id]]</f>
        <v>764292b2b0f73f77a0272be03fdd45f3</v>
      </c>
      <c r="B279" t="str">
        <f>tbl_raw[[#This Row],[category]]</f>
        <v>furniture_decor</v>
      </c>
      <c r="C279" s="2">
        <f>tbl_profitability[[#This Row],[net_profit]]</f>
        <v>1144.5699999999997</v>
      </c>
      <c r="D279" s="42">
        <f>tbl_profitability[[#This Row],[net_margin_pct]]</f>
        <v>0.21992775205118836</v>
      </c>
      <c r="E279" s="49" t="str">
        <f>tbl_profitability[[#This Row],[decision]]</f>
        <v>OPTIMIZE</v>
      </c>
      <c r="F279" s="2">
        <f>tbl_raw[[#This Row],[gross_revenue]]-tbl_raw[[#This Row],[return_loss]]-tbl_raw[[#This Row],[cogs]]*(1+scn_A_cogs_up)-(tbl_raw[[#This Row],[storage_cost]]+tbl_raw[[#This Row],[fulfillment_cost]]+tbl_raw[[#This Row],[freight_cost]])</f>
        <v>910.37599999999929</v>
      </c>
      <c r="G279" s="42">
        <f>tbl_scenarios[[#This Row],[net_profit_A]]/tbl_raw[[#This Row],[gross_revenue]]</f>
        <v>0.17492765597678828</v>
      </c>
      <c r="H279" s="43">
        <f>tbl_scenarios[[#This Row],[net_margin_A]]-tbl_scenarios[[#This Row],[net_margin_pct]]</f>
        <v>-4.5000096074400087E-2</v>
      </c>
      <c r="I279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79" s="2">
        <f>tbl_raw[[#This Row],[gross_revenue]]-tbl_raw[[#This Row],[return_loss]]*(1+scn_B_returns_up/0.05)-tbl_raw[[#This Row],[cogs]]-(tbl_raw[[#This Row],[storage_cost]]+tbl_raw[[#This Row],[fulfillment_cost]]+tbl_raw[[#This Row],[freight_cost]])</f>
        <v>1124.0500000000002</v>
      </c>
      <c r="K279" s="42">
        <f>tbl_scenarios[[#This Row],[net_profit_B]]/tbl_raw[[#This Row],[gross_revenue]]</f>
        <v>0.21598485867455761</v>
      </c>
      <c r="L279" s="43">
        <f>tbl_scenarios[[#This Row],[net_margin_B]]-tbl_scenarios[[#This Row],[net_margin_pct]]</f>
        <v>-3.9428933766307572E-3</v>
      </c>
      <c r="M279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79" s="2">
        <f>tbl_raw[[#This Row],[gross_revenue]]*(1-scn_C_price_down)-tbl_raw[[#This Row],[return_loss]]-tbl_raw[[#This Row],[cogs]]-(tbl_raw[[#This Row],[storage_cost]]+tbl_raw[[#This Row],[fulfillment_cost]]+tbl_raw[[#This Row],[freight_cost]])</f>
        <v>884.35499999999956</v>
      </c>
      <c r="O279" s="42">
        <f>tbl_scenarios[[#This Row],[net_profit_C]]/(tbl_raw[[#This Row],[gross_revenue]]*(1-scn_C_price_down))</f>
        <v>0.17887131794861932</v>
      </c>
      <c r="P279" s="43">
        <f>tbl_scenarios[[#This Row],[net_margin_C]]-tbl_scenarios[[#This Row],[net_margin_pct]]</f>
        <v>-4.1056434102569039E-2</v>
      </c>
      <c r="Q279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7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80" spans="1:18" x14ac:dyDescent="0.35">
      <c r="A280" s="17" t="str">
        <f>tbl_raw[[#This Row],[product_id]]</f>
        <v>450c25d98ed6923154a934554475bf13</v>
      </c>
      <c r="B280" t="str">
        <f>tbl_raw[[#This Row],[category]]</f>
        <v>health_beauty</v>
      </c>
      <c r="C280" s="2">
        <f>tbl_profitability[[#This Row],[net_profit]]</f>
        <v>1532.8799999999997</v>
      </c>
      <c r="D280" s="42">
        <f>tbl_profitability[[#This Row],[net_margin_pct]]</f>
        <v>0.2955234239444765</v>
      </c>
      <c r="E280" s="49" t="str">
        <f>tbl_profitability[[#This Row],[decision]]</f>
        <v>SCALE</v>
      </c>
      <c r="F280" s="2">
        <f>tbl_raw[[#This Row],[gross_revenue]]-tbl_raw[[#This Row],[return_loss]]-tbl_raw[[#This Row],[cogs]]*(1+scn_A_cogs_up)-(tbl_raw[[#This Row],[storage_cost]]+tbl_raw[[#This Row],[fulfillment_cost]]+tbl_raw[[#This Row],[freight_cost]])</f>
        <v>1315.0259999999994</v>
      </c>
      <c r="G280" s="42">
        <f>tbl_scenarios[[#This Row],[net_profit_A]]/tbl_raw[[#This Row],[gross_revenue]]</f>
        <v>0.25352342394447647</v>
      </c>
      <c r="H280" s="43">
        <f>tbl_scenarios[[#This Row],[net_margin_A]]-tbl_scenarios[[#This Row],[net_margin_pct]]</f>
        <v>-4.2000000000000037E-2</v>
      </c>
      <c r="I28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80" s="2">
        <f>tbl_raw[[#This Row],[gross_revenue]]-tbl_raw[[#This Row],[return_loss]]*(1+scn_B_returns_up/0.05)-tbl_raw[[#This Row],[cogs]]-(tbl_raw[[#This Row],[storage_cost]]+tbl_raw[[#This Row],[fulfillment_cost]]+tbl_raw[[#This Row],[freight_cost]])</f>
        <v>1528.2000000000003</v>
      </c>
      <c r="K280" s="42">
        <f>tbl_scenarios[[#This Row],[net_profit_B]]/tbl_raw[[#This Row],[gross_revenue]]</f>
        <v>0.29462116830537888</v>
      </c>
      <c r="L280" s="43">
        <f>tbl_scenarios[[#This Row],[net_margin_B]]-tbl_scenarios[[#This Row],[net_margin_pct]]</f>
        <v>-9.0225563909762663E-4</v>
      </c>
      <c r="M28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80" s="2">
        <f>tbl_raw[[#This Row],[gross_revenue]]*(1-scn_C_price_down)-tbl_raw[[#This Row],[return_loss]]-tbl_raw[[#This Row],[cogs]]-(tbl_raw[[#This Row],[storage_cost]]+tbl_raw[[#This Row],[fulfillment_cost]]+tbl_raw[[#This Row],[freight_cost]])</f>
        <v>1273.5299999999993</v>
      </c>
      <c r="O280" s="42">
        <f>tbl_scenarios[[#This Row],[net_profit_C]]/(tbl_raw[[#This Row],[gross_revenue]]*(1-scn_C_price_down))</f>
        <v>0.25844570941523837</v>
      </c>
      <c r="P280" s="43">
        <f>tbl_scenarios[[#This Row],[net_margin_C]]-tbl_scenarios[[#This Row],[net_margin_pct]]</f>
        <v>-3.7077714529238137E-2</v>
      </c>
      <c r="Q28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8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81" spans="1:18" x14ac:dyDescent="0.35">
      <c r="A281" s="17" t="str">
        <f>tbl_raw[[#This Row],[product_id]]</f>
        <v>698b3ddae2f0b80c2a48fb40624ca4e4</v>
      </c>
      <c r="B281" t="str">
        <f>tbl_raw[[#This Row],[category]]</f>
        <v>furniture_decor</v>
      </c>
      <c r="C281" s="2">
        <f>tbl_profitability[[#This Row],[net_profit]]</f>
        <v>1558.4099999999996</v>
      </c>
      <c r="D281" s="42">
        <f>tbl_profitability[[#This Row],[net_margin_pct]]</f>
        <v>0.3006482106684672</v>
      </c>
      <c r="E281" s="49" t="str">
        <f>tbl_profitability[[#This Row],[decision]]</f>
        <v>SCALE</v>
      </c>
      <c r="F281" s="2">
        <f>tbl_raw[[#This Row],[gross_revenue]]-tbl_raw[[#This Row],[return_loss]]-tbl_raw[[#This Row],[cogs]]*(1+scn_A_cogs_up)-(tbl_raw[[#This Row],[storage_cost]]+tbl_raw[[#This Row],[fulfillment_cost]]+tbl_raw[[#This Row],[freight_cost]])</f>
        <v>1325.1519999999994</v>
      </c>
      <c r="G281" s="42">
        <f>tbl_scenarios[[#This Row],[net_profit_A]]/tbl_raw[[#This Row],[gross_revenue]]</f>
        <v>0.25564811420854622</v>
      </c>
      <c r="H281" s="43">
        <f>tbl_scenarios[[#This Row],[net_margin_A]]-tbl_scenarios[[#This Row],[net_margin_pct]]</f>
        <v>-4.500009645992098E-2</v>
      </c>
      <c r="I28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81" s="2">
        <f>tbl_raw[[#This Row],[gross_revenue]]-tbl_raw[[#This Row],[return_loss]]*(1+scn_B_returns_up/0.05)-tbl_raw[[#This Row],[cogs]]-(tbl_raw[[#This Row],[storage_cost]]+tbl_raw[[#This Row],[fulfillment_cost]]+tbl_raw[[#This Row],[freight_cost]])</f>
        <v>1550.8500000000001</v>
      </c>
      <c r="K281" s="42">
        <f>tbl_scenarios[[#This Row],[net_profit_B]]/tbl_raw[[#This Row],[gross_revenue]]</f>
        <v>0.29918973666441595</v>
      </c>
      <c r="L281" s="43">
        <f>tbl_scenarios[[#This Row],[net_margin_B]]-tbl_scenarios[[#This Row],[net_margin_pct]]</f>
        <v>-1.4584740040512467E-3</v>
      </c>
      <c r="M28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81" s="2">
        <f>tbl_raw[[#This Row],[gross_revenue]]*(1-scn_C_price_down)-tbl_raw[[#This Row],[return_loss]]-tbl_raw[[#This Row],[cogs]]-(tbl_raw[[#This Row],[storage_cost]]+tbl_raw[[#This Row],[fulfillment_cost]]+tbl_raw[[#This Row],[freight_cost]])</f>
        <v>1299.2349999999994</v>
      </c>
      <c r="O281" s="42">
        <f>tbl_scenarios[[#This Row],[net_profit_C]]/(tbl_raw[[#This Row],[gross_revenue]]*(1-scn_C_price_down))</f>
        <v>0.26384022175628119</v>
      </c>
      <c r="P281" s="43">
        <f>tbl_scenarios[[#This Row],[net_margin_C]]-tbl_scenarios[[#This Row],[net_margin_pct]]</f>
        <v>-3.6807988912186007E-2</v>
      </c>
      <c r="Q28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8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82" spans="1:18" x14ac:dyDescent="0.35">
      <c r="A282" s="17" t="str">
        <f>tbl_raw[[#This Row],[product_id]]</f>
        <v>10717ff440b2320081989126e858b220</v>
      </c>
      <c r="B282" t="str">
        <f>tbl_raw[[#This Row],[category]]</f>
        <v>bed_bath_table</v>
      </c>
      <c r="C282" s="2">
        <f>tbl_profitability[[#This Row],[net_profit]]</f>
        <v>1924.04</v>
      </c>
      <c r="D282" s="42">
        <f>tbl_profitability[[#This Row],[net_margin_pct]]</f>
        <v>0.37360725450979632</v>
      </c>
      <c r="E282" s="49" t="str">
        <f>tbl_profitability[[#This Row],[decision]]</f>
        <v>SCALE</v>
      </c>
      <c r="F282" s="2">
        <f>tbl_raw[[#This Row],[gross_revenue]]-tbl_raw[[#This Row],[return_loss]]-tbl_raw[[#This Row],[cogs]]*(1+scn_A_cogs_up)-(tbl_raw[[#This Row],[storage_cost]]+tbl_raw[[#This Row],[fulfillment_cost]]+tbl_raw[[#This Row],[freight_cost]])</f>
        <v>1692.2939999999999</v>
      </c>
      <c r="G282" s="42">
        <f>tbl_scenarios[[#This Row],[net_profit_A]]/tbl_raw[[#This Row],[gross_revenue]]</f>
        <v>0.32860715742053243</v>
      </c>
      <c r="H282" s="43">
        <f>tbl_scenarios[[#This Row],[net_margin_A]]-tbl_scenarios[[#This Row],[net_margin_pct]]</f>
        <v>-4.5000097089263891E-2</v>
      </c>
      <c r="I28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82" s="2">
        <f>tbl_raw[[#This Row],[gross_revenue]]-tbl_raw[[#This Row],[return_loss]]*(1+scn_B_returns_up/0.05)-tbl_raw[[#This Row],[cogs]]-(tbl_raw[[#This Row],[storage_cost]]+tbl_raw[[#This Row],[fulfillment_cost]]+tbl_raw[[#This Row],[freight_cost]])</f>
        <v>1910.7199999999993</v>
      </c>
      <c r="K282" s="42">
        <f>tbl_scenarios[[#This Row],[net_profit_B]]/tbl_raw[[#This Row],[gross_revenue]]</f>
        <v>0.37102079652032066</v>
      </c>
      <c r="L282" s="43">
        <f>tbl_scenarios[[#This Row],[net_margin_B]]-tbl_scenarios[[#This Row],[net_margin_pct]]</f>
        <v>-2.5864579894756545E-3</v>
      </c>
      <c r="M28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82" s="2">
        <f>tbl_raw[[#This Row],[gross_revenue]]*(1-scn_C_price_down)-tbl_raw[[#This Row],[return_loss]]-tbl_raw[[#This Row],[cogs]]-(tbl_raw[[#This Row],[storage_cost]]+tbl_raw[[#This Row],[fulfillment_cost]]+tbl_raw[[#This Row],[freight_cost]])</f>
        <v>1666.5450000000001</v>
      </c>
      <c r="O282" s="42">
        <f>tbl_scenarios[[#This Row],[net_profit_C]]/(tbl_raw[[#This Row],[gross_revenue]]*(1-scn_C_price_down))</f>
        <v>0.34063921527346985</v>
      </c>
      <c r="P282" s="43">
        <f>tbl_scenarios[[#This Row],[net_margin_C]]-tbl_scenarios[[#This Row],[net_margin_pct]]</f>
        <v>-3.2968039236326463E-2</v>
      </c>
      <c r="Q28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8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83" spans="1:18" x14ac:dyDescent="0.35">
      <c r="A283" s="17" t="str">
        <f>tbl_raw[[#This Row],[product_id]]</f>
        <v>130482add9fd75ccb6c57ba007694a2d</v>
      </c>
      <c r="B283" t="str">
        <f>tbl_raw[[#This Row],[category]]</f>
        <v>computers_accessories</v>
      </c>
      <c r="C283" s="2">
        <f>tbl_profitability[[#This Row],[net_profit]]</f>
        <v>291.97999999999956</v>
      </c>
      <c r="D283" s="42">
        <f>tbl_profitability[[#This Row],[net_margin_pct]]</f>
        <v>5.6750242954324501E-2</v>
      </c>
      <c r="E283" s="49" t="str">
        <f>tbl_profitability[[#This Row],[decision]]</f>
        <v>EXIT</v>
      </c>
      <c r="F283" s="2">
        <f>tbl_raw[[#This Row],[gross_revenue]]-tbl_raw[[#This Row],[return_loss]]-tbl_raw[[#This Row],[cogs]]*(1+scn_A_cogs_up)-(tbl_raw[[#This Row],[storage_cost]]+tbl_raw[[#This Row],[fulfillment_cost]]+tbl_raw[[#This Row],[freight_cost]])</f>
        <v>-1.285000000000764</v>
      </c>
      <c r="G283" s="42">
        <f>tbl_scenarios[[#This Row],[net_profit_A]]/tbl_raw[[#This Row],[gross_revenue]]</f>
        <v>-2.4975704567556151E-4</v>
      </c>
      <c r="H283" s="43">
        <f>tbl_scenarios[[#This Row],[net_margin_A]]-tbl_scenarios[[#This Row],[net_margin_pct]]</f>
        <v>-5.7000000000000065E-2</v>
      </c>
      <c r="I283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83" s="2">
        <f>tbl_raw[[#This Row],[gross_revenue]]-tbl_raw[[#This Row],[return_loss]]*(1+scn_B_returns_up/0.05)-tbl_raw[[#This Row],[cogs]]-(tbl_raw[[#This Row],[storage_cost]]+tbl_raw[[#This Row],[fulfillment_cost]]+tbl_raw[[#This Row],[freight_cost]])</f>
        <v>247.88000000000011</v>
      </c>
      <c r="K283" s="42">
        <f>tbl_scenarios[[#This Row],[net_profit_B]]/tbl_raw[[#This Row],[gross_revenue]]</f>
        <v>4.8178814382896035E-2</v>
      </c>
      <c r="L283" s="43">
        <f>tbl_scenarios[[#This Row],[net_margin_B]]-tbl_scenarios[[#This Row],[net_margin_pct]]</f>
        <v>-8.571428571428466E-3</v>
      </c>
      <c r="M283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83" s="2">
        <f>tbl_raw[[#This Row],[gross_revenue]]*(1-scn_C_price_down)-tbl_raw[[#This Row],[return_loss]]-tbl_raw[[#This Row],[cogs]]-(tbl_raw[[#This Row],[storage_cost]]+tbl_raw[[#This Row],[fulfillment_cost]]+tbl_raw[[#This Row],[freight_cost]])</f>
        <v>34.729999999999563</v>
      </c>
      <c r="O283" s="42">
        <f>tbl_scenarios[[#This Row],[net_profit_C]]/(tbl_raw[[#This Row],[gross_revenue]]*(1-scn_C_price_down))</f>
        <v>7.1055188992889496E-3</v>
      </c>
      <c r="P283" s="43">
        <f>tbl_scenarios[[#This Row],[net_margin_C]]-tbl_scenarios[[#This Row],[net_margin_pct]]</f>
        <v>-4.9644724055035554E-2</v>
      </c>
      <c r="Q283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8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84" spans="1:18" x14ac:dyDescent="0.35">
      <c r="A284" s="17" t="str">
        <f>tbl_raw[[#This Row],[product_id]]</f>
        <v>55782cb82e0efe052da0a3da237da3b2</v>
      </c>
      <c r="B284" t="str">
        <f>tbl_raw[[#This Row],[category]]</f>
        <v>auto</v>
      </c>
      <c r="C284" s="2">
        <f>tbl_profitability[[#This Row],[net_profit]]</f>
        <v>1818.8600000000006</v>
      </c>
      <c r="D284" s="42">
        <f>tbl_profitability[[#This Row],[net_margin_pct]]</f>
        <v>0.35433948296351142</v>
      </c>
      <c r="E284" s="49" t="str">
        <f>tbl_profitability[[#This Row],[decision]]</f>
        <v>SCALE</v>
      </c>
      <c r="F284" s="2">
        <f>tbl_raw[[#This Row],[gross_revenue]]-tbl_raw[[#This Row],[return_loss]]-tbl_raw[[#This Row],[cogs]]*(1+scn_A_cogs_up)-(tbl_raw[[#This Row],[storage_cost]]+tbl_raw[[#This Row],[fulfillment_cost]]+tbl_raw[[#This Row],[freight_cost]])</f>
        <v>1587.8700000000003</v>
      </c>
      <c r="G284" s="42">
        <f>tbl_scenarios[[#This Row],[net_profit_A]]/tbl_raw[[#This Row],[gross_revenue]]</f>
        <v>0.30933938555648638</v>
      </c>
      <c r="H284" s="43">
        <f>tbl_scenarios[[#This Row],[net_margin_A]]-tbl_scenarios[[#This Row],[net_margin_pct]]</f>
        <v>-4.5000097407025041E-2</v>
      </c>
      <c r="I28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84" s="2">
        <f>tbl_raw[[#This Row],[gross_revenue]]-tbl_raw[[#This Row],[return_loss]]*(1+scn_B_returns_up/0.05)-tbl_raw[[#This Row],[cogs]]-(tbl_raw[[#This Row],[storage_cost]]+tbl_raw[[#This Row],[fulfillment_cost]]+tbl_raw[[#This Row],[freight_cost]])</f>
        <v>1808.42</v>
      </c>
      <c r="K284" s="42">
        <f>tbl_scenarios[[#This Row],[net_profit_B]]/tbl_raw[[#This Row],[gross_revenue]]</f>
        <v>0.35230562428162315</v>
      </c>
      <c r="L284" s="43">
        <f>tbl_scenarios[[#This Row],[net_margin_B]]-tbl_scenarios[[#This Row],[net_margin_pct]]</f>
        <v>-2.0338586818882676E-3</v>
      </c>
      <c r="M28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84" s="2">
        <f>tbl_raw[[#This Row],[gross_revenue]]*(1-scn_C_price_down)-tbl_raw[[#This Row],[return_loss]]-tbl_raw[[#This Row],[cogs]]-(tbl_raw[[#This Row],[storage_cost]]+tbl_raw[[#This Row],[fulfillment_cost]]+tbl_raw[[#This Row],[freight_cost]])</f>
        <v>1562.2049999999999</v>
      </c>
      <c r="O284" s="42">
        <f>tbl_scenarios[[#This Row],[net_profit_C]]/(tbl_raw[[#This Row],[gross_revenue]]*(1-scn_C_price_down))</f>
        <v>0.32035735048790664</v>
      </c>
      <c r="P284" s="43">
        <f>tbl_scenarios[[#This Row],[net_margin_C]]-tbl_scenarios[[#This Row],[net_margin_pct]]</f>
        <v>-3.3982132475604776E-2</v>
      </c>
      <c r="Q28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8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85" spans="1:18" x14ac:dyDescent="0.35">
      <c r="A285" s="17" t="str">
        <f>tbl_raw[[#This Row],[product_id]]</f>
        <v>b38b25d838ae0b8385e8cc68b9017644</v>
      </c>
      <c r="B285" t="str">
        <f>tbl_raw[[#This Row],[category]]</f>
        <v>health_beauty</v>
      </c>
      <c r="C285" s="2">
        <f>tbl_profitability[[#This Row],[net_profit]]</f>
        <v>2295.4199999999996</v>
      </c>
      <c r="D285" s="42">
        <f>tbl_profitability[[#This Row],[net_margin_pct]]</f>
        <v>0.44753753168258914</v>
      </c>
      <c r="E285" s="49" t="str">
        <f>tbl_profitability[[#This Row],[decision]]</f>
        <v>SCALE</v>
      </c>
      <c r="F285" s="2">
        <f>tbl_raw[[#This Row],[gross_revenue]]-tbl_raw[[#This Row],[return_loss]]-tbl_raw[[#This Row],[cogs]]*(1+scn_A_cogs_up)-(tbl_raw[[#This Row],[storage_cost]]+tbl_raw[[#This Row],[fulfillment_cost]]+tbl_raw[[#This Row],[freight_cost]])</f>
        <v>2080.0019999999995</v>
      </c>
      <c r="G285" s="42">
        <f>tbl_scenarios[[#This Row],[net_profit_A]]/tbl_raw[[#This Row],[gross_revenue]]</f>
        <v>0.4055375316825891</v>
      </c>
      <c r="H285" s="43">
        <f>tbl_scenarios[[#This Row],[net_margin_A]]-tbl_scenarios[[#This Row],[net_margin_pct]]</f>
        <v>-4.2000000000000037E-2</v>
      </c>
      <c r="I28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85" s="2">
        <f>tbl_raw[[#This Row],[gross_revenue]]-tbl_raw[[#This Row],[return_loss]]*(1+scn_B_returns_up/0.05)-tbl_raw[[#This Row],[cogs]]-(tbl_raw[[#This Row],[storage_cost]]+tbl_raw[[#This Row],[fulfillment_cost]]+tbl_raw[[#This Row],[freight_cost]])</f>
        <v>2283.9</v>
      </c>
      <c r="K285" s="42">
        <f>tbl_scenarios[[#This Row],[net_profit_B]]/tbl_raw[[#This Row],[gross_revenue]]</f>
        <v>0.44529147982062783</v>
      </c>
      <c r="L285" s="43">
        <f>tbl_scenarios[[#This Row],[net_margin_B]]-tbl_scenarios[[#This Row],[net_margin_pct]]</f>
        <v>-2.2460518619613068E-3</v>
      </c>
      <c r="M28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85" s="2">
        <f>tbl_raw[[#This Row],[gross_revenue]]*(1-scn_C_price_down)-tbl_raw[[#This Row],[return_loss]]-tbl_raw[[#This Row],[cogs]]-(tbl_raw[[#This Row],[storage_cost]]+tbl_raw[[#This Row],[fulfillment_cost]]+tbl_raw[[#This Row],[freight_cost]])</f>
        <v>2038.9699999999998</v>
      </c>
      <c r="O285" s="42">
        <f>tbl_scenarios[[#This Row],[net_profit_C]]/(tbl_raw[[#This Row],[gross_revenue]]*(1-scn_C_price_down))</f>
        <v>0.4184605596658833</v>
      </c>
      <c r="P285" s="43">
        <f>tbl_scenarios[[#This Row],[net_margin_C]]-tbl_scenarios[[#This Row],[net_margin_pct]]</f>
        <v>-2.9076972016705838E-2</v>
      </c>
      <c r="Q28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8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86" spans="1:18" x14ac:dyDescent="0.35">
      <c r="A286" s="17" t="str">
        <f>tbl_raw[[#This Row],[product_id]]</f>
        <v>63085bb4366ded27bcb63cbb59b4103a</v>
      </c>
      <c r="B286" t="str">
        <f>tbl_raw[[#This Row],[category]]</f>
        <v>baby</v>
      </c>
      <c r="C286" s="2">
        <f>tbl_profitability[[#This Row],[net_profit]]</f>
        <v>2524.9199999999996</v>
      </c>
      <c r="D286" s="42">
        <f>tbl_profitability[[#This Row],[net_margin_pct]]</f>
        <v>0.4935436580073887</v>
      </c>
      <c r="E286" s="49" t="str">
        <f>tbl_profitability[[#This Row],[decision]]</f>
        <v>EXIT</v>
      </c>
      <c r="F286" s="2">
        <f>tbl_raw[[#This Row],[gross_revenue]]-tbl_raw[[#This Row],[return_loss]]-tbl_raw[[#This Row],[cogs]]*(1+scn_A_cogs_up)-(tbl_raw[[#This Row],[storage_cost]]+tbl_raw[[#This Row],[fulfillment_cost]]+tbl_raw[[#This Row],[freight_cost]])</f>
        <v>2310.0519999999992</v>
      </c>
      <c r="G286" s="42">
        <f>tbl_scenarios[[#This Row],[net_profit_A]]/tbl_raw[[#This Row],[gross_revenue]]</f>
        <v>0.45154361891358302</v>
      </c>
      <c r="H286" s="43">
        <f>tbl_scenarios[[#This Row],[net_margin_A]]-tbl_scenarios[[#This Row],[net_margin_pct]]</f>
        <v>-4.2000039093805674E-2</v>
      </c>
      <c r="I286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86" s="2">
        <f>tbl_raw[[#This Row],[gross_revenue]]-tbl_raw[[#This Row],[return_loss]]*(1+scn_B_returns_up/0.05)-tbl_raw[[#This Row],[cogs]]-(tbl_raw[[#This Row],[storage_cost]]+tbl_raw[[#This Row],[fulfillment_cost]]+tbl_raw[[#This Row],[freight_cost]])</f>
        <v>2520.2400000000002</v>
      </c>
      <c r="K286" s="42">
        <f>tbl_scenarios[[#This Row],[net_profit_B]]/tbl_raw[[#This Row],[gross_revenue]]</f>
        <v>0.49262886295666458</v>
      </c>
      <c r="L286" s="43">
        <f>tbl_scenarios[[#This Row],[net_margin_B]]-tbl_scenarios[[#This Row],[net_margin_pct]]</f>
        <v>-9.1479505072411538E-4</v>
      </c>
      <c r="M286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86" s="2">
        <f>tbl_raw[[#This Row],[gross_revenue]]*(1-scn_C_price_down)-tbl_raw[[#This Row],[return_loss]]-tbl_raw[[#This Row],[cogs]]-(tbl_raw[[#This Row],[storage_cost]]+tbl_raw[[#This Row],[fulfillment_cost]]+tbl_raw[[#This Row],[freight_cost]])</f>
        <v>2269.1249999999995</v>
      </c>
      <c r="O286" s="42">
        <f>tbl_scenarios[[#This Row],[net_profit_C]]/(tbl_raw[[#This Row],[gross_revenue]]*(1-scn_C_price_down))</f>
        <v>0.46688806106040914</v>
      </c>
      <c r="P286" s="43">
        <f>tbl_scenarios[[#This Row],[net_margin_C]]-tbl_scenarios[[#This Row],[net_margin_pct]]</f>
        <v>-2.6655596946979554E-2</v>
      </c>
      <c r="Q286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8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87" spans="1:18" x14ac:dyDescent="0.35">
      <c r="A287" s="17" t="str">
        <f>tbl_raw[[#This Row],[product_id]]</f>
        <v>fb8c11da2e1b1634e879d1c3c6762dc2</v>
      </c>
      <c r="B287" t="str">
        <f>tbl_raw[[#This Row],[category]]</f>
        <v>computers</v>
      </c>
      <c r="C287" s="2">
        <f>tbl_profitability[[#This Row],[net_profit]]</f>
        <v>1928.2000000000003</v>
      </c>
      <c r="D287" s="42">
        <f>tbl_profitability[[#This Row],[net_margin_pct]]</f>
        <v>0.3780784313725491</v>
      </c>
      <c r="E287" s="49" t="str">
        <f>tbl_profitability[[#This Row],[decision]]</f>
        <v>SCALE</v>
      </c>
      <c r="F287" s="2">
        <f>tbl_raw[[#This Row],[gross_revenue]]-tbl_raw[[#This Row],[return_loss]]-tbl_raw[[#This Row],[cogs]]*(1+scn_A_cogs_up)-(tbl_raw[[#This Row],[storage_cost]]+tbl_raw[[#This Row],[fulfillment_cost]]+tbl_raw[[#This Row],[freight_cost]])</f>
        <v>1637.5</v>
      </c>
      <c r="G287" s="42">
        <f>tbl_scenarios[[#This Row],[net_profit_A]]/tbl_raw[[#This Row],[gross_revenue]]</f>
        <v>0.32107843137254904</v>
      </c>
      <c r="H287" s="43">
        <f>tbl_scenarios[[#This Row],[net_margin_A]]-tbl_scenarios[[#This Row],[net_margin_pct]]</f>
        <v>-5.7000000000000051E-2</v>
      </c>
      <c r="I28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87" s="2">
        <f>tbl_raw[[#This Row],[gross_revenue]]-tbl_raw[[#This Row],[return_loss]]*(1+scn_B_returns_up/0.05)-tbl_raw[[#This Row],[cogs]]-(tbl_raw[[#This Row],[storage_cost]]+tbl_raw[[#This Row],[fulfillment_cost]]+tbl_raw[[#This Row],[freight_cost]])</f>
        <v>1922.7999999999997</v>
      </c>
      <c r="K287" s="42">
        <f>tbl_scenarios[[#This Row],[net_profit_B]]/tbl_raw[[#This Row],[gross_revenue]]</f>
        <v>0.37701960784313721</v>
      </c>
      <c r="L287" s="43">
        <f>tbl_scenarios[[#This Row],[net_margin_B]]-tbl_scenarios[[#This Row],[net_margin_pct]]</f>
        <v>-1.0588235294118897E-3</v>
      </c>
      <c r="M28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87" s="2">
        <f>tbl_raw[[#This Row],[gross_revenue]]*(1-scn_C_price_down)-tbl_raw[[#This Row],[return_loss]]-tbl_raw[[#This Row],[cogs]]-(tbl_raw[[#This Row],[storage_cost]]+tbl_raw[[#This Row],[fulfillment_cost]]+tbl_raw[[#This Row],[freight_cost]])</f>
        <v>1673.2000000000003</v>
      </c>
      <c r="O287" s="42">
        <f>tbl_scenarios[[#This Row],[net_profit_C]]/(tbl_raw[[#This Row],[gross_revenue]]*(1-scn_C_price_down))</f>
        <v>0.34534571723426216</v>
      </c>
      <c r="P287" s="43">
        <f>tbl_scenarios[[#This Row],[net_margin_C]]-tbl_scenarios[[#This Row],[net_margin_pct]]</f>
        <v>-3.2732714138286934E-2</v>
      </c>
      <c r="Q28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8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88" spans="1:18" x14ac:dyDescent="0.35">
      <c r="A288" s="17" t="str">
        <f>tbl_raw[[#This Row],[product_id]]</f>
        <v>6dde44b4172999f35f08654d06bad633</v>
      </c>
      <c r="B288" t="str">
        <f>tbl_raw[[#This Row],[category]]</f>
        <v>office_furniture</v>
      </c>
      <c r="C288" s="2">
        <f>tbl_profitability[[#This Row],[net_profit]]</f>
        <v>1178.93</v>
      </c>
      <c r="D288" s="42">
        <f>tbl_profitability[[#This Row],[net_margin_pct]]</f>
        <v>0.23118314361071074</v>
      </c>
      <c r="E288" s="49" t="str">
        <f>tbl_profitability[[#This Row],[decision]]</f>
        <v>OPTIMIZE</v>
      </c>
      <c r="F288" s="2">
        <f>tbl_raw[[#This Row],[gross_revenue]]-tbl_raw[[#This Row],[return_loss]]-tbl_raw[[#This Row],[cogs]]*(1+scn_A_cogs_up)-(tbl_raw[[#This Row],[storage_cost]]+tbl_raw[[#This Row],[fulfillment_cost]]+tbl_raw[[#This Row],[freight_cost]])</f>
        <v>949.45</v>
      </c>
      <c r="G288" s="42">
        <f>tbl_scenarios[[#This Row],[net_profit_A]]/tbl_raw[[#This Row],[gross_revenue]]</f>
        <v>0.18618309458677726</v>
      </c>
      <c r="H288" s="43">
        <f>tbl_scenarios[[#This Row],[net_margin_A]]-tbl_scenarios[[#This Row],[net_margin_pct]]</f>
        <v>-4.500004902393348E-2</v>
      </c>
      <c r="I28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88" s="2">
        <f>tbl_raw[[#This Row],[gross_revenue]]-tbl_raw[[#This Row],[return_loss]]*(1+scn_B_returns_up/0.05)-tbl_raw[[#This Row],[cogs]]-(tbl_raw[[#This Row],[storage_cost]]+tbl_raw[[#This Row],[fulfillment_cost]]+tbl_raw[[#This Row],[freight_cost]])</f>
        <v>1169.93</v>
      </c>
      <c r="K288" s="42">
        <f>tbl_scenarios[[#This Row],[net_profit_B]]/tbl_raw[[#This Row],[gross_revenue]]</f>
        <v>0.22941828200527498</v>
      </c>
      <c r="L288" s="43">
        <f>tbl_scenarios[[#This Row],[net_margin_B]]-tbl_scenarios[[#This Row],[net_margin_pct]]</f>
        <v>-1.7648616054357635E-3</v>
      </c>
      <c r="M28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88" s="2">
        <f>tbl_raw[[#This Row],[gross_revenue]]*(1-scn_C_price_down)-tbl_raw[[#This Row],[return_loss]]-tbl_raw[[#This Row],[cogs]]-(tbl_raw[[#This Row],[storage_cost]]+tbl_raw[[#This Row],[fulfillment_cost]]+tbl_raw[[#This Row],[freight_cost]])</f>
        <v>923.9525000000001</v>
      </c>
      <c r="O288" s="42">
        <f>tbl_scenarios[[#This Row],[net_profit_C]]/(tbl_raw[[#This Row],[gross_revenue]]*(1-scn_C_price_down))</f>
        <v>0.19071909853759028</v>
      </c>
      <c r="P288" s="43">
        <f>tbl_scenarios[[#This Row],[net_margin_C]]-tbl_scenarios[[#This Row],[net_margin_pct]]</f>
        <v>-4.0464045073120458E-2</v>
      </c>
      <c r="Q28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8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89" spans="1:18" x14ac:dyDescent="0.35">
      <c r="A289" s="17" t="str">
        <f>tbl_raw[[#This Row],[product_id]]</f>
        <v>1491a8ff192d4b5c369b0eaa2fe33ee5</v>
      </c>
      <c r="B289" t="str">
        <f>tbl_raw[[#This Row],[category]]</f>
        <v>bed_bath_table</v>
      </c>
      <c r="C289" s="2">
        <f>tbl_profitability[[#This Row],[net_profit]]</f>
        <v>2000.2599999999993</v>
      </c>
      <c r="D289" s="42">
        <f>tbl_profitability[[#This Row],[net_margin_pct]]</f>
        <v>0.39300232430658832</v>
      </c>
      <c r="E289" s="49" t="str">
        <f>tbl_profitability[[#This Row],[decision]]</f>
        <v>SCALE</v>
      </c>
      <c r="F289" s="2">
        <f>tbl_raw[[#This Row],[gross_revenue]]-tbl_raw[[#This Row],[return_loss]]-tbl_raw[[#This Row],[cogs]]*(1+scn_A_cogs_up)-(tbl_raw[[#This Row],[storage_cost]]+tbl_raw[[#This Row],[fulfillment_cost]]+tbl_raw[[#This Row],[freight_cost]])</f>
        <v>1771.2239999999993</v>
      </c>
      <c r="G289" s="42">
        <f>tbl_scenarios[[#This Row],[net_profit_A]]/tbl_raw[[#This Row],[gross_revenue]]</f>
        <v>0.3480023341303693</v>
      </c>
      <c r="H289" s="43">
        <f>tbl_scenarios[[#This Row],[net_margin_A]]-tbl_scenarios[[#This Row],[net_margin_pct]]</f>
        <v>-4.4999990176219029E-2</v>
      </c>
      <c r="I28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89" s="2">
        <f>tbl_raw[[#This Row],[gross_revenue]]-tbl_raw[[#This Row],[return_loss]]*(1+scn_B_returns_up/0.05)-tbl_raw[[#This Row],[cogs]]-(tbl_raw[[#This Row],[storage_cost]]+tbl_raw[[#This Row],[fulfillment_cost]]+tbl_raw[[#This Row],[freight_cost]])</f>
        <v>1991.2599999999993</v>
      </c>
      <c r="K289" s="42">
        <f>tbl_scenarios[[#This Row],[net_profit_B]]/tbl_raw[[#This Row],[gross_revenue]]</f>
        <v>0.39123404372368442</v>
      </c>
      <c r="L289" s="43">
        <f>tbl_scenarios[[#This Row],[net_margin_B]]-tbl_scenarios[[#This Row],[net_margin_pct]]</f>
        <v>-1.7682805829039028E-3</v>
      </c>
      <c r="M28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89" s="2">
        <f>tbl_raw[[#This Row],[gross_revenue]]*(1-scn_C_price_down)-tbl_raw[[#This Row],[return_loss]]-tbl_raw[[#This Row],[cogs]]-(tbl_raw[[#This Row],[storage_cost]]+tbl_raw[[#This Row],[fulfillment_cost]]+tbl_raw[[#This Row],[freight_cost]])</f>
        <v>1745.7754999999988</v>
      </c>
      <c r="O289" s="42">
        <f>tbl_scenarios[[#This Row],[net_profit_C]]/(tbl_raw[[#This Row],[gross_revenue]]*(1-scn_C_price_down))</f>
        <v>0.3610550782174613</v>
      </c>
      <c r="P289" s="43">
        <f>tbl_scenarios[[#This Row],[net_margin_C]]-tbl_scenarios[[#This Row],[net_margin_pct]]</f>
        <v>-3.1947246089127024E-2</v>
      </c>
      <c r="Q28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8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90" spans="1:18" x14ac:dyDescent="0.35">
      <c r="A290" s="17" t="str">
        <f>tbl_raw[[#This Row],[product_id]]</f>
        <v>c92f0e7b9d49a9543558d6532772441b</v>
      </c>
      <c r="B290" t="str">
        <f>tbl_raw[[#This Row],[category]]</f>
        <v>luggage_accessories</v>
      </c>
      <c r="C290" s="2">
        <f>tbl_profitability[[#This Row],[net_profit]]</f>
        <v>1078.0400000000002</v>
      </c>
      <c r="D290" s="42">
        <f>tbl_profitability[[#This Row],[net_margin_pct]]</f>
        <v>0.21202061125752275</v>
      </c>
      <c r="E290" s="49" t="str">
        <f>tbl_profitability[[#This Row],[decision]]</f>
        <v>OPTIMIZE</v>
      </c>
      <c r="F290" s="2">
        <f>tbl_raw[[#This Row],[gross_revenue]]-tbl_raw[[#This Row],[return_loss]]-tbl_raw[[#This Row],[cogs]]*(1+scn_A_cogs_up)-(tbl_raw[[#This Row],[storage_cost]]+tbl_raw[[#This Row],[fulfillment_cost]]+tbl_raw[[#This Row],[freight_cost]])</f>
        <v>864.48699999999985</v>
      </c>
      <c r="G290" s="42">
        <f>tbl_scenarios[[#This Row],[net_profit_A]]/tbl_raw[[#This Row],[gross_revenue]]</f>
        <v>0.1700206505919836</v>
      </c>
      <c r="H290" s="43">
        <f>tbl_scenarios[[#This Row],[net_margin_A]]-tbl_scenarios[[#This Row],[net_margin_pct]]</f>
        <v>-4.1999960665539154E-2</v>
      </c>
      <c r="I29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90" s="2">
        <f>tbl_raw[[#This Row],[gross_revenue]]-tbl_raw[[#This Row],[return_loss]]*(1+scn_B_returns_up/0.05)-tbl_raw[[#This Row],[cogs]]-(tbl_raw[[#This Row],[storage_cost]]+tbl_raw[[#This Row],[fulfillment_cost]]+tbl_raw[[#This Row],[freight_cost]])</f>
        <v>1065.0800000000002</v>
      </c>
      <c r="K290" s="42">
        <f>tbl_scenarios[[#This Row],[net_profit_B]]/tbl_raw[[#This Row],[gross_revenue]]</f>
        <v>0.20947173818982812</v>
      </c>
      <c r="L290" s="43">
        <f>tbl_scenarios[[#This Row],[net_margin_B]]-tbl_scenarios[[#This Row],[net_margin_pct]]</f>
        <v>-2.5488730676946347E-3</v>
      </c>
      <c r="M290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90" s="2">
        <f>tbl_raw[[#This Row],[gross_revenue]]*(1-scn_C_price_down)-tbl_raw[[#This Row],[return_loss]]-tbl_raw[[#This Row],[cogs]]-(tbl_raw[[#This Row],[storage_cost]]+tbl_raw[[#This Row],[fulfillment_cost]]+tbl_raw[[#This Row],[freight_cost]])</f>
        <v>823.80999999999972</v>
      </c>
      <c r="O290" s="42">
        <f>tbl_scenarios[[#This Row],[net_profit_C]]/(tbl_raw[[#This Row],[gross_revenue]]*(1-scn_C_price_down))</f>
        <v>0.17054801185002386</v>
      </c>
      <c r="P290" s="43">
        <f>tbl_scenarios[[#This Row],[net_margin_C]]-tbl_scenarios[[#This Row],[net_margin_pct]]</f>
        <v>-4.1472599407498895E-2</v>
      </c>
      <c r="Q290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9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91" spans="1:18" x14ac:dyDescent="0.35">
      <c r="A291" s="17" t="str">
        <f>tbl_raw[[#This Row],[product_id]]</f>
        <v>bc74f63361c15c1a5baa5b97ac432e62</v>
      </c>
      <c r="B291" t="str">
        <f>tbl_raw[[#This Row],[category]]</f>
        <v>health_beauty</v>
      </c>
      <c r="C291" s="2">
        <f>tbl_profitability[[#This Row],[net_profit]]</f>
        <v>2448.7700000000009</v>
      </c>
      <c r="D291" s="42">
        <f>tbl_profitability[[#This Row],[net_margin_pct]]</f>
        <v>0.48326090646079295</v>
      </c>
      <c r="E291" s="49" t="str">
        <f>tbl_profitability[[#This Row],[decision]]</f>
        <v>OPTIMIZE</v>
      </c>
      <c r="F291" s="2">
        <f>tbl_raw[[#This Row],[gross_revenue]]-tbl_raw[[#This Row],[return_loss]]-tbl_raw[[#This Row],[cogs]]*(1+scn_A_cogs_up)-(tbl_raw[[#This Row],[storage_cost]]+tbl_raw[[#This Row],[fulfillment_cost]]+tbl_raw[[#This Row],[freight_cost]])</f>
        <v>2235.9480000000008</v>
      </c>
      <c r="G291" s="42">
        <f>tbl_scenarios[[#This Row],[net_profit_A]]/tbl_raw[[#This Row],[gross_revenue]]</f>
        <v>0.44126081962748526</v>
      </c>
      <c r="H291" s="43">
        <f>tbl_scenarios[[#This Row],[net_margin_A]]-tbl_scenarios[[#This Row],[net_margin_pct]]</f>
        <v>-4.2000086833307693E-2</v>
      </c>
      <c r="I29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91" s="2">
        <f>tbl_raw[[#This Row],[gross_revenue]]-tbl_raw[[#This Row],[return_loss]]*(1+scn_B_returns_up/0.05)-tbl_raw[[#This Row],[cogs]]-(tbl_raw[[#This Row],[storage_cost]]+tbl_raw[[#This Row],[fulfillment_cost]]+tbl_raw[[#This Row],[freight_cost]])</f>
        <v>2440.4900000000002</v>
      </c>
      <c r="K291" s="42">
        <f>tbl_scenarios[[#This Row],[net_profit_B]]/tbl_raw[[#This Row],[gross_revenue]]</f>
        <v>0.48162686148903339</v>
      </c>
      <c r="L291" s="43">
        <f>tbl_scenarios[[#This Row],[net_margin_B]]-tbl_scenarios[[#This Row],[net_margin_pct]]</f>
        <v>-1.6340449717595629E-3</v>
      </c>
      <c r="M29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91" s="2">
        <f>tbl_raw[[#This Row],[gross_revenue]]*(1-scn_C_price_down)-tbl_raw[[#This Row],[return_loss]]-tbl_raw[[#This Row],[cogs]]-(tbl_raw[[#This Row],[storage_cost]]+tbl_raw[[#This Row],[fulfillment_cost]]+tbl_raw[[#This Row],[freight_cost]])</f>
        <v>2195.4110000000005</v>
      </c>
      <c r="O291" s="42">
        <f>tbl_scenarios[[#This Row],[net_profit_C]]/(tbl_raw[[#This Row],[gross_revenue]]*(1-scn_C_price_down))</f>
        <v>0.4560641120639925</v>
      </c>
      <c r="P291" s="43">
        <f>tbl_scenarios[[#This Row],[net_margin_C]]-tbl_scenarios[[#This Row],[net_margin_pct]]</f>
        <v>-2.719679439680045E-2</v>
      </c>
      <c r="Q29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9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92" spans="1:18" x14ac:dyDescent="0.35">
      <c r="A292" s="17" t="str">
        <f>tbl_raw[[#This Row],[product_id]]</f>
        <v>6c34d241bbd85d693f1fee6a4b8a8e2b</v>
      </c>
      <c r="B292" t="str">
        <f>tbl_raw[[#This Row],[category]]</f>
        <v>small_appliances</v>
      </c>
      <c r="C292" s="2">
        <f>tbl_profitability[[#This Row],[net_profit]]</f>
        <v>1806.91</v>
      </c>
      <c r="D292" s="42">
        <f>tbl_profitability[[#This Row],[net_margin_pct]]</f>
        <v>0.35681477093206954</v>
      </c>
      <c r="E292" s="49" t="str">
        <f>tbl_profitability[[#This Row],[decision]]</f>
        <v>SCALE</v>
      </c>
      <c r="F292" s="2">
        <f>tbl_raw[[#This Row],[gross_revenue]]-tbl_raw[[#This Row],[return_loss]]-tbl_raw[[#This Row],[cogs]]*(1+scn_A_cogs_up)-(tbl_raw[[#This Row],[storage_cost]]+tbl_raw[[#This Row],[fulfillment_cost]]+tbl_raw[[#This Row],[freight_cost]])</f>
        <v>1518.2619999999999</v>
      </c>
      <c r="G292" s="42">
        <f>tbl_scenarios[[#This Row],[net_profit_A]]/tbl_raw[[#This Row],[gross_revenue]]</f>
        <v>0.29981477093206949</v>
      </c>
      <c r="H292" s="43">
        <f>tbl_scenarios[[#This Row],[net_margin_A]]-tbl_scenarios[[#This Row],[net_margin_pct]]</f>
        <v>-5.7000000000000051E-2</v>
      </c>
      <c r="I29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92" s="2">
        <f>tbl_raw[[#This Row],[gross_revenue]]-tbl_raw[[#This Row],[return_loss]]*(1+scn_B_returns_up/0.05)-tbl_raw[[#This Row],[cogs]]-(tbl_raw[[#This Row],[storage_cost]]+tbl_raw[[#This Row],[fulfillment_cost]]+tbl_raw[[#This Row],[freight_cost]])</f>
        <v>1804.7500000000002</v>
      </c>
      <c r="K292" s="42">
        <f>tbl_scenarios[[#This Row],[net_profit_B]]/tbl_raw[[#This Row],[gross_revenue]]</f>
        <v>0.35638823064770936</v>
      </c>
      <c r="L292" s="43">
        <f>tbl_scenarios[[#This Row],[net_margin_B]]-tbl_scenarios[[#This Row],[net_margin_pct]]</f>
        <v>-4.2654028436017732E-4</v>
      </c>
      <c r="M29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92" s="2">
        <f>tbl_raw[[#This Row],[gross_revenue]]*(1-scn_C_price_down)-tbl_raw[[#This Row],[return_loss]]-tbl_raw[[#This Row],[cogs]]-(tbl_raw[[#This Row],[storage_cost]]+tbl_raw[[#This Row],[fulfillment_cost]]+tbl_raw[[#This Row],[freight_cost]])</f>
        <v>1553.7100000000003</v>
      </c>
      <c r="O292" s="42">
        <f>tbl_scenarios[[#This Row],[net_profit_C]]/(tbl_raw[[#This Row],[gross_revenue]]*(1-scn_C_price_down))</f>
        <v>0.32296291677059952</v>
      </c>
      <c r="P292" s="43">
        <f>tbl_scenarios[[#This Row],[net_margin_C]]-tbl_scenarios[[#This Row],[net_margin_pct]]</f>
        <v>-3.3851854161470019E-2</v>
      </c>
      <c r="Q29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9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93" spans="1:18" x14ac:dyDescent="0.35">
      <c r="A293" s="17" t="str">
        <f>tbl_raw[[#This Row],[product_id]]</f>
        <v>af751fe756699bddfce4fdd67242fc2a</v>
      </c>
      <c r="B293" t="str">
        <f>tbl_raw[[#This Row],[category]]</f>
        <v>computers_accessories</v>
      </c>
      <c r="C293" s="2">
        <f>tbl_profitability[[#This Row],[net_profit]]</f>
        <v>1901.1299999999994</v>
      </c>
      <c r="D293" s="42">
        <f>tbl_profitability[[#This Row],[net_margin_pct]]</f>
        <v>0.3772083333333332</v>
      </c>
      <c r="E293" s="49" t="str">
        <f>tbl_profitability[[#This Row],[decision]]</f>
        <v>SCALE</v>
      </c>
      <c r="F293" s="2">
        <f>tbl_raw[[#This Row],[gross_revenue]]-tbl_raw[[#This Row],[return_loss]]-tbl_raw[[#This Row],[cogs]]*(1+scn_A_cogs_up)-(tbl_raw[[#This Row],[storage_cost]]+tbl_raw[[#This Row],[fulfillment_cost]]+tbl_raw[[#This Row],[freight_cost]])</f>
        <v>1613.8499999999992</v>
      </c>
      <c r="G293" s="42">
        <f>tbl_scenarios[[#This Row],[net_profit_A]]/tbl_raw[[#This Row],[gross_revenue]]</f>
        <v>0.32020833333333321</v>
      </c>
      <c r="H293" s="43">
        <f>tbl_scenarios[[#This Row],[net_margin_A]]-tbl_scenarios[[#This Row],[net_margin_pct]]</f>
        <v>-5.6999999999999995E-2</v>
      </c>
      <c r="I29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93" s="2">
        <f>tbl_raw[[#This Row],[gross_revenue]]-tbl_raw[[#This Row],[return_loss]]*(1+scn_B_returns_up/0.05)-tbl_raw[[#This Row],[cogs]]-(tbl_raw[[#This Row],[storage_cost]]+tbl_raw[[#This Row],[fulfillment_cost]]+tbl_raw[[#This Row],[freight_cost]])</f>
        <v>1897.53</v>
      </c>
      <c r="K293" s="42">
        <f>tbl_scenarios[[#This Row],[net_profit_B]]/tbl_raw[[#This Row],[gross_revenue]]</f>
        <v>0.37649404761904759</v>
      </c>
      <c r="L293" s="43">
        <f>tbl_scenarios[[#This Row],[net_margin_B]]-tbl_scenarios[[#This Row],[net_margin_pct]]</f>
        <v>-7.1428571428561183E-4</v>
      </c>
      <c r="M29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93" s="2">
        <f>tbl_raw[[#This Row],[gross_revenue]]*(1-scn_C_price_down)-tbl_raw[[#This Row],[return_loss]]-tbl_raw[[#This Row],[cogs]]-(tbl_raw[[#This Row],[storage_cost]]+tbl_raw[[#This Row],[fulfillment_cost]]+tbl_raw[[#This Row],[freight_cost]])</f>
        <v>1649.1299999999994</v>
      </c>
      <c r="O293" s="42">
        <f>tbl_scenarios[[#This Row],[net_profit_C]]/(tbl_raw[[#This Row],[gross_revenue]]*(1-scn_C_price_down))</f>
        <v>0.34442982456140336</v>
      </c>
      <c r="P293" s="43">
        <f>tbl_scenarios[[#This Row],[net_margin_C]]-tbl_scenarios[[#This Row],[net_margin_pct]]</f>
        <v>-3.2778508771929837E-2</v>
      </c>
      <c r="Q29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9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94" spans="1:18" x14ac:dyDescent="0.35">
      <c r="A294" s="17" t="str">
        <f>tbl_raw[[#This Row],[product_id]]</f>
        <v>79366d6a24de9351b7ca6e3cf75a68ec</v>
      </c>
      <c r="B294" t="str">
        <f>tbl_raw[[#This Row],[category]]</f>
        <v>small_appliances</v>
      </c>
      <c r="C294" s="2">
        <f>tbl_profitability[[#This Row],[net_profit]]</f>
        <v>1397.48</v>
      </c>
      <c r="D294" s="42">
        <f>tbl_profitability[[#This Row],[net_margin_pct]]</f>
        <v>0.27849342367477081</v>
      </c>
      <c r="E294" s="49" t="str">
        <f>tbl_profitability[[#This Row],[decision]]</f>
        <v>SCALE</v>
      </c>
      <c r="F294" s="2">
        <f>tbl_raw[[#This Row],[gross_revenue]]-tbl_raw[[#This Row],[return_loss]]-tbl_raw[[#This Row],[cogs]]*(1+scn_A_cogs_up)-(tbl_raw[[#This Row],[storage_cost]]+tbl_raw[[#This Row],[fulfillment_cost]]+tbl_raw[[#This Row],[freight_cost]])</f>
        <v>1111.4539999999997</v>
      </c>
      <c r="G294" s="42">
        <f>tbl_scenarios[[#This Row],[net_profit_A]]/tbl_raw[[#This Row],[gross_revenue]]</f>
        <v>0.22149342367477076</v>
      </c>
      <c r="H294" s="43">
        <f>tbl_scenarios[[#This Row],[net_margin_A]]-tbl_scenarios[[#This Row],[net_margin_pct]]</f>
        <v>-5.7000000000000051E-2</v>
      </c>
      <c r="I29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94" s="2">
        <f>tbl_raw[[#This Row],[gross_revenue]]-tbl_raw[[#This Row],[return_loss]]*(1+scn_B_returns_up/0.05)-tbl_raw[[#This Row],[cogs]]-(tbl_raw[[#This Row],[storage_cost]]+tbl_raw[[#This Row],[fulfillment_cost]]+tbl_raw[[#This Row],[freight_cost]])</f>
        <v>1388.1199999999994</v>
      </c>
      <c r="K294" s="42">
        <f>tbl_scenarios[[#This Row],[net_profit_B]]/tbl_raw[[#This Row],[gross_revenue]]</f>
        <v>0.27662813870067743</v>
      </c>
      <c r="L294" s="43">
        <f>tbl_scenarios[[#This Row],[net_margin_B]]-tbl_scenarios[[#This Row],[net_margin_pct]]</f>
        <v>-1.8652849740933841E-3</v>
      </c>
      <c r="M29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94" s="2">
        <f>tbl_raw[[#This Row],[gross_revenue]]*(1-scn_C_price_down)-tbl_raw[[#This Row],[return_loss]]-tbl_raw[[#This Row],[cogs]]-(tbl_raw[[#This Row],[storage_cost]]+tbl_raw[[#This Row],[fulfillment_cost]]+tbl_raw[[#This Row],[freight_cost]])</f>
        <v>1146.5799999999995</v>
      </c>
      <c r="O294" s="42">
        <f>tbl_scenarios[[#This Row],[net_profit_C]]/(tbl_raw[[#This Row],[gross_revenue]]*(1-scn_C_price_down))</f>
        <v>0.24051939334186395</v>
      </c>
      <c r="P294" s="43">
        <f>tbl_scenarios[[#This Row],[net_margin_C]]-tbl_scenarios[[#This Row],[net_margin_pct]]</f>
        <v>-3.7974030332906861E-2</v>
      </c>
      <c r="Q29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9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295" spans="1:18" x14ac:dyDescent="0.35">
      <c r="A295" s="17" t="str">
        <f>tbl_raw[[#This Row],[product_id]]</f>
        <v>0d85c435fd60b277ffb9e9b0f88f927a</v>
      </c>
      <c r="B295" t="str">
        <f>tbl_raw[[#This Row],[category]]</f>
        <v>computers_accessories</v>
      </c>
      <c r="C295" s="2">
        <f>tbl_profitability[[#This Row],[net_profit]]</f>
        <v>124.08000000000015</v>
      </c>
      <c r="D295" s="42">
        <f>tbl_profitability[[#This Row],[net_margin_pct]]</f>
        <v>2.4764489861088968E-2</v>
      </c>
      <c r="E295" s="49" t="str">
        <f>tbl_profitability[[#This Row],[decision]]</f>
        <v>EXIT</v>
      </c>
      <c r="F295" s="2">
        <f>tbl_raw[[#This Row],[gross_revenue]]-tbl_raw[[#This Row],[return_loss]]-tbl_raw[[#This Row],[cogs]]*(1+scn_A_cogs_up)-(tbl_raw[[#This Row],[storage_cost]]+tbl_raw[[#This Row],[fulfillment_cost]]+tbl_raw[[#This Row],[freight_cost]])</f>
        <v>-161.51300000000015</v>
      </c>
      <c r="G295" s="42">
        <f>tbl_scenarios[[#This Row],[net_profit_A]]/tbl_raw[[#This Row],[gross_revenue]]</f>
        <v>-3.2235550055883792E-2</v>
      </c>
      <c r="H295" s="43">
        <f>tbl_scenarios[[#This Row],[net_margin_A]]-tbl_scenarios[[#This Row],[net_margin_pct]]</f>
        <v>-5.7000039916972764E-2</v>
      </c>
      <c r="I295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95" s="2">
        <f>tbl_raw[[#This Row],[gross_revenue]]-tbl_raw[[#This Row],[return_loss]]*(1+scn_B_returns_up/0.05)-tbl_raw[[#This Row],[cogs]]-(tbl_raw[[#This Row],[storage_cost]]+tbl_raw[[#This Row],[fulfillment_cost]]+tbl_raw[[#This Row],[freight_cost]])</f>
        <v>60.179999999999609</v>
      </c>
      <c r="K295" s="42">
        <f>tbl_scenarios[[#This Row],[net_profit_B]]/tbl_raw[[#This Row],[gross_revenue]]</f>
        <v>1.2011017084464237E-2</v>
      </c>
      <c r="L295" s="43">
        <f>tbl_scenarios[[#This Row],[net_margin_B]]-tbl_scenarios[[#This Row],[net_margin_pct]]</f>
        <v>-1.2753472776624732E-2</v>
      </c>
      <c r="M295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95" s="2">
        <f>tbl_raw[[#This Row],[gross_revenue]]*(1-scn_C_price_down)-tbl_raw[[#This Row],[return_loss]]-tbl_raw[[#This Row],[cogs]]-(tbl_raw[[#This Row],[storage_cost]]+tbl_raw[[#This Row],[fulfillment_cost]]+tbl_raw[[#This Row],[freight_cost]])</f>
        <v>-126.44000000000028</v>
      </c>
      <c r="O295" s="42">
        <f>tbl_scenarios[[#This Row],[net_profit_C]]/(tbl_raw[[#This Row],[gross_revenue]]*(1-scn_C_price_down))</f>
        <v>-2.6563694883064343E-2</v>
      </c>
      <c r="P295" s="43">
        <f>tbl_scenarios[[#This Row],[net_margin_C]]-tbl_scenarios[[#This Row],[net_margin_pct]]</f>
        <v>-5.1328184744153307E-2</v>
      </c>
      <c r="Q295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9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96" spans="1:18" x14ac:dyDescent="0.35">
      <c r="A296" s="17" t="str">
        <f>tbl_raw[[#This Row],[product_id]]</f>
        <v>4e11734666acc305a4649de43f0bd181</v>
      </c>
      <c r="B296" t="str">
        <f>tbl_raw[[#This Row],[category]]</f>
        <v>computers</v>
      </c>
      <c r="C296" s="2">
        <f>tbl_profitability[[#This Row],[net_profit]]</f>
        <v>1630.7100000000003</v>
      </c>
      <c r="D296" s="42">
        <f>tbl_profitability[[#This Row],[net_margin_pct]]</f>
        <v>0.32581618381618388</v>
      </c>
      <c r="E296" s="49" t="str">
        <f>tbl_profitability[[#This Row],[decision]]</f>
        <v>OPTIMIZE</v>
      </c>
      <c r="F296" s="2">
        <f>tbl_raw[[#This Row],[gross_revenue]]-tbl_raw[[#This Row],[return_loss]]-tbl_raw[[#This Row],[cogs]]*(1+scn_A_cogs_up)-(tbl_raw[[#This Row],[storage_cost]]+tbl_raw[[#This Row],[fulfillment_cost]]+tbl_raw[[#This Row],[freight_cost]])</f>
        <v>1345.425</v>
      </c>
      <c r="G296" s="42">
        <f>tbl_scenarios[[#This Row],[net_profit_A]]/tbl_raw[[#This Row],[gross_revenue]]</f>
        <v>0.26881618381618383</v>
      </c>
      <c r="H296" s="43">
        <f>tbl_scenarios[[#This Row],[net_margin_A]]-tbl_scenarios[[#This Row],[net_margin_pct]]</f>
        <v>-5.7000000000000051E-2</v>
      </c>
      <c r="I29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296" s="2">
        <f>tbl_raw[[#This Row],[gross_revenue]]-tbl_raw[[#This Row],[return_loss]]*(1+scn_B_returns_up/0.05)-tbl_raw[[#This Row],[cogs]]-(tbl_raw[[#This Row],[storage_cost]]+tbl_raw[[#This Row],[fulfillment_cost]]+tbl_raw[[#This Row],[freight_cost]])</f>
        <v>1623.5100000000004</v>
      </c>
      <c r="K296" s="42">
        <f>tbl_scenarios[[#This Row],[net_profit_B]]/tbl_raw[[#This Row],[gross_revenue]]</f>
        <v>0.32437762237762247</v>
      </c>
      <c r="L296" s="43">
        <f>tbl_scenarios[[#This Row],[net_margin_B]]-tbl_scenarios[[#This Row],[net_margin_pct]]</f>
        <v>-1.4385614385614143E-3</v>
      </c>
      <c r="M29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296" s="2">
        <f>tbl_raw[[#This Row],[gross_revenue]]*(1-scn_C_price_down)-tbl_raw[[#This Row],[return_loss]]-tbl_raw[[#This Row],[cogs]]-(tbl_raw[[#This Row],[storage_cost]]+tbl_raw[[#This Row],[fulfillment_cost]]+tbl_raw[[#This Row],[freight_cost]])</f>
        <v>1380.4600000000003</v>
      </c>
      <c r="O296" s="42">
        <f>tbl_scenarios[[#This Row],[net_profit_C]]/(tbl_raw[[#This Row],[gross_revenue]]*(1-scn_C_price_down))</f>
        <v>0.29033282506966723</v>
      </c>
      <c r="P296" s="43">
        <f>tbl_scenarios[[#This Row],[net_margin_C]]-tbl_scenarios[[#This Row],[net_margin_pct]]</f>
        <v>-3.5483358746516647E-2</v>
      </c>
      <c r="Q29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29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97" spans="1:18" x14ac:dyDescent="0.35">
      <c r="A297" s="17" t="str">
        <f>tbl_raw[[#This Row],[product_id]]</f>
        <v>38dcb9ae53c258cfba73583f9454d721</v>
      </c>
      <c r="B297" t="str">
        <f>tbl_raw[[#This Row],[category]]</f>
        <v>garden_tools</v>
      </c>
      <c r="C297" s="2">
        <f>tbl_profitability[[#This Row],[net_profit]]</f>
        <v>2530.7500000000005</v>
      </c>
      <c r="D297" s="42">
        <f>tbl_profitability[[#This Row],[net_margin_pct]]</f>
        <v>0.5061500000000001</v>
      </c>
      <c r="E297" s="49" t="str">
        <f>tbl_profitability[[#This Row],[decision]]</f>
        <v>EXIT</v>
      </c>
      <c r="F297" s="2">
        <f>tbl_raw[[#This Row],[gross_revenue]]-tbl_raw[[#This Row],[return_loss]]-tbl_raw[[#This Row],[cogs]]*(1+scn_A_cogs_up)-(tbl_raw[[#This Row],[storage_cost]]+tbl_raw[[#This Row],[fulfillment_cost]]+tbl_raw[[#This Row],[freight_cost]])</f>
        <v>2305.7500000000005</v>
      </c>
      <c r="G297" s="42">
        <f>tbl_scenarios[[#This Row],[net_profit_A]]/tbl_raw[[#This Row],[gross_revenue]]</f>
        <v>0.46115000000000012</v>
      </c>
      <c r="H297" s="43">
        <f>tbl_scenarios[[#This Row],[net_margin_A]]-tbl_scenarios[[#This Row],[net_margin_pct]]</f>
        <v>-4.4999999999999984E-2</v>
      </c>
      <c r="I297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297" s="2">
        <f>tbl_raw[[#This Row],[gross_revenue]]-tbl_raw[[#This Row],[return_loss]]*(1+scn_B_returns_up/0.05)-tbl_raw[[#This Row],[cogs]]-(tbl_raw[[#This Row],[storage_cost]]+tbl_raw[[#This Row],[fulfillment_cost]]+tbl_raw[[#This Row],[freight_cost]])</f>
        <v>2529.31</v>
      </c>
      <c r="K297" s="42">
        <f>tbl_scenarios[[#This Row],[net_profit_B]]/tbl_raw[[#This Row],[gross_revenue]]</f>
        <v>0.50586200000000003</v>
      </c>
      <c r="L297" s="43">
        <f>tbl_scenarios[[#This Row],[net_margin_B]]-tbl_scenarios[[#This Row],[net_margin_pct]]</f>
        <v>-2.8800000000006598E-4</v>
      </c>
      <c r="M297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297" s="2">
        <f>tbl_raw[[#This Row],[gross_revenue]]*(1-scn_C_price_down)-tbl_raw[[#This Row],[return_loss]]-tbl_raw[[#This Row],[cogs]]-(tbl_raw[[#This Row],[storage_cost]]+tbl_raw[[#This Row],[fulfillment_cost]]+tbl_raw[[#This Row],[freight_cost]])</f>
        <v>2280.7500000000005</v>
      </c>
      <c r="O297" s="42">
        <f>tbl_scenarios[[#This Row],[net_profit_C]]/(tbl_raw[[#This Row],[gross_revenue]]*(1-scn_C_price_down))</f>
        <v>0.48015789473684223</v>
      </c>
      <c r="P297" s="43">
        <f>tbl_scenarios[[#This Row],[net_margin_C]]-tbl_scenarios[[#This Row],[net_margin_pct]]</f>
        <v>-2.5992105263157872E-2</v>
      </c>
      <c r="Q297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29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98" spans="1:18" x14ac:dyDescent="0.35">
      <c r="A298" s="17" t="str">
        <f>tbl_raw[[#This Row],[product_id]]</f>
        <v>8b502ca34e28d30605bc667b965b6abf</v>
      </c>
      <c r="B298" t="str">
        <f>tbl_raw[[#This Row],[category]]</f>
        <v>watches_gifts</v>
      </c>
      <c r="C298" s="2">
        <f>tbl_profitability[[#This Row],[net_profit]]</f>
        <v>2843.8799999999992</v>
      </c>
      <c r="D298" s="42">
        <f>tbl_profitability[[#This Row],[net_margin_pct]]</f>
        <v>0.56890115825481591</v>
      </c>
      <c r="E298" s="49" t="str">
        <f>tbl_profitability[[#This Row],[decision]]</f>
        <v>SCALE</v>
      </c>
      <c r="F298" s="2">
        <f>tbl_raw[[#This Row],[gross_revenue]]-tbl_raw[[#This Row],[return_loss]]-tbl_raw[[#This Row],[cogs]]*(1+scn_A_cogs_up)-(tbl_raw[[#This Row],[storage_cost]]+tbl_raw[[#This Row],[fulfillment_cost]]+tbl_raw[[#This Row],[freight_cost]])</f>
        <v>2633.925999999999</v>
      </c>
      <c r="G298" s="42">
        <f>tbl_scenarios[[#This Row],[net_profit_A]]/tbl_raw[[#This Row],[gross_revenue]]</f>
        <v>0.52690111824601393</v>
      </c>
      <c r="H298" s="43">
        <f>tbl_scenarios[[#This Row],[net_margin_A]]-tbl_scenarios[[#This Row],[net_margin_pct]]</f>
        <v>-4.2000040008801975E-2</v>
      </c>
      <c r="I29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98" s="2">
        <f>tbl_raw[[#This Row],[gross_revenue]]-tbl_raw[[#This Row],[return_loss]]*(1+scn_B_returns_up/0.05)-tbl_raw[[#This Row],[cogs]]-(tbl_raw[[#This Row],[storage_cost]]+tbl_raw[[#This Row],[fulfillment_cost]]+tbl_raw[[#This Row],[freight_cost]])</f>
        <v>2843.16</v>
      </c>
      <c r="K298" s="42">
        <f>tbl_scenarios[[#This Row],[net_profit_B]]/tbl_raw[[#This Row],[gross_revenue]]</f>
        <v>0.56875712656784494</v>
      </c>
      <c r="L298" s="43">
        <f>tbl_scenarios[[#This Row],[net_margin_B]]-tbl_scenarios[[#This Row],[net_margin_pct]]</f>
        <v>-1.4403168697096902E-4</v>
      </c>
      <c r="M29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98" s="2">
        <f>tbl_raw[[#This Row],[gross_revenue]]*(1-scn_C_price_down)-tbl_raw[[#This Row],[return_loss]]-tbl_raw[[#This Row],[cogs]]-(tbl_raw[[#This Row],[storage_cost]]+tbl_raw[[#This Row],[fulfillment_cost]]+tbl_raw[[#This Row],[freight_cost]])</f>
        <v>2593.9349999999986</v>
      </c>
      <c r="O298" s="42">
        <f>tbl_scenarios[[#This Row],[net_profit_C]]/(tbl_raw[[#This Row],[gross_revenue]]*(1-scn_C_price_down))</f>
        <v>0.54621174553138518</v>
      </c>
      <c r="P298" s="43">
        <f>tbl_scenarios[[#This Row],[net_margin_C]]-tbl_scenarios[[#This Row],[net_margin_pct]]</f>
        <v>-2.2689412723430724E-2</v>
      </c>
      <c r="Q29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9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299" spans="1:18" x14ac:dyDescent="0.35">
      <c r="A299" s="17" t="str">
        <f>tbl_raw[[#This Row],[product_id]]</f>
        <v>5ca5d42f98d39aa421923c2fde2c1558</v>
      </c>
      <c r="B299" t="str">
        <f>tbl_raw[[#This Row],[category]]</f>
        <v>small_appliances</v>
      </c>
      <c r="C299" s="2">
        <f>tbl_profitability[[#This Row],[net_profit]]</f>
        <v>1885.1699999999996</v>
      </c>
      <c r="D299" s="42">
        <f>tbl_profitability[[#This Row],[net_margin_pct]]</f>
        <v>0.37778957915831657</v>
      </c>
      <c r="E299" s="49" t="str">
        <f>tbl_profitability[[#This Row],[decision]]</f>
        <v>SCALE</v>
      </c>
      <c r="F299" s="2">
        <f>tbl_raw[[#This Row],[gross_revenue]]-tbl_raw[[#This Row],[return_loss]]-tbl_raw[[#This Row],[cogs]]*(1+scn_A_cogs_up)-(tbl_raw[[#This Row],[storage_cost]]+tbl_raw[[#This Row],[fulfillment_cost]]+tbl_raw[[#This Row],[freight_cost]])</f>
        <v>1600.7399999999993</v>
      </c>
      <c r="G299" s="42">
        <f>tbl_scenarios[[#This Row],[net_profit_A]]/tbl_raw[[#This Row],[gross_revenue]]</f>
        <v>0.32078957915831652</v>
      </c>
      <c r="H299" s="43">
        <f>tbl_scenarios[[#This Row],[net_margin_A]]-tbl_scenarios[[#This Row],[net_margin_pct]]</f>
        <v>-5.7000000000000051E-2</v>
      </c>
      <c r="I29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299" s="2">
        <f>tbl_raw[[#This Row],[gross_revenue]]-tbl_raw[[#This Row],[return_loss]]*(1+scn_B_returns_up/0.05)-tbl_raw[[#This Row],[cogs]]-(tbl_raw[[#This Row],[storage_cost]]+tbl_raw[[#This Row],[fulfillment_cost]]+tbl_raw[[#This Row],[freight_cost]])</f>
        <v>1883.3699999999994</v>
      </c>
      <c r="K299" s="42">
        <f>tbl_scenarios[[#This Row],[net_profit_B]]/tbl_raw[[#This Row],[gross_revenue]]</f>
        <v>0.37742885771543072</v>
      </c>
      <c r="L299" s="43">
        <f>tbl_scenarios[[#This Row],[net_margin_B]]-tbl_scenarios[[#This Row],[net_margin_pct]]</f>
        <v>-3.607214428858474E-4</v>
      </c>
      <c r="M29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299" s="2">
        <f>tbl_raw[[#This Row],[gross_revenue]]*(1-scn_C_price_down)-tbl_raw[[#This Row],[return_loss]]-tbl_raw[[#This Row],[cogs]]-(tbl_raw[[#This Row],[storage_cost]]+tbl_raw[[#This Row],[fulfillment_cost]]+tbl_raw[[#This Row],[freight_cost]])</f>
        <v>1635.6699999999996</v>
      </c>
      <c r="O299" s="42">
        <f>tbl_scenarios[[#This Row],[net_profit_C]]/(tbl_raw[[#This Row],[gross_revenue]]*(1-scn_C_price_down))</f>
        <v>0.34504166227191219</v>
      </c>
      <c r="P299" s="43">
        <f>tbl_scenarios[[#This Row],[net_margin_C]]-tbl_scenarios[[#This Row],[net_margin_pct]]</f>
        <v>-3.2747916886404382E-2</v>
      </c>
      <c r="Q29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29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00" spans="1:18" x14ac:dyDescent="0.35">
      <c r="A300" s="17" t="str">
        <f>tbl_raw[[#This Row],[product_id]]</f>
        <v>35537536ed2b4c561b4018bf3abf54e0</v>
      </c>
      <c r="B300" t="str">
        <f>tbl_raw[[#This Row],[category]]</f>
        <v>sports_leisure</v>
      </c>
      <c r="C300" s="2">
        <f>tbl_profitability[[#This Row],[net_profit]]</f>
        <v>2499.3299999999995</v>
      </c>
      <c r="D300" s="42">
        <f>tbl_profitability[[#This Row],[net_margin_pct]]</f>
        <v>0.50288329979879265</v>
      </c>
      <c r="E300" s="49" t="str">
        <f>tbl_profitability[[#This Row],[decision]]</f>
        <v>SCALE</v>
      </c>
      <c r="F300" s="2">
        <f>tbl_raw[[#This Row],[gross_revenue]]-tbl_raw[[#This Row],[return_loss]]-tbl_raw[[#This Row],[cogs]]*(1+scn_A_cogs_up)-(tbl_raw[[#This Row],[storage_cost]]+tbl_raw[[#This Row],[fulfillment_cost]]+tbl_raw[[#This Row],[freight_cost]])</f>
        <v>2290.5899999999992</v>
      </c>
      <c r="G300" s="42">
        <f>tbl_scenarios[[#This Row],[net_profit_A]]/tbl_raw[[#This Row],[gross_revenue]]</f>
        <v>0.46088329979879261</v>
      </c>
      <c r="H300" s="43">
        <f>tbl_scenarios[[#This Row],[net_margin_A]]-tbl_scenarios[[#This Row],[net_margin_pct]]</f>
        <v>-4.2000000000000037E-2</v>
      </c>
      <c r="I30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00" s="2">
        <f>tbl_raw[[#This Row],[gross_revenue]]-tbl_raw[[#This Row],[return_loss]]*(1+scn_B_returns_up/0.05)-tbl_raw[[#This Row],[cogs]]-(tbl_raw[[#This Row],[storage_cost]]+tbl_raw[[#This Row],[fulfillment_cost]]+tbl_raw[[#This Row],[freight_cost]])</f>
        <v>2494.65</v>
      </c>
      <c r="K300" s="42">
        <f>tbl_scenarios[[#This Row],[net_profit_B]]/tbl_raw[[#This Row],[gross_revenue]]</f>
        <v>0.50194164989939638</v>
      </c>
      <c r="L300" s="43">
        <f>tbl_scenarios[[#This Row],[net_margin_B]]-tbl_scenarios[[#This Row],[net_margin_pct]]</f>
        <v>-9.4164989939626853E-4</v>
      </c>
      <c r="M30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00" s="2">
        <f>tbl_raw[[#This Row],[gross_revenue]]*(1-scn_C_price_down)-tbl_raw[[#This Row],[return_loss]]-tbl_raw[[#This Row],[cogs]]-(tbl_raw[[#This Row],[storage_cost]]+tbl_raw[[#This Row],[fulfillment_cost]]+tbl_raw[[#This Row],[freight_cost]])</f>
        <v>2250.8299999999995</v>
      </c>
      <c r="O300" s="42">
        <f>tbl_scenarios[[#This Row],[net_profit_C]]/(tbl_raw[[#This Row],[gross_revenue]]*(1-scn_C_price_down))</f>
        <v>0.47671926294609751</v>
      </c>
      <c r="P300" s="43">
        <f>tbl_scenarios[[#This Row],[net_margin_C]]-tbl_scenarios[[#This Row],[net_margin_pct]]</f>
        <v>-2.6164036852695138E-2</v>
      </c>
      <c r="Q30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0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01" spans="1:18" x14ac:dyDescent="0.35">
      <c r="A301" s="17" t="str">
        <f>tbl_raw[[#This Row],[product_id]]</f>
        <v>43cc8e4d981bc04b9d78b12e8a908d41</v>
      </c>
      <c r="B301" t="str">
        <f>tbl_raw[[#This Row],[category]]</f>
        <v>health_beauty</v>
      </c>
      <c r="C301" s="2">
        <f>tbl_profitability[[#This Row],[net_profit]]</f>
        <v>2556.0000000000005</v>
      </c>
      <c r="D301" s="42">
        <f>tbl_profitability[[#This Row],[net_margin_pct]]</f>
        <v>0.51532258064516134</v>
      </c>
      <c r="E301" s="49" t="str">
        <f>tbl_profitability[[#This Row],[decision]]</f>
        <v>SCALE</v>
      </c>
      <c r="F301" s="2">
        <f>tbl_raw[[#This Row],[gross_revenue]]-tbl_raw[[#This Row],[return_loss]]-tbl_raw[[#This Row],[cogs]]*(1+scn_A_cogs_up)-(tbl_raw[[#This Row],[storage_cost]]+tbl_raw[[#This Row],[fulfillment_cost]]+tbl_raw[[#This Row],[freight_cost]])</f>
        <v>2347.6800000000003</v>
      </c>
      <c r="G301" s="42">
        <f>tbl_scenarios[[#This Row],[net_profit_A]]/tbl_raw[[#This Row],[gross_revenue]]</f>
        <v>0.47332258064516136</v>
      </c>
      <c r="H301" s="43">
        <f>tbl_scenarios[[#This Row],[net_margin_A]]-tbl_scenarios[[#This Row],[net_margin_pct]]</f>
        <v>-4.1999999999999982E-2</v>
      </c>
      <c r="I30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01" s="2">
        <f>tbl_raw[[#This Row],[gross_revenue]]-tbl_raw[[#This Row],[return_loss]]*(1+scn_B_returns_up/0.05)-tbl_raw[[#This Row],[cogs]]-(tbl_raw[[#This Row],[storage_cost]]+tbl_raw[[#This Row],[fulfillment_cost]]+tbl_raw[[#This Row],[freight_cost]])</f>
        <v>2554.56</v>
      </c>
      <c r="K301" s="42">
        <f>tbl_scenarios[[#This Row],[net_profit_B]]/tbl_raw[[#This Row],[gross_revenue]]</f>
        <v>0.51503225806451614</v>
      </c>
      <c r="L301" s="43">
        <f>tbl_scenarios[[#This Row],[net_margin_B]]-tbl_scenarios[[#This Row],[net_margin_pct]]</f>
        <v>-2.9032258064520811E-4</v>
      </c>
      <c r="M30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01" s="2">
        <f>tbl_raw[[#This Row],[gross_revenue]]*(1-scn_C_price_down)-tbl_raw[[#This Row],[return_loss]]-tbl_raw[[#This Row],[cogs]]-(tbl_raw[[#This Row],[storage_cost]]+tbl_raw[[#This Row],[fulfillment_cost]]+tbl_raw[[#This Row],[freight_cost]])</f>
        <v>2308.0000000000005</v>
      </c>
      <c r="O301" s="42">
        <f>tbl_scenarios[[#This Row],[net_profit_C]]/(tbl_raw[[#This Row],[gross_revenue]]*(1-scn_C_price_down))</f>
        <v>0.48981324278438038</v>
      </c>
      <c r="P301" s="43">
        <f>tbl_scenarios[[#This Row],[net_margin_C]]-tbl_scenarios[[#This Row],[net_margin_pct]]</f>
        <v>-2.5509337860780967E-2</v>
      </c>
      <c r="Q30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0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02" spans="1:18" x14ac:dyDescent="0.35">
      <c r="A302" s="17" t="str">
        <f>tbl_raw[[#This Row],[product_id]]</f>
        <v>b2855c4e42b8a50f359904c6763eeddc</v>
      </c>
      <c r="B302" t="str">
        <f>tbl_raw[[#This Row],[category]]</f>
        <v>office_furniture</v>
      </c>
      <c r="C302" s="2">
        <f>tbl_profitability[[#This Row],[net_profit]]</f>
        <v>1645.1599999999992</v>
      </c>
      <c r="D302" s="42">
        <f>tbl_profitability[[#This Row],[net_margin_pct]]</f>
        <v>0.33313623845779994</v>
      </c>
      <c r="E302" s="49" t="str">
        <f>tbl_profitability[[#This Row],[decision]]</f>
        <v>OPTIMIZE</v>
      </c>
      <c r="F302" s="2">
        <f>tbl_raw[[#This Row],[gross_revenue]]-tbl_raw[[#This Row],[return_loss]]-tbl_raw[[#This Row],[cogs]]*(1+scn_A_cogs_up)-(tbl_raw[[#This Row],[storage_cost]]+tbl_raw[[#This Row],[fulfillment_cost]]+tbl_raw[[#This Row],[freight_cost]])</f>
        <v>1422.9319999999991</v>
      </c>
      <c r="G302" s="42">
        <f>tbl_scenarios[[#This Row],[net_profit_A]]/tbl_raw[[#This Row],[gross_revenue]]</f>
        <v>0.28813623845779995</v>
      </c>
      <c r="H302" s="43">
        <f>tbl_scenarios[[#This Row],[net_margin_A]]-tbl_scenarios[[#This Row],[net_margin_pct]]</f>
        <v>-4.4999999999999984E-2</v>
      </c>
      <c r="I30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02" s="2">
        <f>tbl_raw[[#This Row],[gross_revenue]]-tbl_raw[[#This Row],[return_loss]]*(1+scn_B_returns_up/0.05)-tbl_raw[[#This Row],[cogs]]-(tbl_raw[[#This Row],[storage_cost]]+tbl_raw[[#This Row],[fulfillment_cost]]+tbl_raw[[#This Row],[freight_cost]])</f>
        <v>1639.399999999999</v>
      </c>
      <c r="K302" s="42">
        <f>tbl_scenarios[[#This Row],[net_profit_B]]/tbl_raw[[#This Row],[gross_revenue]]</f>
        <v>0.33196986878341145</v>
      </c>
      <c r="L302" s="43">
        <f>tbl_scenarios[[#This Row],[net_margin_B]]-tbl_scenarios[[#This Row],[net_margin_pct]]</f>
        <v>-1.1663696743884899E-3</v>
      </c>
      <c r="M30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02" s="2">
        <f>tbl_raw[[#This Row],[gross_revenue]]*(1-scn_C_price_down)-tbl_raw[[#This Row],[return_loss]]-tbl_raw[[#This Row],[cogs]]-(tbl_raw[[#This Row],[storage_cost]]+tbl_raw[[#This Row],[fulfillment_cost]]+tbl_raw[[#This Row],[freight_cost]])</f>
        <v>1398.2399999999991</v>
      </c>
      <c r="O302" s="42">
        <f>tbl_scenarios[[#This Row],[net_profit_C]]/(tbl_raw[[#This Row],[gross_revenue]]*(1-scn_C_price_down))</f>
        <v>0.29803814574505255</v>
      </c>
      <c r="P302" s="43">
        <f>tbl_scenarios[[#This Row],[net_margin_C]]-tbl_scenarios[[#This Row],[net_margin_pct]]</f>
        <v>-3.5098092712747386E-2</v>
      </c>
      <c r="Q30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0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03" spans="1:18" x14ac:dyDescent="0.35">
      <c r="A303" s="17" t="str">
        <f>tbl_raw[[#This Row],[product_id]]</f>
        <v>cec09725da5ed01471d9a505e7389d37</v>
      </c>
      <c r="B303" t="str">
        <f>tbl_raw[[#This Row],[category]]</f>
        <v>sports_leisure</v>
      </c>
      <c r="C303" s="2">
        <f>tbl_profitability[[#This Row],[net_profit]]</f>
        <v>901.15999999999917</v>
      </c>
      <c r="D303" s="42">
        <f>tbl_profitability[[#This Row],[net_margin_pct]]</f>
        <v>0.18268361410123846</v>
      </c>
      <c r="E303" s="49" t="str">
        <f>tbl_profitability[[#This Row],[decision]]</f>
        <v>OPTIMIZE</v>
      </c>
      <c r="F303" s="2">
        <f>tbl_raw[[#This Row],[gross_revenue]]-tbl_raw[[#This Row],[return_loss]]-tbl_raw[[#This Row],[cogs]]*(1+scn_A_cogs_up)-(tbl_raw[[#This Row],[storage_cost]]+tbl_raw[[#This Row],[fulfillment_cost]]+tbl_raw[[#This Row],[freight_cost]])</f>
        <v>693.97799999999893</v>
      </c>
      <c r="G303" s="42">
        <f>tbl_scenarios[[#This Row],[net_profit_A]]/tbl_raw[[#This Row],[gross_revenue]]</f>
        <v>0.14068357355713657</v>
      </c>
      <c r="H303" s="43">
        <f>tbl_scenarios[[#This Row],[net_margin_A]]-tbl_scenarios[[#This Row],[net_margin_pct]]</f>
        <v>-4.2000040544101891E-2</v>
      </c>
      <c r="I30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03" s="2">
        <f>tbl_raw[[#This Row],[gross_revenue]]-tbl_raw[[#This Row],[return_loss]]*(1+scn_B_returns_up/0.05)-tbl_raw[[#This Row],[cogs]]-(tbl_raw[[#This Row],[storage_cost]]+tbl_raw[[#This Row],[fulfillment_cost]]+tbl_raw[[#This Row],[freight_cost]])</f>
        <v>875.59999999999968</v>
      </c>
      <c r="K303" s="42">
        <f>tbl_scenarios[[#This Row],[net_profit_B]]/tbl_raw[[#This Row],[gross_revenue]]</f>
        <v>0.1775020778852196</v>
      </c>
      <c r="L303" s="43">
        <f>tbl_scenarios[[#This Row],[net_margin_B]]-tbl_scenarios[[#This Row],[net_margin_pct]]</f>
        <v>-5.1815362160188561E-3</v>
      </c>
      <c r="M30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03" s="2">
        <f>tbl_raw[[#This Row],[gross_revenue]]*(1-scn_C_price_down)-tbl_raw[[#This Row],[return_loss]]-tbl_raw[[#This Row],[cogs]]-(tbl_raw[[#This Row],[storage_cost]]+tbl_raw[[#This Row],[fulfillment_cost]]+tbl_raw[[#This Row],[freight_cost]])</f>
        <v>654.51499999999874</v>
      </c>
      <c r="O303" s="42">
        <f>tbl_scenarios[[#This Row],[net_profit_C]]/(tbl_raw[[#This Row],[gross_revenue]]*(1-scn_C_price_down))</f>
        <v>0.13966696221182989</v>
      </c>
      <c r="P303" s="43">
        <f>tbl_scenarios[[#This Row],[net_margin_C]]-tbl_scenarios[[#This Row],[net_margin_pct]]</f>
        <v>-4.3016651889408564E-2</v>
      </c>
      <c r="Q30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0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04" spans="1:18" x14ac:dyDescent="0.35">
      <c r="A304" s="17" t="str">
        <f>tbl_raw[[#This Row],[product_id]]</f>
        <v>06f0e85c7892d5df893f332706340af1</v>
      </c>
      <c r="B304" t="str">
        <f>tbl_raw[[#This Row],[category]]</f>
        <v>stationery</v>
      </c>
      <c r="C304" s="2">
        <f>tbl_profitability[[#This Row],[net_profit]]</f>
        <v>1763.9100000000003</v>
      </c>
      <c r="D304" s="42">
        <f>tbl_profitability[[#This Row],[net_margin_pct]]</f>
        <v>0.35771851551409456</v>
      </c>
      <c r="E304" s="49" t="str">
        <f>tbl_profitability[[#This Row],[decision]]</f>
        <v>SCALE</v>
      </c>
      <c r="F304" s="2">
        <f>tbl_raw[[#This Row],[gross_revenue]]-tbl_raw[[#This Row],[return_loss]]-tbl_raw[[#This Row],[cogs]]*(1+scn_A_cogs_up)-(tbl_raw[[#This Row],[storage_cost]]+tbl_raw[[#This Row],[fulfillment_cost]]+tbl_raw[[#This Row],[freight_cost]])</f>
        <v>1566.67</v>
      </c>
      <c r="G304" s="42">
        <f>tbl_scenarios[[#This Row],[net_profit_A]]/tbl_raw[[#This Row],[gross_revenue]]</f>
        <v>0.31771851551409452</v>
      </c>
      <c r="H304" s="43">
        <f>tbl_scenarios[[#This Row],[net_margin_A]]-tbl_scenarios[[#This Row],[net_margin_pct]]</f>
        <v>-4.0000000000000036E-2</v>
      </c>
      <c r="I30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04" s="2">
        <f>tbl_raw[[#This Row],[gross_revenue]]-tbl_raw[[#This Row],[return_loss]]*(1+scn_B_returns_up/0.05)-tbl_raw[[#This Row],[cogs]]-(tbl_raw[[#This Row],[storage_cost]]+tbl_raw[[#This Row],[fulfillment_cost]]+tbl_raw[[#This Row],[freight_cost]])</f>
        <v>1761.0099999999998</v>
      </c>
      <c r="K304" s="42">
        <f>tbl_scenarios[[#This Row],[net_profit_B]]/tbl_raw[[#This Row],[gross_revenue]]</f>
        <v>0.35713039951328324</v>
      </c>
      <c r="L304" s="43">
        <f>tbl_scenarios[[#This Row],[net_margin_B]]-tbl_scenarios[[#This Row],[net_margin_pct]]</f>
        <v>-5.8811600081132287E-4</v>
      </c>
      <c r="M30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04" s="2">
        <f>tbl_raw[[#This Row],[gross_revenue]]*(1-scn_C_price_down)-tbl_raw[[#This Row],[return_loss]]-tbl_raw[[#This Row],[cogs]]-(tbl_raw[[#This Row],[storage_cost]]+tbl_raw[[#This Row],[fulfillment_cost]]+tbl_raw[[#This Row],[freight_cost]])</f>
        <v>1517.3600000000001</v>
      </c>
      <c r="O304" s="42">
        <f>tbl_scenarios[[#This Row],[net_profit_C]]/(tbl_raw[[#This Row],[gross_revenue]]*(1-scn_C_price_down))</f>
        <v>0.3239142268569416</v>
      </c>
      <c r="P304" s="43">
        <f>tbl_scenarios[[#This Row],[net_margin_C]]-tbl_scenarios[[#This Row],[net_margin_pct]]</f>
        <v>-3.3804288657152959E-2</v>
      </c>
      <c r="Q30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0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05" spans="1:18" x14ac:dyDescent="0.35">
      <c r="A305" s="17" t="str">
        <f>tbl_raw[[#This Row],[product_id]]</f>
        <v>cb460986a447ed00da792526bf6189e4</v>
      </c>
      <c r="B305" t="str">
        <f>tbl_raw[[#This Row],[category]]</f>
        <v>sports_leisure</v>
      </c>
      <c r="C305" s="2">
        <f>tbl_profitability[[#This Row],[net_profit]]</f>
        <v>2728.63</v>
      </c>
      <c r="D305" s="42">
        <f>tbl_profitability[[#This Row],[net_margin_pct]]</f>
        <v>0.5535869344694665</v>
      </c>
      <c r="E305" s="49" t="str">
        <f>tbl_profitability[[#This Row],[decision]]</f>
        <v>EXIT</v>
      </c>
      <c r="F305" s="2">
        <f>tbl_raw[[#This Row],[gross_revenue]]-tbl_raw[[#This Row],[return_loss]]-tbl_raw[[#This Row],[cogs]]*(1+scn_A_cogs_up)-(tbl_raw[[#This Row],[storage_cost]]+tbl_raw[[#This Row],[fulfillment_cost]]+tbl_raw[[#This Row],[freight_cost]])</f>
        <v>2521.6120000000001</v>
      </c>
      <c r="G305" s="42">
        <f>tbl_scenarios[[#This Row],[net_profit_A]]/tbl_raw[[#This Row],[gross_revenue]]</f>
        <v>0.51158693446946646</v>
      </c>
      <c r="H305" s="43">
        <f>tbl_scenarios[[#This Row],[net_margin_A]]-tbl_scenarios[[#This Row],[net_margin_pct]]</f>
        <v>-4.2000000000000037E-2</v>
      </c>
      <c r="I305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05" s="2">
        <f>tbl_raw[[#This Row],[gross_revenue]]-tbl_raw[[#This Row],[return_loss]]*(1+scn_B_returns_up/0.05)-tbl_raw[[#This Row],[cogs]]-(tbl_raw[[#This Row],[storage_cost]]+tbl_raw[[#This Row],[fulfillment_cost]]+tbl_raw[[#This Row],[freight_cost]])</f>
        <v>2727.55</v>
      </c>
      <c r="K305" s="42">
        <f>tbl_scenarios[[#This Row],[net_profit_B]]/tbl_raw[[#This Row],[gross_revenue]]</f>
        <v>0.55336782308784749</v>
      </c>
      <c r="L305" s="43">
        <f>tbl_scenarios[[#This Row],[net_margin_B]]-tbl_scenarios[[#This Row],[net_margin_pct]]</f>
        <v>-2.1911138161900823E-4</v>
      </c>
      <c r="M305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05" s="2">
        <f>tbl_raw[[#This Row],[gross_revenue]]*(1-scn_C_price_down)-tbl_raw[[#This Row],[return_loss]]-tbl_raw[[#This Row],[cogs]]-(tbl_raw[[#This Row],[storage_cost]]+tbl_raw[[#This Row],[fulfillment_cost]]+tbl_raw[[#This Row],[freight_cost]])</f>
        <v>2482.1800000000003</v>
      </c>
      <c r="O305" s="42">
        <f>tbl_scenarios[[#This Row],[net_profit_C]]/(tbl_raw[[#This Row],[gross_revenue]]*(1-scn_C_price_down))</f>
        <v>0.53009150996785948</v>
      </c>
      <c r="P305" s="43">
        <f>tbl_scenarios[[#This Row],[net_margin_C]]-tbl_scenarios[[#This Row],[net_margin_pct]]</f>
        <v>-2.3495424501607021E-2</v>
      </c>
      <c r="Q305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0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06" spans="1:18" x14ac:dyDescent="0.35">
      <c r="A306" s="17" t="str">
        <f>tbl_raw[[#This Row],[product_id]]</f>
        <v>2cfd372900c7c65e4c4ed2ccf7a1cfd4</v>
      </c>
      <c r="B306" t="str">
        <f>tbl_raw[[#This Row],[category]]</f>
        <v>watches_gifts</v>
      </c>
      <c r="C306" s="2">
        <f>tbl_profitability[[#This Row],[net_profit]]</f>
        <v>2618.94</v>
      </c>
      <c r="D306" s="42">
        <f>tbl_profitability[[#This Row],[net_margin_pct]]</f>
        <v>0.53237521217233985</v>
      </c>
      <c r="E306" s="49" t="str">
        <f>tbl_profitability[[#This Row],[decision]]</f>
        <v>SCALE</v>
      </c>
      <c r="F306" s="2">
        <f>tbl_raw[[#This Row],[gross_revenue]]-tbl_raw[[#This Row],[return_loss]]-tbl_raw[[#This Row],[cogs]]*(1+scn_A_cogs_up)-(tbl_raw[[#This Row],[storage_cost]]+tbl_raw[[#This Row],[fulfillment_cost]]+tbl_raw[[#This Row],[freight_cost]])</f>
        <v>2412.3269999999998</v>
      </c>
      <c r="G306" s="42">
        <f>tbl_scenarios[[#This Row],[net_profit_A]]/tbl_raw[[#This Row],[gross_revenue]]</f>
        <v>0.4903751511886732</v>
      </c>
      <c r="H306" s="43">
        <f>tbl_scenarios[[#This Row],[net_margin_A]]-tbl_scenarios[[#This Row],[net_margin_pct]]</f>
        <v>-4.2000060983666654E-2</v>
      </c>
      <c r="I30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06" s="2">
        <f>tbl_raw[[#This Row],[gross_revenue]]-tbl_raw[[#This Row],[return_loss]]*(1+scn_B_returns_up/0.05)-tbl_raw[[#This Row],[cogs]]-(tbl_raw[[#This Row],[storage_cost]]+tbl_raw[[#This Row],[fulfillment_cost]]+tbl_raw[[#This Row],[freight_cost]])</f>
        <v>2616.06</v>
      </c>
      <c r="K306" s="42">
        <f>tbl_scenarios[[#This Row],[net_profit_B]]/tbl_raw[[#This Row],[gross_revenue]]</f>
        <v>0.53178976897354324</v>
      </c>
      <c r="L306" s="43">
        <f>tbl_scenarios[[#This Row],[net_margin_B]]-tbl_scenarios[[#This Row],[net_margin_pct]]</f>
        <v>-5.8544319879660911E-4</v>
      </c>
      <c r="M30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06" s="2">
        <f>tbl_raw[[#This Row],[gross_revenue]]*(1-scn_C_price_down)-tbl_raw[[#This Row],[return_loss]]-tbl_raw[[#This Row],[cogs]]-(tbl_raw[[#This Row],[storage_cost]]+tbl_raw[[#This Row],[fulfillment_cost]]+tbl_raw[[#This Row],[freight_cost]])</f>
        <v>2372.9724999999994</v>
      </c>
      <c r="O306" s="42">
        <f>tbl_scenarios[[#This Row],[net_profit_C]]/(tbl_raw[[#This Row],[gross_revenue]]*(1-scn_C_price_down))</f>
        <v>0.50776338123404186</v>
      </c>
      <c r="P306" s="43">
        <f>tbl_scenarios[[#This Row],[net_margin_C]]-tbl_scenarios[[#This Row],[net_margin_pct]]</f>
        <v>-2.4611830938297996E-2</v>
      </c>
      <c r="Q30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0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07" spans="1:18" x14ac:dyDescent="0.35">
      <c r="A307" s="17" t="str">
        <f>tbl_raw[[#This Row],[product_id]]</f>
        <v>1015bdc42b2ec0548e728cdc0ad72380</v>
      </c>
      <c r="B307" t="str">
        <f>tbl_raw[[#This Row],[category]]</f>
        <v>cool_stuff</v>
      </c>
      <c r="C307" s="2">
        <f>tbl_profitability[[#This Row],[net_profit]]</f>
        <v>2488.4800000000005</v>
      </c>
      <c r="D307" s="42">
        <f>tbl_profitability[[#This Row],[net_margin_pct]]</f>
        <v>0.50599430662871092</v>
      </c>
      <c r="E307" s="49" t="str">
        <f>tbl_profitability[[#This Row],[decision]]</f>
        <v>OPTIMIZE</v>
      </c>
      <c r="F307" s="2">
        <f>tbl_raw[[#This Row],[gross_revenue]]-tbl_raw[[#This Row],[return_loss]]-tbl_raw[[#This Row],[cogs]]*(1+scn_A_cogs_up)-(tbl_raw[[#This Row],[storage_cost]]+tbl_raw[[#This Row],[fulfillment_cost]]+tbl_raw[[#This Row],[freight_cost]])</f>
        <v>2267.17</v>
      </c>
      <c r="G307" s="42">
        <f>tbl_scenarios[[#This Row],[net_profit_A]]/tbl_raw[[#This Row],[gross_revenue]]</f>
        <v>0.46099430662871088</v>
      </c>
      <c r="H307" s="43">
        <f>tbl_scenarios[[#This Row],[net_margin_A]]-tbl_scenarios[[#This Row],[net_margin_pct]]</f>
        <v>-4.500000000000004E-2</v>
      </c>
      <c r="I30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07" s="2">
        <f>tbl_raw[[#This Row],[gross_revenue]]-tbl_raw[[#This Row],[return_loss]]*(1+scn_B_returns_up/0.05)-tbl_raw[[#This Row],[cogs]]-(tbl_raw[[#This Row],[storage_cost]]+tbl_raw[[#This Row],[fulfillment_cost]]+tbl_raw[[#This Row],[freight_cost]])</f>
        <v>2486.3200000000006</v>
      </c>
      <c r="K307" s="42">
        <f>tbl_scenarios[[#This Row],[net_profit_B]]/tbl_raw[[#This Row],[gross_revenue]]</f>
        <v>0.50555510370069145</v>
      </c>
      <c r="L307" s="43">
        <f>tbl_scenarios[[#This Row],[net_margin_B]]-tbl_scenarios[[#This Row],[net_margin_pct]]</f>
        <v>-4.3920292801946648E-4</v>
      </c>
      <c r="M30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07" s="2">
        <f>tbl_raw[[#This Row],[gross_revenue]]*(1-scn_C_price_down)-tbl_raw[[#This Row],[return_loss]]-tbl_raw[[#This Row],[cogs]]-(tbl_raw[[#This Row],[storage_cost]]+tbl_raw[[#This Row],[fulfillment_cost]]+tbl_raw[[#This Row],[freight_cost]])</f>
        <v>2242.58</v>
      </c>
      <c r="O307" s="42">
        <f>tbl_scenarios[[#This Row],[net_profit_C]]/(tbl_raw[[#This Row],[gross_revenue]]*(1-scn_C_price_down))</f>
        <v>0.47999400697759043</v>
      </c>
      <c r="P307" s="43">
        <f>tbl_scenarios[[#This Row],[net_margin_C]]-tbl_scenarios[[#This Row],[net_margin_pct]]</f>
        <v>-2.6000299651120495E-2</v>
      </c>
      <c r="Q30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0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08" spans="1:18" x14ac:dyDescent="0.35">
      <c r="A308" s="17" t="str">
        <f>tbl_raw[[#This Row],[product_id]]</f>
        <v>bce474cc95b6e77657e10939b0b4248c</v>
      </c>
      <c r="B308" t="str">
        <f>tbl_raw[[#This Row],[category]]</f>
        <v>watches_gifts</v>
      </c>
      <c r="C308" s="2">
        <f>tbl_profitability[[#This Row],[net_profit]]</f>
        <v>2232.21</v>
      </c>
      <c r="D308" s="42">
        <f>tbl_profitability[[#This Row],[net_margin_pct]]</f>
        <v>0.45849491430731054</v>
      </c>
      <c r="E308" s="49" t="str">
        <f>tbl_profitability[[#This Row],[decision]]</f>
        <v>SCALE</v>
      </c>
      <c r="F308" s="2">
        <f>tbl_raw[[#This Row],[gross_revenue]]-tbl_raw[[#This Row],[return_loss]]-tbl_raw[[#This Row],[cogs]]*(1+scn_A_cogs_up)-(tbl_raw[[#This Row],[storage_cost]]+tbl_raw[[#This Row],[fulfillment_cost]]+tbl_raw[[#This Row],[freight_cost]])</f>
        <v>2027.7300000000002</v>
      </c>
      <c r="G308" s="42">
        <f>tbl_scenarios[[#This Row],[net_profit_A]]/tbl_raw[[#This Row],[gross_revenue]]</f>
        <v>0.41649481571552988</v>
      </c>
      <c r="H308" s="43">
        <f>tbl_scenarios[[#This Row],[net_margin_A]]-tbl_scenarios[[#This Row],[net_margin_pct]]</f>
        <v>-4.2000098591780666E-2</v>
      </c>
      <c r="I30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08" s="2">
        <f>tbl_raw[[#This Row],[gross_revenue]]-tbl_raw[[#This Row],[return_loss]]*(1+scn_B_returns_up/0.05)-tbl_raw[[#This Row],[cogs]]-(tbl_raw[[#This Row],[storage_cost]]+tbl_raw[[#This Row],[fulfillment_cost]]+tbl_raw[[#This Row],[freight_cost]])</f>
        <v>2222.13</v>
      </c>
      <c r="K308" s="42">
        <f>tbl_scenarios[[#This Row],[net_profit_B]]/tbl_raw[[#This Row],[gross_revenue]]</f>
        <v>0.4564244869119411</v>
      </c>
      <c r="L308" s="43">
        <f>tbl_scenarios[[#This Row],[net_margin_B]]-tbl_scenarios[[#This Row],[net_margin_pct]]</f>
        <v>-2.0704273953694452E-3</v>
      </c>
      <c r="M30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08" s="2">
        <f>tbl_raw[[#This Row],[gross_revenue]]*(1-scn_C_price_down)-tbl_raw[[#This Row],[return_loss]]-tbl_raw[[#This Row],[cogs]]-(tbl_raw[[#This Row],[storage_cost]]+tbl_raw[[#This Row],[fulfillment_cost]]+tbl_raw[[#This Row],[freight_cost]])</f>
        <v>1988.7820000000004</v>
      </c>
      <c r="O308" s="42">
        <f>tbl_scenarios[[#This Row],[net_profit_C]]/(tbl_raw[[#This Row],[gross_revenue]]*(1-scn_C_price_down))</f>
        <v>0.42999464663927434</v>
      </c>
      <c r="P308" s="43">
        <f>tbl_scenarios[[#This Row],[net_margin_C]]-tbl_scenarios[[#This Row],[net_margin_pct]]</f>
        <v>-2.8500267668036205E-2</v>
      </c>
      <c r="Q30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0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09" spans="1:18" x14ac:dyDescent="0.35">
      <c r="A309" s="17" t="str">
        <f>tbl_raw[[#This Row],[product_id]]</f>
        <v>dfb97c88e066dc22165f31648efe1312</v>
      </c>
      <c r="B309" t="str">
        <f>tbl_raw[[#This Row],[category]]</f>
        <v>auto</v>
      </c>
      <c r="C309" s="2">
        <f>tbl_profitability[[#This Row],[net_profit]]</f>
        <v>1534.5199999999995</v>
      </c>
      <c r="D309" s="42">
        <f>tbl_profitability[[#This Row],[net_margin_pct]]</f>
        <v>0.31542034943473785</v>
      </c>
      <c r="E309" s="49" t="str">
        <f>tbl_profitability[[#This Row],[decision]]</f>
        <v>SCALE</v>
      </c>
      <c r="F309" s="2">
        <f>tbl_raw[[#This Row],[gross_revenue]]-tbl_raw[[#This Row],[return_loss]]-tbl_raw[[#This Row],[cogs]]*(1+scn_A_cogs_up)-(tbl_raw[[#This Row],[storage_cost]]+tbl_raw[[#This Row],[fulfillment_cost]]+tbl_raw[[#This Row],[freight_cost]])</f>
        <v>1315.5949999999993</v>
      </c>
      <c r="G309" s="42">
        <f>tbl_scenarios[[#This Row],[net_profit_A]]/tbl_raw[[#This Row],[gross_revenue]]</f>
        <v>0.27042034943473781</v>
      </c>
      <c r="H309" s="43">
        <f>tbl_scenarios[[#This Row],[net_margin_A]]-tbl_scenarios[[#This Row],[net_margin_pct]]</f>
        <v>-4.500000000000004E-2</v>
      </c>
      <c r="I30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09" s="2">
        <f>tbl_raw[[#This Row],[gross_revenue]]-tbl_raw[[#This Row],[return_loss]]*(1+scn_B_returns_up/0.05)-tbl_raw[[#This Row],[cogs]]-(tbl_raw[[#This Row],[storage_cost]]+tbl_raw[[#This Row],[fulfillment_cost]]+tbl_raw[[#This Row],[freight_cost]])</f>
        <v>1521.92</v>
      </c>
      <c r="K309" s="42">
        <f>tbl_scenarios[[#This Row],[net_profit_B]]/tbl_raw[[#This Row],[gross_revenue]]</f>
        <v>0.31283042137718398</v>
      </c>
      <c r="L309" s="43">
        <f>tbl_scenarios[[#This Row],[net_margin_B]]-tbl_scenarios[[#This Row],[net_margin_pct]]</f>
        <v>-2.5899280575538697E-3</v>
      </c>
      <c r="M30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09" s="2">
        <f>tbl_raw[[#This Row],[gross_revenue]]*(1-scn_C_price_down)-tbl_raw[[#This Row],[return_loss]]-tbl_raw[[#This Row],[cogs]]-(tbl_raw[[#This Row],[storage_cost]]+tbl_raw[[#This Row],[fulfillment_cost]]+tbl_raw[[#This Row],[freight_cost]])</f>
        <v>1291.2699999999995</v>
      </c>
      <c r="O309" s="42">
        <f>tbl_scenarios[[#This Row],[net_profit_C]]/(tbl_raw[[#This Row],[gross_revenue]]*(1-scn_C_price_down))</f>
        <v>0.27938984151025037</v>
      </c>
      <c r="P309" s="43">
        <f>tbl_scenarios[[#This Row],[net_margin_C]]-tbl_scenarios[[#This Row],[net_margin_pct]]</f>
        <v>-3.6030507924487476E-2</v>
      </c>
      <c r="Q30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0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10" spans="1:18" x14ac:dyDescent="0.35">
      <c r="A310" s="17" t="str">
        <f>tbl_raw[[#This Row],[product_id]]</f>
        <v>b623b7cb05ee3248fbe4a6ecbeed79a4</v>
      </c>
      <c r="B310" t="str">
        <f>tbl_raw[[#This Row],[category]]</f>
        <v>toys</v>
      </c>
      <c r="C310" s="2">
        <f>tbl_profitability[[#This Row],[net_profit]]</f>
        <v>1273.6299999999992</v>
      </c>
      <c r="D310" s="42">
        <f>tbl_profitability[[#This Row],[net_margin_pct]]</f>
        <v>0.26388109055574072</v>
      </c>
      <c r="E310" s="49" t="str">
        <f>tbl_profitability[[#This Row],[decision]]</f>
        <v>OPTIMIZE</v>
      </c>
      <c r="F310" s="2">
        <f>tbl_raw[[#This Row],[gross_revenue]]-tbl_raw[[#This Row],[return_loss]]-tbl_raw[[#This Row],[cogs]]*(1+scn_A_cogs_up)-(tbl_raw[[#This Row],[storage_cost]]+tbl_raw[[#This Row],[fulfillment_cost]]+tbl_raw[[#This Row],[freight_cost]])</f>
        <v>1070.9159999999993</v>
      </c>
      <c r="G310" s="42">
        <f>tbl_scenarios[[#This Row],[net_profit_A]]/tbl_raw[[#This Row],[gross_revenue]]</f>
        <v>0.22188114442466933</v>
      </c>
      <c r="H310" s="43">
        <f>tbl_scenarios[[#This Row],[net_margin_A]]-tbl_scenarios[[#This Row],[net_margin_pct]]</f>
        <v>-4.1999946131071386E-2</v>
      </c>
      <c r="I31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10" s="2">
        <f>tbl_raw[[#This Row],[gross_revenue]]-tbl_raw[[#This Row],[return_loss]]*(1+scn_B_returns_up/0.05)-tbl_raw[[#This Row],[cogs]]-(tbl_raw[[#This Row],[storage_cost]]+tbl_raw[[#This Row],[fulfillment_cost]]+tbl_raw[[#This Row],[freight_cost]])</f>
        <v>1249.869999999999</v>
      </c>
      <c r="K310" s="42">
        <f>tbl_scenarios[[#This Row],[net_profit_B]]/tbl_raw[[#This Row],[gross_revenue]]</f>
        <v>0.25895829923361069</v>
      </c>
      <c r="L310" s="43">
        <f>tbl_scenarios[[#This Row],[net_margin_B]]-tbl_scenarios[[#This Row],[net_margin_pct]]</f>
        <v>-4.9227913221300268E-3</v>
      </c>
      <c r="M310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10" s="2">
        <f>tbl_raw[[#This Row],[gross_revenue]]*(1-scn_C_price_down)-tbl_raw[[#This Row],[return_loss]]-tbl_raw[[#This Row],[cogs]]-(tbl_raw[[#This Row],[storage_cost]]+tbl_raw[[#This Row],[fulfillment_cost]]+tbl_raw[[#This Row],[freight_cost]])</f>
        <v>1032.3034999999991</v>
      </c>
      <c r="O310" s="42">
        <f>tbl_scenarios[[#This Row],[net_profit_C]]/(tbl_raw[[#This Row],[gross_revenue]]*(1-scn_C_price_down))</f>
        <v>0.22513799005867441</v>
      </c>
      <c r="P310" s="43">
        <f>tbl_scenarios[[#This Row],[net_margin_C]]-tbl_scenarios[[#This Row],[net_margin_pct]]</f>
        <v>-3.8743100497066307E-2</v>
      </c>
      <c r="Q310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1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11" spans="1:18" x14ac:dyDescent="0.35">
      <c r="A311" s="17" t="str">
        <f>tbl_raw[[#This Row],[product_id]]</f>
        <v>830345ab5d2e365c7c6b91459119ea2d</v>
      </c>
      <c r="B311" t="str">
        <f>tbl_raw[[#This Row],[category]]</f>
        <v>health_beauty</v>
      </c>
      <c r="C311" s="2">
        <f>tbl_profitability[[#This Row],[net_profit]]</f>
        <v>2273.9100000000008</v>
      </c>
      <c r="D311" s="42">
        <f>tbl_profitability[[#This Row],[net_margin_pct]]</f>
        <v>0.47259308831231461</v>
      </c>
      <c r="E311" s="49" t="str">
        <f>tbl_profitability[[#This Row],[decision]]</f>
        <v>SCALE</v>
      </c>
      <c r="F311" s="2">
        <f>tbl_raw[[#This Row],[gross_revenue]]-tbl_raw[[#This Row],[return_loss]]-tbl_raw[[#This Row],[cogs]]*(1+scn_A_cogs_up)-(tbl_raw[[#This Row],[storage_cost]]+tbl_raw[[#This Row],[fulfillment_cost]]+tbl_raw[[#This Row],[freight_cost]])</f>
        <v>2071.8240000000005</v>
      </c>
      <c r="G311" s="42">
        <f>tbl_scenarios[[#This Row],[net_profit_A]]/tbl_raw[[#This Row],[gross_revenue]]</f>
        <v>0.43059298855256928</v>
      </c>
      <c r="H311" s="43">
        <f>tbl_scenarios[[#This Row],[net_margin_A]]-tbl_scenarios[[#This Row],[net_margin_pct]]</f>
        <v>-4.2000099759745335E-2</v>
      </c>
      <c r="I31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11" s="2">
        <f>tbl_raw[[#This Row],[gross_revenue]]-tbl_raw[[#This Row],[return_loss]]*(1+scn_B_returns_up/0.05)-tbl_raw[[#This Row],[cogs]]-(tbl_raw[[#This Row],[storage_cost]]+tbl_raw[[#This Row],[fulfillment_cost]]+tbl_raw[[#This Row],[freight_cost]])</f>
        <v>2269.9500000000007</v>
      </c>
      <c r="K311" s="42">
        <f>tbl_scenarios[[#This Row],[net_profit_B]]/tbl_raw[[#This Row],[gross_revenue]]</f>
        <v>0.47177007041375363</v>
      </c>
      <c r="L311" s="43">
        <f>tbl_scenarios[[#This Row],[net_margin_B]]-tbl_scenarios[[#This Row],[net_margin_pct]]</f>
        <v>-8.2301789856098484E-4</v>
      </c>
      <c r="M31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11" s="2">
        <f>tbl_raw[[#This Row],[gross_revenue]]*(1-scn_C_price_down)-tbl_raw[[#This Row],[return_loss]]-tbl_raw[[#This Row],[cogs]]-(tbl_raw[[#This Row],[storage_cost]]+tbl_raw[[#This Row],[fulfillment_cost]]+tbl_raw[[#This Row],[freight_cost]])</f>
        <v>2033.3320000000003</v>
      </c>
      <c r="O311" s="42">
        <f>tbl_scenarios[[#This Row],[net_profit_C]]/(tbl_raw[[#This Row],[gross_revenue]]*(1-scn_C_price_down))</f>
        <v>0.44483482980243638</v>
      </c>
      <c r="P311" s="43">
        <f>tbl_scenarios[[#This Row],[net_margin_C]]-tbl_scenarios[[#This Row],[net_margin_pct]]</f>
        <v>-2.7758258509878231E-2</v>
      </c>
      <c r="Q31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1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12" spans="1:18" x14ac:dyDescent="0.35">
      <c r="A312" s="17" t="str">
        <f>tbl_raw[[#This Row],[product_id]]</f>
        <v>9d8a0e115e802d845b4ce1eb794d1260</v>
      </c>
      <c r="B312" t="str">
        <f>tbl_raw[[#This Row],[category]]</f>
        <v>sports_leisure</v>
      </c>
      <c r="C312" s="2">
        <f>tbl_profitability[[#This Row],[net_profit]]</f>
        <v>1893.4100000000003</v>
      </c>
      <c r="D312" s="42">
        <f>tbl_profitability[[#This Row],[net_margin_pct]]</f>
        <v>0.39446041666666676</v>
      </c>
      <c r="E312" s="49" t="str">
        <f>tbl_profitability[[#This Row],[decision]]</f>
        <v>OPTIMIZE</v>
      </c>
      <c r="F312" s="2">
        <f>tbl_raw[[#This Row],[gross_revenue]]-tbl_raw[[#This Row],[return_loss]]-tbl_raw[[#This Row],[cogs]]*(1+scn_A_cogs_up)-(tbl_raw[[#This Row],[storage_cost]]+tbl_raw[[#This Row],[fulfillment_cost]]+tbl_raw[[#This Row],[freight_cost]])</f>
        <v>1691.81</v>
      </c>
      <c r="G312" s="42">
        <f>tbl_scenarios[[#This Row],[net_profit_A]]/tbl_raw[[#This Row],[gross_revenue]]</f>
        <v>0.35246041666666666</v>
      </c>
      <c r="H312" s="43">
        <f>tbl_scenarios[[#This Row],[net_margin_A]]-tbl_scenarios[[#This Row],[net_margin_pct]]</f>
        <v>-4.2000000000000093E-2</v>
      </c>
      <c r="I31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12" s="2">
        <f>tbl_raw[[#This Row],[gross_revenue]]-tbl_raw[[#This Row],[return_loss]]*(1+scn_B_returns_up/0.05)-tbl_raw[[#This Row],[cogs]]-(tbl_raw[[#This Row],[storage_cost]]+tbl_raw[[#This Row],[fulfillment_cost]]+tbl_raw[[#This Row],[freight_cost]])</f>
        <v>1879.0099999999998</v>
      </c>
      <c r="K312" s="42">
        <f>tbl_scenarios[[#This Row],[net_profit_B]]/tbl_raw[[#This Row],[gross_revenue]]</f>
        <v>0.39146041666666664</v>
      </c>
      <c r="L312" s="43">
        <f>tbl_scenarios[[#This Row],[net_margin_B]]-tbl_scenarios[[#This Row],[net_margin_pct]]</f>
        <v>-3.0000000000001137E-3</v>
      </c>
      <c r="M31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12" s="2">
        <f>tbl_raw[[#This Row],[gross_revenue]]*(1-scn_C_price_down)-tbl_raw[[#This Row],[return_loss]]-tbl_raw[[#This Row],[cogs]]-(tbl_raw[[#This Row],[storage_cost]]+tbl_raw[[#This Row],[fulfillment_cost]]+tbl_raw[[#This Row],[freight_cost]])</f>
        <v>1653.4100000000003</v>
      </c>
      <c r="O312" s="42">
        <f>tbl_scenarios[[#This Row],[net_profit_C]]/(tbl_raw[[#This Row],[gross_revenue]]*(1-scn_C_price_down))</f>
        <v>0.36258991228070181</v>
      </c>
      <c r="P312" s="43">
        <f>tbl_scenarios[[#This Row],[net_margin_C]]-tbl_scenarios[[#This Row],[net_margin_pct]]</f>
        <v>-3.1870504385964948E-2</v>
      </c>
      <c r="Q31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1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13" spans="1:18" x14ac:dyDescent="0.35">
      <c r="A313" s="17" t="str">
        <f>tbl_raw[[#This Row],[product_id]]</f>
        <v>e7261ba9b589b73ac45411a15058403e</v>
      </c>
      <c r="B313" t="str">
        <f>tbl_raw[[#This Row],[category]]</f>
        <v>computers_accessories</v>
      </c>
      <c r="C313" s="2">
        <f>tbl_profitability[[#This Row],[net_profit]]</f>
        <v>1950.0000000000002</v>
      </c>
      <c r="D313" s="42">
        <f>tbl_profitability[[#This Row],[net_margin_pct]]</f>
        <v>0.40626100290216199</v>
      </c>
      <c r="E313" s="49" t="str">
        <f>tbl_profitability[[#This Row],[decision]]</f>
        <v>OPTIMIZE</v>
      </c>
      <c r="F313" s="2">
        <f>tbl_raw[[#This Row],[gross_revenue]]-tbl_raw[[#This Row],[return_loss]]-tbl_raw[[#This Row],[cogs]]*(1+scn_A_cogs_up)-(tbl_raw[[#This Row],[storage_cost]]+tbl_raw[[#This Row],[fulfillment_cost]]+tbl_raw[[#This Row],[freight_cost]])</f>
        <v>1676.4069999999999</v>
      </c>
      <c r="G313" s="42">
        <f>tbl_scenarios[[#This Row],[net_profit_A]]/tbl_raw[[#This Row],[gross_revenue]]</f>
        <v>0.34926091748318183</v>
      </c>
      <c r="H313" s="43">
        <f>tbl_scenarios[[#This Row],[net_margin_A]]-tbl_scenarios[[#This Row],[net_margin_pct]]</f>
        <v>-5.7000085418980162E-2</v>
      </c>
      <c r="I31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13" s="2">
        <f>tbl_raw[[#This Row],[gross_revenue]]-tbl_raw[[#This Row],[return_loss]]*(1+scn_B_returns_up/0.05)-tbl_raw[[#This Row],[cogs]]-(tbl_raw[[#This Row],[storage_cost]]+tbl_raw[[#This Row],[fulfillment_cost]]+tbl_raw[[#This Row],[freight_cost]])</f>
        <v>1947.3000000000004</v>
      </c>
      <c r="K313" s="42">
        <f>tbl_scenarios[[#This Row],[net_profit_B]]/tbl_raw[[#This Row],[gross_revenue]]</f>
        <v>0.40569848766737443</v>
      </c>
      <c r="L313" s="43">
        <f>tbl_scenarios[[#This Row],[net_margin_B]]-tbl_scenarios[[#This Row],[net_margin_pct]]</f>
        <v>-5.6251523478756393E-4</v>
      </c>
      <c r="M31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13" s="2">
        <f>tbl_raw[[#This Row],[gross_revenue]]*(1-scn_C_price_down)-tbl_raw[[#This Row],[return_loss]]-tbl_raw[[#This Row],[cogs]]-(tbl_raw[[#This Row],[storage_cost]]+tbl_raw[[#This Row],[fulfillment_cost]]+tbl_raw[[#This Row],[freight_cost]])</f>
        <v>1710.0064999999997</v>
      </c>
      <c r="O313" s="42">
        <f>tbl_scenarios[[#This Row],[net_profit_C]]/(tbl_raw[[#This Row],[gross_revenue]]*(1-scn_C_price_down))</f>
        <v>0.37501158200227569</v>
      </c>
      <c r="P313" s="43">
        <f>tbl_scenarios[[#This Row],[net_margin_C]]-tbl_scenarios[[#This Row],[net_margin_pct]]</f>
        <v>-3.1249420899886304E-2</v>
      </c>
      <c r="Q31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1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14" spans="1:18" x14ac:dyDescent="0.35">
      <c r="A314" s="17" t="str">
        <f>tbl_raw[[#This Row],[product_id]]</f>
        <v>a6492cc69376c469ab6f61d8f44de961</v>
      </c>
      <c r="B314" t="str">
        <f>tbl_raw[[#This Row],[category]]</f>
        <v>small_appliances</v>
      </c>
      <c r="C314" s="2">
        <f>tbl_profitability[[#This Row],[net_profit]]</f>
        <v>1903.1200000000006</v>
      </c>
      <c r="D314" s="42">
        <f>tbl_profitability[[#This Row],[net_margin_pct]]</f>
        <v>0.39656595123984173</v>
      </c>
      <c r="E314" s="49" t="str">
        <f>tbl_profitability[[#This Row],[decision]]</f>
        <v>SCALE</v>
      </c>
      <c r="F314" s="2">
        <f>tbl_raw[[#This Row],[gross_revenue]]-tbl_raw[[#This Row],[return_loss]]-tbl_raw[[#This Row],[cogs]]*(1+scn_A_cogs_up)-(tbl_raw[[#This Row],[storage_cost]]+tbl_raw[[#This Row],[fulfillment_cost]]+tbl_raw[[#This Row],[freight_cost]])</f>
        <v>1629.5770000000005</v>
      </c>
      <c r="G314" s="42">
        <f>tbl_scenarios[[#This Row],[net_profit_A]]/tbl_raw[[#This Row],[gross_revenue]]</f>
        <v>0.33956595123984173</v>
      </c>
      <c r="H314" s="43">
        <f>tbl_scenarios[[#This Row],[net_margin_A]]-tbl_scenarios[[#This Row],[net_margin_pct]]</f>
        <v>-5.6999999999999995E-2</v>
      </c>
      <c r="I31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14" s="2">
        <f>tbl_raw[[#This Row],[gross_revenue]]-tbl_raw[[#This Row],[return_loss]]*(1+scn_B_returns_up/0.05)-tbl_raw[[#This Row],[cogs]]-(tbl_raw[[#This Row],[storage_cost]]+tbl_raw[[#This Row],[fulfillment_cost]]+tbl_raw[[#This Row],[freight_cost]])</f>
        <v>1902.76</v>
      </c>
      <c r="K314" s="42">
        <f>tbl_scenarios[[#This Row],[net_profit_B]]/tbl_raw[[#This Row],[gross_revenue]]</f>
        <v>0.39649093561158577</v>
      </c>
      <c r="L314" s="43">
        <f>tbl_scenarios[[#This Row],[net_margin_B]]-tbl_scenarios[[#This Row],[net_margin_pct]]</f>
        <v>-7.5015628255958866E-5</v>
      </c>
      <c r="M31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14" s="2">
        <f>tbl_raw[[#This Row],[gross_revenue]]*(1-scn_C_price_down)-tbl_raw[[#This Row],[return_loss]]-tbl_raw[[#This Row],[cogs]]-(tbl_raw[[#This Row],[storage_cost]]+tbl_raw[[#This Row],[fulfillment_cost]]+tbl_raw[[#This Row],[freight_cost]])</f>
        <v>1663.1700000000008</v>
      </c>
      <c r="O314" s="42">
        <f>tbl_scenarios[[#This Row],[net_profit_C]]/(tbl_raw[[#This Row],[gross_revenue]]*(1-scn_C_price_down))</f>
        <v>0.36480626446299136</v>
      </c>
      <c r="P314" s="43">
        <f>tbl_scenarios[[#This Row],[net_margin_C]]-tbl_scenarios[[#This Row],[net_margin_pct]]</f>
        <v>-3.1759686776850371E-2</v>
      </c>
      <c r="Q31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1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15" spans="1:18" x14ac:dyDescent="0.35">
      <c r="A315" s="17" t="str">
        <f>tbl_raw[[#This Row],[product_id]]</f>
        <v>038e3a669bb495e56d9d609d874fb668</v>
      </c>
      <c r="B315" t="str">
        <f>tbl_raw[[#This Row],[category]]</f>
        <v>sports_leisure</v>
      </c>
      <c r="C315" s="2">
        <f>tbl_profitability[[#This Row],[net_profit]]</f>
        <v>2454.2400000000002</v>
      </c>
      <c r="D315" s="42">
        <f>tbl_profitability[[#This Row],[net_margin_pct]]</f>
        <v>0.51161976235146966</v>
      </c>
      <c r="E315" s="49" t="str">
        <f>tbl_profitability[[#This Row],[decision]]</f>
        <v>EXIT</v>
      </c>
      <c r="F315" s="2">
        <f>tbl_raw[[#This Row],[gross_revenue]]-tbl_raw[[#This Row],[return_loss]]-tbl_raw[[#This Row],[cogs]]*(1+scn_A_cogs_up)-(tbl_raw[[#This Row],[storage_cost]]+tbl_raw[[#This Row],[fulfillment_cost]]+tbl_raw[[#This Row],[freight_cost]])</f>
        <v>2252.7659999999996</v>
      </c>
      <c r="G315" s="42">
        <f>tbl_scenarios[[#This Row],[net_profit_A]]/tbl_raw[[#This Row],[gross_revenue]]</f>
        <v>0.46961976235146957</v>
      </c>
      <c r="H315" s="43">
        <f>tbl_scenarios[[#This Row],[net_margin_A]]-tbl_scenarios[[#This Row],[net_margin_pct]]</f>
        <v>-4.2000000000000093E-2</v>
      </c>
      <c r="I315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15" s="2">
        <f>tbl_raw[[#This Row],[gross_revenue]]-tbl_raw[[#This Row],[return_loss]]*(1+scn_B_returns_up/0.05)-tbl_raw[[#This Row],[cogs]]-(tbl_raw[[#This Row],[storage_cost]]+tbl_raw[[#This Row],[fulfillment_cost]]+tbl_raw[[#This Row],[freight_cost]])</f>
        <v>2453.1600000000003</v>
      </c>
      <c r="K315" s="42">
        <f>tbl_scenarios[[#This Row],[net_profit_B]]/tbl_raw[[#This Row],[gross_revenue]]</f>
        <v>0.51139462163852412</v>
      </c>
      <c r="L315" s="43">
        <f>tbl_scenarios[[#This Row],[net_margin_B]]-tbl_scenarios[[#This Row],[net_margin_pct]]</f>
        <v>-2.2514071294554849E-4</v>
      </c>
      <c r="M315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15" s="2">
        <f>tbl_raw[[#This Row],[gross_revenue]]*(1-scn_C_price_down)-tbl_raw[[#This Row],[return_loss]]-tbl_raw[[#This Row],[cogs]]-(tbl_raw[[#This Row],[storage_cost]]+tbl_raw[[#This Row],[fulfillment_cost]]+tbl_raw[[#This Row],[freight_cost]])</f>
        <v>2214.39</v>
      </c>
      <c r="O315" s="42">
        <f>tbl_scenarios[[#This Row],[net_profit_C]]/(tbl_raw[[#This Row],[gross_revenue]]*(1-scn_C_price_down))</f>
        <v>0.4859155393173365</v>
      </c>
      <c r="P315" s="43">
        <f>tbl_scenarios[[#This Row],[net_margin_C]]-tbl_scenarios[[#This Row],[net_margin_pct]]</f>
        <v>-2.5704223034133167E-2</v>
      </c>
      <c r="Q315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1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16" spans="1:18" x14ac:dyDescent="0.35">
      <c r="A316" s="17" t="str">
        <f>tbl_raw[[#This Row],[product_id]]</f>
        <v>e74384c9363e768848854356a37c73f4</v>
      </c>
      <c r="B316" t="str">
        <f>tbl_raw[[#This Row],[category]]</f>
        <v>consoles_games</v>
      </c>
      <c r="C316" s="2">
        <f>tbl_profitability[[#This Row],[net_profit]]</f>
        <v>1963.42</v>
      </c>
      <c r="D316" s="42">
        <f>tbl_profitability[[#This Row],[net_margin_pct]]</f>
        <v>0.40930164686262249</v>
      </c>
      <c r="E316" s="49" t="str">
        <f>tbl_profitability[[#This Row],[decision]]</f>
        <v>EXIT</v>
      </c>
      <c r="F316" s="2">
        <f>tbl_raw[[#This Row],[gross_revenue]]-tbl_raw[[#This Row],[return_loss]]-tbl_raw[[#This Row],[cogs]]*(1+scn_A_cogs_up)-(tbl_raw[[#This Row],[storage_cost]]+tbl_raw[[#This Row],[fulfillment_cost]]+tbl_raw[[#This Row],[freight_cost]])</f>
        <v>1689.991</v>
      </c>
      <c r="G316" s="42">
        <f>tbl_scenarios[[#This Row],[net_profit_A]]/tbl_raw[[#This Row],[gross_revenue]]</f>
        <v>0.35230164686262244</v>
      </c>
      <c r="H316" s="43">
        <f>tbl_scenarios[[#This Row],[net_margin_A]]-tbl_scenarios[[#This Row],[net_margin_pct]]</f>
        <v>-5.7000000000000051E-2</v>
      </c>
      <c r="I316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16" s="2">
        <f>tbl_raw[[#This Row],[gross_revenue]]-tbl_raw[[#This Row],[return_loss]]*(1+scn_B_returns_up/0.05)-tbl_raw[[#This Row],[cogs]]-(tbl_raw[[#This Row],[storage_cost]]+tbl_raw[[#This Row],[fulfillment_cost]]+tbl_raw[[#This Row],[freight_cost]])</f>
        <v>1962.3400000000001</v>
      </c>
      <c r="K316" s="42">
        <f>tbl_scenarios[[#This Row],[net_profit_B]]/tbl_raw[[#This Row],[gross_revenue]]</f>
        <v>0.40907650614967689</v>
      </c>
      <c r="L316" s="43">
        <f>tbl_scenarios[[#This Row],[net_margin_B]]-tbl_scenarios[[#This Row],[net_margin_pct]]</f>
        <v>-2.25140712945604E-4</v>
      </c>
      <c r="M316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16" s="2">
        <f>tbl_raw[[#This Row],[gross_revenue]]*(1-scn_C_price_down)-tbl_raw[[#This Row],[return_loss]]-tbl_raw[[#This Row],[cogs]]-(tbl_raw[[#This Row],[storage_cost]]+tbl_raw[[#This Row],[fulfillment_cost]]+tbl_raw[[#This Row],[freight_cost]])</f>
        <v>1723.5699999999997</v>
      </c>
      <c r="O316" s="42">
        <f>tbl_scenarios[[#This Row],[net_profit_C]]/(tbl_raw[[#This Row],[gross_revenue]]*(1-scn_C_price_down))</f>
        <v>0.37821225985539203</v>
      </c>
      <c r="P316" s="43">
        <f>tbl_scenarios[[#This Row],[net_margin_C]]-tbl_scenarios[[#This Row],[net_margin_pct]]</f>
        <v>-3.1089387007230462E-2</v>
      </c>
      <c r="Q316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1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17" spans="1:18" x14ac:dyDescent="0.35">
      <c r="A317" s="17" t="str">
        <f>tbl_raw[[#This Row],[product_id]]</f>
        <v>f1fe595ee7ef768b41bd9b246d13432d</v>
      </c>
      <c r="B317" t="str">
        <f>tbl_raw[[#This Row],[category]]</f>
        <v>garden_tools</v>
      </c>
      <c r="C317" s="2">
        <f>tbl_profitability[[#This Row],[net_profit]]</f>
        <v>871.76</v>
      </c>
      <c r="D317" s="42">
        <f>tbl_profitability[[#This Row],[net_margin_pct]]</f>
        <v>0.18179846513179848</v>
      </c>
      <c r="E317" s="49" t="str">
        <f>tbl_profitability[[#This Row],[decision]]</f>
        <v>OPTIMIZE</v>
      </c>
      <c r="F317" s="2">
        <f>tbl_raw[[#This Row],[gross_revenue]]-tbl_raw[[#This Row],[return_loss]]-tbl_raw[[#This Row],[cogs]]*(1+scn_A_cogs_up)-(tbl_raw[[#This Row],[storage_cost]]+tbl_raw[[#This Row],[fulfillment_cost]]+tbl_raw[[#This Row],[freight_cost]])</f>
        <v>655.97599999999989</v>
      </c>
      <c r="G317" s="42">
        <f>tbl_scenarios[[#This Row],[net_profit_A]]/tbl_raw[[#This Row],[gross_revenue]]</f>
        <v>0.13679846513179844</v>
      </c>
      <c r="H317" s="43">
        <f>tbl_scenarios[[#This Row],[net_margin_A]]-tbl_scenarios[[#This Row],[net_margin_pct]]</f>
        <v>-4.500000000000004E-2</v>
      </c>
      <c r="I31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17" s="2">
        <f>tbl_raw[[#This Row],[gross_revenue]]-tbl_raw[[#This Row],[return_loss]]*(1+scn_B_returns_up/0.05)-tbl_raw[[#This Row],[cogs]]-(tbl_raw[[#This Row],[storage_cost]]+tbl_raw[[#This Row],[fulfillment_cost]]+tbl_raw[[#This Row],[freight_cost]])</f>
        <v>854.47999999999934</v>
      </c>
      <c r="K317" s="42">
        <f>tbl_scenarios[[#This Row],[net_profit_B]]/tbl_raw[[#This Row],[gross_revenue]]</f>
        <v>0.17819486152819472</v>
      </c>
      <c r="L317" s="43">
        <f>tbl_scenarios[[#This Row],[net_margin_B]]-tbl_scenarios[[#This Row],[net_margin_pct]]</f>
        <v>-3.6036036036037611E-3</v>
      </c>
      <c r="M31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17" s="2">
        <f>tbl_raw[[#This Row],[gross_revenue]]*(1-scn_C_price_down)-tbl_raw[[#This Row],[return_loss]]-tbl_raw[[#This Row],[cogs]]-(tbl_raw[[#This Row],[storage_cost]]+tbl_raw[[#This Row],[fulfillment_cost]]+tbl_raw[[#This Row],[freight_cost]])</f>
        <v>631.99999999999977</v>
      </c>
      <c r="O317" s="42">
        <f>tbl_scenarios[[#This Row],[net_profit_C]]/(tbl_raw[[#This Row],[gross_revenue]]*(1-scn_C_price_down))</f>
        <v>0.13873522645452466</v>
      </c>
      <c r="P317" s="43">
        <f>tbl_scenarios[[#This Row],[net_margin_C]]-tbl_scenarios[[#This Row],[net_margin_pct]]</f>
        <v>-4.3063238677273824E-2</v>
      </c>
      <c r="Q31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1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18" spans="1:18" x14ac:dyDescent="0.35">
      <c r="A318" s="17" t="str">
        <f>tbl_raw[[#This Row],[product_id]]</f>
        <v>1e5428c428e0f783acd6e3d94ba4ee2a</v>
      </c>
      <c r="B318" t="str">
        <f>tbl_raw[[#This Row],[category]]</f>
        <v>computers</v>
      </c>
      <c r="C318" s="2">
        <f>tbl_profitability[[#This Row],[net_profit]]</f>
        <v>1567.41</v>
      </c>
      <c r="D318" s="42">
        <f>tbl_profitability[[#This Row],[net_margin_pct]]</f>
        <v>0.32708889816360603</v>
      </c>
      <c r="E318" s="49" t="str">
        <f>tbl_profitability[[#This Row],[decision]]</f>
        <v>SCALE</v>
      </c>
      <c r="F318" s="2">
        <f>tbl_raw[[#This Row],[gross_revenue]]-tbl_raw[[#This Row],[return_loss]]-tbl_raw[[#This Row],[cogs]]*(1+scn_A_cogs_up)-(tbl_raw[[#This Row],[storage_cost]]+tbl_raw[[#This Row],[fulfillment_cost]]+tbl_raw[[#This Row],[freight_cost]])</f>
        <v>1294.2659999999998</v>
      </c>
      <c r="G318" s="42">
        <f>tbl_scenarios[[#This Row],[net_profit_A]]/tbl_raw[[#This Row],[gross_revenue]]</f>
        <v>0.27008889816360598</v>
      </c>
      <c r="H318" s="43">
        <f>tbl_scenarios[[#This Row],[net_margin_A]]-tbl_scenarios[[#This Row],[net_margin_pct]]</f>
        <v>-5.7000000000000051E-2</v>
      </c>
      <c r="I31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18" s="2">
        <f>tbl_raw[[#This Row],[gross_revenue]]-tbl_raw[[#This Row],[return_loss]]*(1+scn_B_returns_up/0.05)-tbl_raw[[#This Row],[cogs]]-(tbl_raw[[#This Row],[storage_cost]]+tbl_raw[[#This Row],[fulfillment_cost]]+tbl_raw[[#This Row],[freight_cost]])</f>
        <v>1560.2100000000003</v>
      </c>
      <c r="K318" s="42">
        <f>tbl_scenarios[[#This Row],[net_profit_B]]/tbl_raw[[#This Row],[gross_revenue]]</f>
        <v>0.32558639398998335</v>
      </c>
      <c r="L318" s="43">
        <f>tbl_scenarios[[#This Row],[net_margin_B]]-tbl_scenarios[[#This Row],[net_margin_pct]]</f>
        <v>-1.5025041736226874E-3</v>
      </c>
      <c r="M31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18" s="2">
        <f>tbl_raw[[#This Row],[gross_revenue]]*(1-scn_C_price_down)-tbl_raw[[#This Row],[return_loss]]-tbl_raw[[#This Row],[cogs]]-(tbl_raw[[#This Row],[storage_cost]]+tbl_raw[[#This Row],[fulfillment_cost]]+tbl_raw[[#This Row],[freight_cost]])</f>
        <v>1327.8099999999997</v>
      </c>
      <c r="O318" s="42">
        <f>tbl_scenarios[[#This Row],[net_profit_C]]/(tbl_raw[[#This Row],[gross_revenue]]*(1-scn_C_price_down))</f>
        <v>0.2916725243827431</v>
      </c>
      <c r="P318" s="43">
        <f>tbl_scenarios[[#This Row],[net_margin_C]]-tbl_scenarios[[#This Row],[net_margin_pct]]</f>
        <v>-3.5416373780862931E-2</v>
      </c>
      <c r="Q31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1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19" spans="1:18" x14ac:dyDescent="0.35">
      <c r="A319" s="17" t="str">
        <f>tbl_raw[[#This Row],[product_id]]</f>
        <v>473795a355d29305c3ea6b156833adf5</v>
      </c>
      <c r="B319" t="str">
        <f>tbl_raw[[#This Row],[category]]</f>
        <v>perfumery</v>
      </c>
      <c r="C319" s="2">
        <f>tbl_profitability[[#This Row],[net_profit]]</f>
        <v>1095.8199999999995</v>
      </c>
      <c r="D319" s="42">
        <f>tbl_profitability[[#This Row],[net_margin_pct]]</f>
        <v>0.22880110243454285</v>
      </c>
      <c r="E319" s="49" t="str">
        <f>tbl_profitability[[#This Row],[decision]]</f>
        <v>OPTIMIZE</v>
      </c>
      <c r="F319" s="2">
        <f>tbl_raw[[#This Row],[gross_revenue]]-tbl_raw[[#This Row],[return_loss]]-tbl_raw[[#This Row],[cogs]]*(1+scn_A_cogs_up)-(tbl_raw[[#This Row],[storage_cost]]+tbl_raw[[#This Row],[fulfillment_cost]]+tbl_raw[[#This Row],[freight_cost]])</f>
        <v>894.66499999999974</v>
      </c>
      <c r="G319" s="42">
        <f>tbl_scenarios[[#This Row],[net_profit_A]]/tbl_raw[[#This Row],[gross_revenue]]</f>
        <v>0.18680106067565871</v>
      </c>
      <c r="H319" s="43">
        <f>tbl_scenarios[[#This Row],[net_margin_A]]-tbl_scenarios[[#This Row],[net_margin_pct]]</f>
        <v>-4.2000041758884138E-2</v>
      </c>
      <c r="I319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19" s="2">
        <f>tbl_raw[[#This Row],[gross_revenue]]-tbl_raw[[#This Row],[return_loss]]*(1+scn_B_returns_up/0.05)-tbl_raw[[#This Row],[cogs]]-(tbl_raw[[#This Row],[storage_cost]]+tbl_raw[[#This Row],[fulfillment_cost]]+tbl_raw[[#This Row],[freight_cost]])</f>
        <v>1064.8599999999994</v>
      </c>
      <c r="K319" s="42">
        <f>tbl_scenarios[[#This Row],[net_profit_B]]/tbl_raw[[#This Row],[gross_revenue]]</f>
        <v>0.22233682715997818</v>
      </c>
      <c r="L319" s="43">
        <f>tbl_scenarios[[#This Row],[net_margin_B]]-tbl_scenarios[[#This Row],[net_margin_pct]]</f>
        <v>-6.4642752745646681E-3</v>
      </c>
      <c r="M319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19" s="2">
        <f>tbl_raw[[#This Row],[gross_revenue]]*(1-scn_C_price_down)-tbl_raw[[#This Row],[return_loss]]-tbl_raw[[#This Row],[cogs]]-(tbl_raw[[#This Row],[storage_cost]]+tbl_raw[[#This Row],[fulfillment_cost]]+tbl_raw[[#This Row],[freight_cost]])</f>
        <v>856.34999999999923</v>
      </c>
      <c r="O319" s="42">
        <f>tbl_scenarios[[#This Row],[net_profit_C]]/(tbl_raw[[#This Row],[gross_revenue]]*(1-scn_C_price_down))</f>
        <v>0.18821168677320296</v>
      </c>
      <c r="P319" s="43">
        <f>tbl_scenarios[[#This Row],[net_margin_C]]-tbl_scenarios[[#This Row],[net_margin_pct]]</f>
        <v>-4.0589415661339889E-2</v>
      </c>
      <c r="Q319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1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20" spans="1:18" x14ac:dyDescent="0.35">
      <c r="A320" s="17" t="str">
        <f>tbl_raw[[#This Row],[product_id]]</f>
        <v>ecf9484703bdfb9cfcc1ac9c2084b567</v>
      </c>
      <c r="B320" t="str">
        <f>tbl_raw[[#This Row],[category]]</f>
        <v>housewares</v>
      </c>
      <c r="C320" s="2">
        <f>tbl_profitability[[#This Row],[net_profit]]</f>
        <v>1528.2000000000003</v>
      </c>
      <c r="D320" s="42">
        <f>tbl_profitability[[#This Row],[net_margin_pct]]</f>
        <v>0.32037735849056609</v>
      </c>
      <c r="E320" s="49" t="str">
        <f>tbl_profitability[[#This Row],[decision]]</f>
        <v>OPTIMIZE</v>
      </c>
      <c r="F320" s="2">
        <f>tbl_raw[[#This Row],[gross_revenue]]-tbl_raw[[#This Row],[return_loss]]-tbl_raw[[#This Row],[cogs]]*(1+scn_A_cogs_up)-(tbl_raw[[#This Row],[storage_cost]]+tbl_raw[[#This Row],[fulfillment_cost]]+tbl_raw[[#This Row],[freight_cost]])</f>
        <v>1313.5500000000002</v>
      </c>
      <c r="G320" s="42">
        <f>tbl_scenarios[[#This Row],[net_profit_A]]/tbl_raw[[#This Row],[gross_revenue]]</f>
        <v>0.27537735849056605</v>
      </c>
      <c r="H320" s="43">
        <f>tbl_scenarios[[#This Row],[net_margin_A]]-tbl_scenarios[[#This Row],[net_margin_pct]]</f>
        <v>-4.500000000000004E-2</v>
      </c>
      <c r="I32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20" s="2">
        <f>tbl_raw[[#This Row],[gross_revenue]]-tbl_raw[[#This Row],[return_loss]]*(1+scn_B_returns_up/0.05)-tbl_raw[[#This Row],[cogs]]-(tbl_raw[[#This Row],[storage_cost]]+tbl_raw[[#This Row],[fulfillment_cost]]+tbl_raw[[#This Row],[freight_cost]])</f>
        <v>1521.7199999999998</v>
      </c>
      <c r="K320" s="42">
        <f>tbl_scenarios[[#This Row],[net_profit_B]]/tbl_raw[[#This Row],[gross_revenue]]</f>
        <v>0.31901886792452827</v>
      </c>
      <c r="L320" s="43">
        <f>tbl_scenarios[[#This Row],[net_margin_B]]-tbl_scenarios[[#This Row],[net_margin_pct]]</f>
        <v>-1.3584905660378177E-3</v>
      </c>
      <c r="M320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20" s="2">
        <f>tbl_raw[[#This Row],[gross_revenue]]*(1-scn_C_price_down)-tbl_raw[[#This Row],[return_loss]]-tbl_raw[[#This Row],[cogs]]-(tbl_raw[[#This Row],[storage_cost]]+tbl_raw[[#This Row],[fulfillment_cost]]+tbl_raw[[#This Row],[freight_cost]])</f>
        <v>1289.7000000000003</v>
      </c>
      <c r="O320" s="42">
        <f>tbl_scenarios[[#This Row],[net_profit_C]]/(tbl_raw[[#This Row],[gross_revenue]]*(1-scn_C_price_down))</f>
        <v>0.28460774577954323</v>
      </c>
      <c r="P320" s="43">
        <f>tbl_scenarios[[#This Row],[net_margin_C]]-tbl_scenarios[[#This Row],[net_margin_pct]]</f>
        <v>-3.5769612711022858E-2</v>
      </c>
      <c r="Q320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2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21" spans="1:18" x14ac:dyDescent="0.35">
      <c r="A321" s="17" t="str">
        <f>tbl_raw[[#This Row],[product_id]]</f>
        <v>93a12c289ca2b78e7069e469f5053ef2</v>
      </c>
      <c r="B321" t="str">
        <f>tbl_raw[[#This Row],[category]]</f>
        <v>computers_accessories</v>
      </c>
      <c r="C321" s="2">
        <f>tbl_profitability[[#This Row],[net_profit]]</f>
        <v>1013.0800000000002</v>
      </c>
      <c r="D321" s="42">
        <f>tbl_profitability[[#This Row],[net_margin_pct]]</f>
        <v>0.21267555368951405</v>
      </c>
      <c r="E321" s="49" t="str">
        <f>tbl_profitability[[#This Row],[decision]]</f>
        <v>OPTIMIZE</v>
      </c>
      <c r="F321" s="2">
        <f>tbl_raw[[#This Row],[gross_revenue]]-tbl_raw[[#This Row],[return_loss]]-tbl_raw[[#This Row],[cogs]]*(1+scn_A_cogs_up)-(tbl_raw[[#This Row],[storage_cost]]+tbl_raw[[#This Row],[fulfillment_cost]]+tbl_raw[[#This Row],[freight_cost]])</f>
        <v>741.55999999999972</v>
      </c>
      <c r="G321" s="42">
        <f>tbl_scenarios[[#This Row],[net_profit_A]]/tbl_raw[[#This Row],[gross_revenue]]</f>
        <v>0.15567544872467717</v>
      </c>
      <c r="H321" s="43">
        <f>tbl_scenarios[[#This Row],[net_margin_A]]-tbl_scenarios[[#This Row],[net_margin_pct]]</f>
        <v>-5.7000104964836873E-2</v>
      </c>
      <c r="I32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21" s="2">
        <f>tbl_raw[[#This Row],[gross_revenue]]-tbl_raw[[#This Row],[return_loss]]*(1+scn_B_returns_up/0.05)-tbl_raw[[#This Row],[cogs]]-(tbl_raw[[#This Row],[storage_cost]]+tbl_raw[[#This Row],[fulfillment_cost]]+tbl_raw[[#This Row],[freight_cost]])</f>
        <v>981.58000000000015</v>
      </c>
      <c r="K321" s="42">
        <f>tbl_scenarios[[#This Row],[net_profit_B]]/tbl_raw[[#This Row],[gross_revenue]]</f>
        <v>0.20606276897239428</v>
      </c>
      <c r="L321" s="43">
        <f>tbl_scenarios[[#This Row],[net_margin_B]]-tbl_scenarios[[#This Row],[net_margin_pct]]</f>
        <v>-6.6127847171197629E-3</v>
      </c>
      <c r="M32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21" s="2">
        <f>tbl_raw[[#This Row],[gross_revenue]]*(1-scn_C_price_down)-tbl_raw[[#This Row],[return_loss]]-tbl_raw[[#This Row],[cogs]]-(tbl_raw[[#This Row],[storage_cost]]+tbl_raw[[#This Row],[fulfillment_cost]]+tbl_raw[[#This Row],[freight_cost]])</f>
        <v>774.90499999999997</v>
      </c>
      <c r="O321" s="42">
        <f>tbl_scenarios[[#This Row],[net_profit_C]]/(tbl_raw[[#This Row],[gross_revenue]]*(1-scn_C_price_down))</f>
        <v>0.17123742493633054</v>
      </c>
      <c r="P321" s="43">
        <f>tbl_scenarios[[#This Row],[net_margin_C]]-tbl_scenarios[[#This Row],[net_margin_pct]]</f>
        <v>-4.1438128753183506E-2</v>
      </c>
      <c r="Q32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2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22" spans="1:18" x14ac:dyDescent="0.35">
      <c r="A322" s="17" t="str">
        <f>tbl_raw[[#This Row],[product_id]]</f>
        <v>08a58dc963320d6073623382b9ceb920</v>
      </c>
      <c r="B322" t="str">
        <f>tbl_raw[[#This Row],[category]]</f>
        <v>computers_accessories</v>
      </c>
      <c r="C322" s="2">
        <f>tbl_profitability[[#This Row],[net_profit]]</f>
        <v>897.73999999999978</v>
      </c>
      <c r="D322" s="42">
        <f>tbl_profitability[[#This Row],[net_margin_pct]]</f>
        <v>0.18887860298758674</v>
      </c>
      <c r="E322" s="49" t="str">
        <f>tbl_profitability[[#This Row],[decision]]</f>
        <v>OPTIMIZE</v>
      </c>
      <c r="F322" s="2">
        <f>tbl_raw[[#This Row],[gross_revenue]]-tbl_raw[[#This Row],[return_loss]]-tbl_raw[[#This Row],[cogs]]*(1+scn_A_cogs_up)-(tbl_raw[[#This Row],[storage_cost]]+tbl_raw[[#This Row],[fulfillment_cost]]+tbl_raw[[#This Row],[freight_cost]])</f>
        <v>626.81899999999951</v>
      </c>
      <c r="G322" s="42">
        <f>tbl_scenarios[[#This Row],[net_profit_A]]/tbl_raw[[#This Row],[gross_revenue]]</f>
        <v>0.13187860298758669</v>
      </c>
      <c r="H322" s="43">
        <f>tbl_scenarios[[#This Row],[net_margin_A]]-tbl_scenarios[[#This Row],[net_margin_pct]]</f>
        <v>-5.7000000000000051E-2</v>
      </c>
      <c r="I32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22" s="2">
        <f>tbl_raw[[#This Row],[gross_revenue]]-tbl_raw[[#This Row],[return_loss]]*(1+scn_B_returns_up/0.05)-tbl_raw[[#This Row],[cogs]]-(tbl_raw[[#This Row],[storage_cost]]+tbl_raw[[#This Row],[fulfillment_cost]]+tbl_raw[[#This Row],[freight_cost]])</f>
        <v>864.4399999999996</v>
      </c>
      <c r="K322" s="42">
        <f>tbl_scenarios[[#This Row],[net_profit_B]]/tbl_raw[[#This Row],[gross_revenue]]</f>
        <v>0.18187250157795068</v>
      </c>
      <c r="L322" s="43">
        <f>tbl_scenarios[[#This Row],[net_margin_B]]-tbl_scenarios[[#This Row],[net_margin_pct]]</f>
        <v>-7.0061014096360619E-3</v>
      </c>
      <c r="M32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22" s="2">
        <f>tbl_raw[[#This Row],[gross_revenue]]*(1-scn_C_price_down)-tbl_raw[[#This Row],[return_loss]]-tbl_raw[[#This Row],[cogs]]-(tbl_raw[[#This Row],[storage_cost]]+tbl_raw[[#This Row],[fulfillment_cost]]+tbl_raw[[#This Row],[freight_cost]])</f>
        <v>660.08999999999924</v>
      </c>
      <c r="O322" s="42">
        <f>tbl_scenarios[[#This Row],[net_profit_C]]/(tbl_raw[[#This Row],[gross_revenue]]*(1-scn_C_price_down))</f>
        <v>0.14618800314482805</v>
      </c>
      <c r="P322" s="43">
        <f>tbl_scenarios[[#This Row],[net_margin_C]]-tbl_scenarios[[#This Row],[net_margin_pct]]</f>
        <v>-4.2690599842758692E-2</v>
      </c>
      <c r="Q32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2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23" spans="1:18" x14ac:dyDescent="0.35">
      <c r="A323" s="17" t="str">
        <f>tbl_raw[[#This Row],[product_id]]</f>
        <v>011ae9863bd5b15e528a16dd8ceb4772</v>
      </c>
      <c r="B323" t="str">
        <f>tbl_raw[[#This Row],[category]]</f>
        <v>toys</v>
      </c>
      <c r="C323" s="2">
        <f>tbl_profitability[[#This Row],[net_profit]]</f>
        <v>2516.4499999999998</v>
      </c>
      <c r="D323" s="42">
        <f>tbl_profitability[[#This Row],[net_margin_pct]]</f>
        <v>0.52985703156254604</v>
      </c>
      <c r="E323" s="49" t="str">
        <f>tbl_profitability[[#This Row],[decision]]</f>
        <v>SCALE</v>
      </c>
      <c r="F323" s="2">
        <f>tbl_raw[[#This Row],[gross_revenue]]-tbl_raw[[#This Row],[return_loss]]-tbl_raw[[#This Row],[cogs]]*(1+scn_A_cogs_up)-(tbl_raw[[#This Row],[storage_cost]]+tbl_raw[[#This Row],[fulfillment_cost]]+tbl_raw[[#This Row],[freight_cost]])</f>
        <v>2316.9789999999998</v>
      </c>
      <c r="G323" s="42">
        <f>tbl_scenarios[[#This Row],[net_profit_A]]/tbl_raw[[#This Row],[gross_revenue]]</f>
        <v>0.48785694733960788</v>
      </c>
      <c r="H323" s="43">
        <f>tbl_scenarios[[#This Row],[net_margin_A]]-tbl_scenarios[[#This Row],[net_margin_pct]]</f>
        <v>-4.2000084222938161E-2</v>
      </c>
      <c r="I32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23" s="2">
        <f>tbl_raw[[#This Row],[gross_revenue]]-tbl_raw[[#This Row],[return_loss]]*(1+scn_B_returns_up/0.05)-tbl_raw[[#This Row],[cogs]]-(tbl_raw[[#This Row],[storage_cost]]+tbl_raw[[#This Row],[fulfillment_cost]]+tbl_raw[[#This Row],[freight_cost]])</f>
        <v>2513.9300000000003</v>
      </c>
      <c r="K323" s="42">
        <f>tbl_scenarios[[#This Row],[net_profit_B]]/tbl_raw[[#This Row],[gross_revenue]]</f>
        <v>0.52932642705240773</v>
      </c>
      <c r="L323" s="43">
        <f>tbl_scenarios[[#This Row],[net_margin_B]]-tbl_scenarios[[#This Row],[net_margin_pct]]</f>
        <v>-5.3060451013831056E-4</v>
      </c>
      <c r="M32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23" s="2">
        <f>tbl_raw[[#This Row],[gross_revenue]]*(1-scn_C_price_down)-tbl_raw[[#This Row],[return_loss]]-tbl_raw[[#This Row],[cogs]]-(tbl_raw[[#This Row],[storage_cost]]+tbl_raw[[#This Row],[fulfillment_cost]]+tbl_raw[[#This Row],[freight_cost]])</f>
        <v>2278.9849999999997</v>
      </c>
      <c r="O323" s="42">
        <f>tbl_scenarios[[#This Row],[net_profit_C]]/(tbl_raw[[#This Row],[gross_revenue]]*(1-scn_C_price_down))</f>
        <v>0.50511266480268002</v>
      </c>
      <c r="P323" s="43">
        <f>tbl_scenarios[[#This Row],[net_margin_C]]-tbl_scenarios[[#This Row],[net_margin_pct]]</f>
        <v>-2.4744366759866021E-2</v>
      </c>
      <c r="Q32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2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24" spans="1:18" x14ac:dyDescent="0.35">
      <c r="A324" s="17" t="str">
        <f>tbl_raw[[#This Row],[product_id]]</f>
        <v>fca62108387e25005784da2f551466a1</v>
      </c>
      <c r="B324" t="str">
        <f>tbl_raw[[#This Row],[category]]</f>
        <v>furniture_decor</v>
      </c>
      <c r="C324" s="2">
        <f>tbl_profitability[[#This Row],[net_profit]]</f>
        <v>1102.6000000000001</v>
      </c>
      <c r="D324" s="42">
        <f>tbl_profitability[[#This Row],[net_margin_pct]]</f>
        <v>0.23221920347086203</v>
      </c>
      <c r="E324" s="49" t="str">
        <f>tbl_profitability[[#This Row],[decision]]</f>
        <v>OPTIMIZE</v>
      </c>
      <c r="F324" s="2">
        <f>tbl_raw[[#This Row],[gross_revenue]]-tbl_raw[[#This Row],[return_loss]]-tbl_raw[[#This Row],[cogs]]*(1+scn_A_cogs_up)-(tbl_raw[[#This Row],[storage_cost]]+tbl_raw[[#This Row],[fulfillment_cost]]+tbl_raw[[#This Row],[freight_cost]])</f>
        <v>888.93499999999972</v>
      </c>
      <c r="G324" s="42">
        <f>tbl_scenarios[[#This Row],[net_profit_A]]/tbl_raw[[#This Row],[gross_revenue]]</f>
        <v>0.18721909816558194</v>
      </c>
      <c r="H324" s="43">
        <f>tbl_scenarios[[#This Row],[net_margin_A]]-tbl_scenarios[[#This Row],[net_margin_pct]]</f>
        <v>-4.5000105305280091E-2</v>
      </c>
      <c r="I32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24" s="2">
        <f>tbl_raw[[#This Row],[gross_revenue]]-tbl_raw[[#This Row],[return_loss]]*(1+scn_B_returns_up/0.05)-tbl_raw[[#This Row],[cogs]]-(tbl_raw[[#This Row],[storage_cost]]+tbl_raw[[#This Row],[fulfillment_cost]]+tbl_raw[[#This Row],[freight_cost]])</f>
        <v>1095.76</v>
      </c>
      <c r="K324" s="42">
        <f>tbl_scenarios[[#This Row],[net_profit_B]]/tbl_raw[[#This Row],[gross_revenue]]</f>
        <v>0.23077862724036982</v>
      </c>
      <c r="L324" s="43">
        <f>tbl_scenarios[[#This Row],[net_margin_B]]-tbl_scenarios[[#This Row],[net_margin_pct]]</f>
        <v>-1.4405762304922076E-3</v>
      </c>
      <c r="M324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24" s="2">
        <f>tbl_raw[[#This Row],[gross_revenue]]*(1-scn_C_price_down)-tbl_raw[[#This Row],[return_loss]]-tbl_raw[[#This Row],[cogs]]-(tbl_raw[[#This Row],[storage_cost]]+tbl_raw[[#This Row],[fulfillment_cost]]+tbl_raw[[#This Row],[freight_cost]])</f>
        <v>865.19499999999948</v>
      </c>
      <c r="O324" s="42">
        <f>tbl_scenarios[[#This Row],[net_profit_C]]/(tbl_raw[[#This Row],[gross_revenue]]*(1-scn_C_price_down))</f>
        <v>0.19180968786406519</v>
      </c>
      <c r="P324" s="43">
        <f>tbl_scenarios[[#This Row],[net_margin_C]]-tbl_scenarios[[#This Row],[net_margin_pct]]</f>
        <v>-4.0409515606796842E-2</v>
      </c>
      <c r="Q32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2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25" spans="1:18" x14ac:dyDescent="0.35">
      <c r="A325" s="17" t="str">
        <f>tbl_raw[[#This Row],[product_id]]</f>
        <v>3eef0cb94ba82de806bb30ab743c7655</v>
      </c>
      <c r="B325" t="str">
        <f>tbl_raw[[#This Row],[category]]</f>
        <v>office_furniture</v>
      </c>
      <c r="C325" s="2">
        <f>tbl_profitability[[#This Row],[net_profit]]</f>
        <v>264.13000000000011</v>
      </c>
      <c r="D325" s="42">
        <f>tbl_profitability[[#This Row],[net_margin_pct]]</f>
        <v>5.5730565618927273E-2</v>
      </c>
      <c r="E325" s="49" t="str">
        <f>tbl_profitability[[#This Row],[decision]]</f>
        <v>EXIT</v>
      </c>
      <c r="F325" s="2">
        <f>tbl_raw[[#This Row],[gross_revenue]]-tbl_raw[[#This Row],[return_loss]]-tbl_raw[[#This Row],[cogs]]*(1+scn_A_cogs_up)-(tbl_raw[[#This Row],[storage_cost]]+tbl_raw[[#This Row],[fulfillment_cost]]+tbl_raw[[#This Row],[freight_cost]])</f>
        <v>50.856999999999971</v>
      </c>
      <c r="G325" s="42">
        <f>tbl_scenarios[[#This Row],[net_profit_A]]/tbl_raw[[#This Row],[gross_revenue]]</f>
        <v>1.0730660567454593E-2</v>
      </c>
      <c r="H325" s="43">
        <f>tbl_scenarios[[#This Row],[net_margin_A]]-tbl_scenarios[[#This Row],[net_margin_pct]]</f>
        <v>-4.499990505147268E-2</v>
      </c>
      <c r="I325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25" s="2">
        <f>tbl_raw[[#This Row],[gross_revenue]]-tbl_raw[[#This Row],[return_loss]]*(1+scn_B_returns_up/0.05)-tbl_raw[[#This Row],[cogs]]-(tbl_raw[[#This Row],[storage_cost]]+tbl_raw[[#This Row],[fulfillment_cost]]+tbl_raw[[#This Row],[freight_cost]])</f>
        <v>242.89000000000033</v>
      </c>
      <c r="K325" s="42">
        <f>tbl_scenarios[[#This Row],[net_profit_B]]/tbl_raw[[#This Row],[gross_revenue]]</f>
        <v>5.1248995128085631E-2</v>
      </c>
      <c r="L325" s="43">
        <f>tbl_scenarios[[#This Row],[net_margin_B]]-tbl_scenarios[[#This Row],[net_margin_pct]]</f>
        <v>-4.4815704908416423E-3</v>
      </c>
      <c r="M325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25" s="2">
        <f>tbl_raw[[#This Row],[gross_revenue]]*(1-scn_C_price_down)-tbl_raw[[#This Row],[return_loss]]-tbl_raw[[#This Row],[cogs]]-(tbl_raw[[#This Row],[storage_cost]]+tbl_raw[[#This Row],[fulfillment_cost]]+tbl_raw[[#This Row],[freight_cost]])</f>
        <v>27.159499999999753</v>
      </c>
      <c r="O325" s="42">
        <f>tbl_scenarios[[#This Row],[net_profit_C]]/(tbl_raw[[#This Row],[gross_revenue]]*(1-scn_C_price_down))</f>
        <v>6.0321743357128407E-3</v>
      </c>
      <c r="P325" s="43">
        <f>tbl_scenarios[[#This Row],[net_margin_C]]-tbl_scenarios[[#This Row],[net_margin_pct]]</f>
        <v>-4.9698391283214433E-2</v>
      </c>
      <c r="Q325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2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26" spans="1:18" x14ac:dyDescent="0.35">
      <c r="A326" s="17" t="str">
        <f>tbl_raw[[#This Row],[product_id]]</f>
        <v>5b3b5f9ae84ca9ead3138b199420cc94</v>
      </c>
      <c r="B326" t="str">
        <f>tbl_raw[[#This Row],[category]]</f>
        <v>toys</v>
      </c>
      <c r="C326" s="2">
        <f>tbl_profitability[[#This Row],[net_profit]]</f>
        <v>1875.2800000000002</v>
      </c>
      <c r="D326" s="42">
        <f>tbl_profitability[[#This Row],[net_margin_pct]]</f>
        <v>0.39910613573967274</v>
      </c>
      <c r="E326" s="49" t="str">
        <f>tbl_profitability[[#This Row],[decision]]</f>
        <v>SCALE</v>
      </c>
      <c r="F326" s="2">
        <f>tbl_raw[[#This Row],[gross_revenue]]-tbl_raw[[#This Row],[return_loss]]-tbl_raw[[#This Row],[cogs]]*(1+scn_A_cogs_up)-(tbl_raw[[#This Row],[storage_cost]]+tbl_raw[[#This Row],[fulfillment_cost]]+tbl_raw[[#This Row],[freight_cost]])</f>
        <v>1677.9349999999999</v>
      </c>
      <c r="G326" s="42">
        <f>tbl_scenarios[[#This Row],[net_profit_A]]/tbl_raw[[#This Row],[gross_revenue]]</f>
        <v>0.35710622086960225</v>
      </c>
      <c r="H326" s="43">
        <f>tbl_scenarios[[#This Row],[net_margin_A]]-tbl_scenarios[[#This Row],[net_margin_pct]]</f>
        <v>-4.1999914870070487E-2</v>
      </c>
      <c r="I32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26" s="2">
        <f>tbl_raw[[#This Row],[gross_revenue]]-tbl_raw[[#This Row],[return_loss]]*(1+scn_B_returns_up/0.05)-tbl_raw[[#This Row],[cogs]]-(tbl_raw[[#This Row],[storage_cost]]+tbl_raw[[#This Row],[fulfillment_cost]]+tbl_raw[[#This Row],[freight_cost]])</f>
        <v>1863.0400000000004</v>
      </c>
      <c r="K326" s="42">
        <f>tbl_scenarios[[#This Row],[net_profit_B]]/tbl_raw[[#This Row],[gross_revenue]]</f>
        <v>0.39650115989529028</v>
      </c>
      <c r="L326" s="43">
        <f>tbl_scenarios[[#This Row],[net_margin_B]]-tbl_scenarios[[#This Row],[net_margin_pct]]</f>
        <v>-2.6049758443824622E-3</v>
      </c>
      <c r="M32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26" s="2">
        <f>tbl_raw[[#This Row],[gross_revenue]]*(1-scn_C_price_down)-tbl_raw[[#This Row],[return_loss]]-tbl_raw[[#This Row],[cogs]]-(tbl_raw[[#This Row],[storage_cost]]+tbl_raw[[#This Row],[fulfillment_cost]]+tbl_raw[[#This Row],[freight_cost]])</f>
        <v>1640.3449999999998</v>
      </c>
      <c r="O326" s="42">
        <f>tbl_scenarios[[#This Row],[net_profit_C]]/(tbl_raw[[#This Row],[gross_revenue]]*(1-scn_C_price_down))</f>
        <v>0.36748014288386599</v>
      </c>
      <c r="P326" s="43">
        <f>tbl_scenarios[[#This Row],[net_margin_C]]-tbl_scenarios[[#This Row],[net_margin_pct]]</f>
        <v>-3.162599285580675E-2</v>
      </c>
      <c r="Q32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2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27" spans="1:18" x14ac:dyDescent="0.35">
      <c r="A327" s="17" t="str">
        <f>tbl_raw[[#This Row],[product_id]]</f>
        <v>e6d3e381889aa6e9d222ad50cb30ac43</v>
      </c>
      <c r="B327" t="str">
        <f>tbl_raw[[#This Row],[category]]</f>
        <v>watches_gifts</v>
      </c>
      <c r="C327" s="2">
        <f>tbl_profitability[[#This Row],[net_profit]]</f>
        <v>2201.8199999999997</v>
      </c>
      <c r="D327" s="42">
        <f>tbl_profitability[[#This Row],[net_margin_pct]]</f>
        <v>0.4689682494041571</v>
      </c>
      <c r="E327" s="49" t="str">
        <f>tbl_profitability[[#This Row],[decision]]</f>
        <v>SCALE</v>
      </c>
      <c r="F327" s="2">
        <f>tbl_raw[[#This Row],[gross_revenue]]-tbl_raw[[#This Row],[return_loss]]-tbl_raw[[#This Row],[cogs]]*(1+scn_A_cogs_up)-(tbl_raw[[#This Row],[storage_cost]]+tbl_raw[[#This Row],[fulfillment_cost]]+tbl_raw[[#This Row],[freight_cost]])</f>
        <v>2004.6289999999992</v>
      </c>
      <c r="G327" s="42">
        <f>tbl_scenarios[[#This Row],[net_profit_A]]/tbl_raw[[#This Row],[gross_revenue]]</f>
        <v>0.42696830478186493</v>
      </c>
      <c r="H327" s="43">
        <f>tbl_scenarios[[#This Row],[net_margin_A]]-tbl_scenarios[[#This Row],[net_margin_pct]]</f>
        <v>-4.1999944622292174E-2</v>
      </c>
      <c r="I32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27" s="2">
        <f>tbl_raw[[#This Row],[gross_revenue]]-tbl_raw[[#This Row],[return_loss]]*(1+scn_B_returns_up/0.05)-tbl_raw[[#This Row],[cogs]]-(tbl_raw[[#This Row],[storage_cost]]+tbl_raw[[#This Row],[fulfillment_cost]]+tbl_raw[[#This Row],[freight_cost]])</f>
        <v>2194.2600000000002</v>
      </c>
      <c r="K327" s="42">
        <f>tbl_scenarios[[#This Row],[net_profit_B]]/tbl_raw[[#This Row],[gross_revenue]]</f>
        <v>0.46735803605088794</v>
      </c>
      <c r="L327" s="43">
        <f>tbl_scenarios[[#This Row],[net_margin_B]]-tbl_scenarios[[#This Row],[net_margin_pct]]</f>
        <v>-1.6102133532691632E-3</v>
      </c>
      <c r="M32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27" s="2">
        <f>tbl_raw[[#This Row],[gross_revenue]]*(1-scn_C_price_down)-tbl_raw[[#This Row],[return_loss]]-tbl_raw[[#This Row],[cogs]]-(tbl_raw[[#This Row],[storage_cost]]+tbl_raw[[#This Row],[fulfillment_cost]]+tbl_raw[[#This Row],[freight_cost]])</f>
        <v>1967.0684999999992</v>
      </c>
      <c r="O327" s="42">
        <f>tbl_scenarios[[#This Row],[net_profit_C]]/(tbl_raw[[#This Row],[gross_revenue]]*(1-scn_C_price_down))</f>
        <v>0.4410192098991127</v>
      </c>
      <c r="P327" s="43">
        <f>tbl_scenarios[[#This Row],[net_margin_C]]-tbl_scenarios[[#This Row],[net_margin_pct]]</f>
        <v>-2.7949039505044404E-2</v>
      </c>
      <c r="Q32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2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28" spans="1:18" x14ac:dyDescent="0.35">
      <c r="A328" s="17" t="str">
        <f>tbl_raw[[#This Row],[product_id]]</f>
        <v>c3ed642d592594bb648ff4a04cee2747</v>
      </c>
      <c r="B328" t="str">
        <f>tbl_raw[[#This Row],[category]]</f>
        <v>small_appliances</v>
      </c>
      <c r="C328" s="2">
        <f>tbl_profitability[[#This Row],[net_profit]]</f>
        <v>1933.2500000000002</v>
      </c>
      <c r="D328" s="42">
        <f>tbl_profitability[[#This Row],[net_margin_pct]]</f>
        <v>0.41220682302771861</v>
      </c>
      <c r="E328" s="49" t="str">
        <f>tbl_profitability[[#This Row],[decision]]</f>
        <v>SCALE</v>
      </c>
      <c r="F328" s="2">
        <f>tbl_raw[[#This Row],[gross_revenue]]-tbl_raw[[#This Row],[return_loss]]-tbl_raw[[#This Row],[cogs]]*(1+scn_A_cogs_up)-(tbl_raw[[#This Row],[storage_cost]]+tbl_raw[[#This Row],[fulfillment_cost]]+tbl_raw[[#This Row],[freight_cost]])</f>
        <v>1665.9199999999998</v>
      </c>
      <c r="G328" s="42">
        <f>tbl_scenarios[[#This Row],[net_profit_A]]/tbl_raw[[#This Row],[gross_revenue]]</f>
        <v>0.3552068230277185</v>
      </c>
      <c r="H328" s="43">
        <f>tbl_scenarios[[#This Row],[net_margin_A]]-tbl_scenarios[[#This Row],[net_margin_pct]]</f>
        <v>-5.7000000000000106E-2</v>
      </c>
      <c r="I32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28" s="2">
        <f>tbl_raw[[#This Row],[gross_revenue]]-tbl_raw[[#This Row],[return_loss]]*(1+scn_B_returns_up/0.05)-tbl_raw[[#This Row],[cogs]]-(tbl_raw[[#This Row],[storage_cost]]+tbl_raw[[#This Row],[fulfillment_cost]]+tbl_raw[[#This Row],[freight_cost]])</f>
        <v>1932.8899999999996</v>
      </c>
      <c r="K328" s="42">
        <f>tbl_scenarios[[#This Row],[net_profit_B]]/tbl_raw[[#This Row],[gross_revenue]]</f>
        <v>0.41213006396588481</v>
      </c>
      <c r="L328" s="43">
        <f>tbl_scenarios[[#This Row],[net_margin_B]]-tbl_scenarios[[#This Row],[net_margin_pct]]</f>
        <v>-7.6759061833797659E-5</v>
      </c>
      <c r="M32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28" s="2">
        <f>tbl_raw[[#This Row],[gross_revenue]]*(1-scn_C_price_down)-tbl_raw[[#This Row],[return_loss]]-tbl_raw[[#This Row],[cogs]]-(tbl_raw[[#This Row],[storage_cost]]+tbl_raw[[#This Row],[fulfillment_cost]]+tbl_raw[[#This Row],[freight_cost]])</f>
        <v>1698.7500000000002</v>
      </c>
      <c r="O328" s="42">
        <f>tbl_scenarios[[#This Row],[net_profit_C]]/(tbl_raw[[#This Row],[gross_revenue]]*(1-scn_C_price_down))</f>
        <v>0.38127034002917748</v>
      </c>
      <c r="P328" s="43">
        <f>tbl_scenarios[[#This Row],[net_margin_C]]-tbl_scenarios[[#This Row],[net_margin_pct]]</f>
        <v>-3.0936482998541126E-2</v>
      </c>
      <c r="Q32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2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29" spans="1:18" x14ac:dyDescent="0.35">
      <c r="A329" s="17" t="str">
        <f>tbl_raw[[#This Row],[product_id]]</f>
        <v>310b40ec41fbfc061e5309006482e68a</v>
      </c>
      <c r="B329" t="str">
        <f>tbl_raw[[#This Row],[category]]</f>
        <v>books_general_interest</v>
      </c>
      <c r="C329" s="2">
        <f>tbl_profitability[[#This Row],[net_profit]]</f>
        <v>2589.5700000000006</v>
      </c>
      <c r="D329" s="42">
        <f>tbl_profitability[[#This Row],[net_margin_pct]]</f>
        <v>0.55260664518469527</v>
      </c>
      <c r="E329" s="49" t="str">
        <f>tbl_profitability[[#This Row],[decision]]</f>
        <v>SCALE</v>
      </c>
      <c r="F329" s="2">
        <f>tbl_raw[[#This Row],[gross_revenue]]-tbl_raw[[#This Row],[return_loss]]-tbl_raw[[#This Row],[cogs]]*(1+scn_A_cogs_up)-(tbl_raw[[#This Row],[storage_cost]]+tbl_raw[[#This Row],[fulfillment_cost]]+tbl_raw[[#This Row],[freight_cost]])</f>
        <v>2402.1260000000007</v>
      </c>
      <c r="G329" s="42">
        <f>tbl_scenarios[[#This Row],[net_profit_A]]/tbl_raw[[#This Row],[gross_revenue]]</f>
        <v>0.51260664518469523</v>
      </c>
      <c r="H329" s="43">
        <f>tbl_scenarios[[#This Row],[net_margin_A]]-tbl_scenarios[[#This Row],[net_margin_pct]]</f>
        <v>-4.0000000000000036E-2</v>
      </c>
      <c r="I32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29" s="2">
        <f>tbl_raw[[#This Row],[gross_revenue]]-tbl_raw[[#This Row],[return_loss]]*(1+scn_B_returns_up/0.05)-tbl_raw[[#This Row],[cogs]]-(tbl_raw[[#This Row],[storage_cost]]+tbl_raw[[#This Row],[fulfillment_cost]]+tbl_raw[[#This Row],[freight_cost]])</f>
        <v>2588.67</v>
      </c>
      <c r="K329" s="42">
        <f>tbl_scenarios[[#This Row],[net_profit_B]]/tbl_raw[[#This Row],[gross_revenue]]</f>
        <v>0.55241458782356323</v>
      </c>
      <c r="L329" s="43">
        <f>tbl_scenarios[[#This Row],[net_margin_B]]-tbl_scenarios[[#This Row],[net_margin_pct]]</f>
        <v>-1.9205736113203642E-4</v>
      </c>
      <c r="M32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29" s="2">
        <f>tbl_raw[[#This Row],[gross_revenue]]*(1-scn_C_price_down)-tbl_raw[[#This Row],[return_loss]]-tbl_raw[[#This Row],[cogs]]-(tbl_raw[[#This Row],[storage_cost]]+tbl_raw[[#This Row],[fulfillment_cost]]+tbl_raw[[#This Row],[freight_cost]])</f>
        <v>2355.2650000000003</v>
      </c>
      <c r="O329" s="42">
        <f>tbl_scenarios[[#This Row],[net_profit_C]]/(tbl_raw[[#This Row],[gross_revenue]]*(1-scn_C_price_down))</f>
        <v>0.52905962651020555</v>
      </c>
      <c r="P329" s="43">
        <f>tbl_scenarios[[#This Row],[net_margin_C]]-tbl_scenarios[[#This Row],[net_margin_pct]]</f>
        <v>-2.3547018674489717E-2</v>
      </c>
      <c r="Q32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2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30" spans="1:18" x14ac:dyDescent="0.35">
      <c r="A330" s="17" t="str">
        <f>tbl_raw[[#This Row],[product_id]]</f>
        <v>3efd399c5d016b9e6a5ad3196eade44f</v>
      </c>
      <c r="B330" t="str">
        <f>tbl_raw[[#This Row],[category]]</f>
        <v>baby</v>
      </c>
      <c r="C330" s="2">
        <f>tbl_profitability[[#This Row],[net_profit]]</f>
        <v>2203.2599999999998</v>
      </c>
      <c r="D330" s="42">
        <f>tbl_profitability[[#This Row],[net_margin_pct]]</f>
        <v>0.47048046124279302</v>
      </c>
      <c r="E330" s="49" t="str">
        <f>tbl_profitability[[#This Row],[decision]]</f>
        <v>SCALE</v>
      </c>
      <c r="F330" s="2">
        <f>tbl_raw[[#This Row],[gross_revenue]]-tbl_raw[[#This Row],[return_loss]]-tbl_raw[[#This Row],[cogs]]*(1+scn_A_cogs_up)-(tbl_raw[[#This Row],[storage_cost]]+tbl_raw[[#This Row],[fulfillment_cost]]+tbl_raw[[#This Row],[freight_cost]])</f>
        <v>2006.5739999999994</v>
      </c>
      <c r="G330" s="42">
        <f>tbl_scenarios[[#This Row],[net_profit_A]]/tbl_raw[[#This Row],[gross_revenue]]</f>
        <v>0.42848046124279293</v>
      </c>
      <c r="H330" s="43">
        <f>tbl_scenarios[[#This Row],[net_margin_A]]-tbl_scenarios[[#This Row],[net_margin_pct]]</f>
        <v>-4.2000000000000093E-2</v>
      </c>
      <c r="I33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30" s="2">
        <f>tbl_raw[[#This Row],[gross_revenue]]-tbl_raw[[#This Row],[return_loss]]*(1+scn_B_returns_up/0.05)-tbl_raw[[#This Row],[cogs]]-(tbl_raw[[#This Row],[storage_cost]]+tbl_raw[[#This Row],[fulfillment_cost]]+tbl_raw[[#This Row],[freight_cost]])</f>
        <v>2195.7000000000003</v>
      </c>
      <c r="K330" s="42">
        <f>tbl_scenarios[[#This Row],[net_profit_B]]/tbl_raw[[#This Row],[gross_revenue]]</f>
        <v>0.46886611146700841</v>
      </c>
      <c r="L330" s="43">
        <f>tbl_scenarios[[#This Row],[net_margin_B]]-tbl_scenarios[[#This Row],[net_margin_pct]]</f>
        <v>-1.6143497757846181E-3</v>
      </c>
      <c r="M33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30" s="2">
        <f>tbl_raw[[#This Row],[gross_revenue]]*(1-scn_C_price_down)-tbl_raw[[#This Row],[return_loss]]-tbl_raw[[#This Row],[cogs]]-(tbl_raw[[#This Row],[storage_cost]]+tbl_raw[[#This Row],[fulfillment_cost]]+tbl_raw[[#This Row],[freight_cost]])</f>
        <v>1969.1099999999994</v>
      </c>
      <c r="O330" s="42">
        <f>tbl_scenarios[[#This Row],[net_profit_C]]/(tbl_raw[[#This Row],[gross_revenue]]*(1-scn_C_price_down))</f>
        <v>0.44261101183451895</v>
      </c>
      <c r="P330" s="43">
        <f>tbl_scenarios[[#This Row],[net_margin_C]]-tbl_scenarios[[#This Row],[net_margin_pct]]</f>
        <v>-2.7869449408274072E-2</v>
      </c>
      <c r="Q33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3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31" spans="1:18" x14ac:dyDescent="0.35">
      <c r="A331" s="17" t="str">
        <f>tbl_raw[[#This Row],[product_id]]</f>
        <v>53d8ee87caa1a2320c66074ff9c99e61</v>
      </c>
      <c r="B331" t="str">
        <f>tbl_raw[[#This Row],[category]]</f>
        <v>watches_gifts</v>
      </c>
      <c r="C331" s="2">
        <f>tbl_profitability[[#This Row],[net_profit]]</f>
        <v>2456.8200000000002</v>
      </c>
      <c r="D331" s="42">
        <f>tbl_profitability[[#This Row],[net_margin_pct]]</f>
        <v>0.52680987567491078</v>
      </c>
      <c r="E331" s="49" t="str">
        <f>tbl_profitability[[#This Row],[decision]]</f>
        <v>OPTIMIZE</v>
      </c>
      <c r="F331" s="2">
        <f>tbl_raw[[#This Row],[gross_revenue]]-tbl_raw[[#This Row],[return_loss]]-tbl_raw[[#This Row],[cogs]]*(1+scn_A_cogs_up)-(tbl_raw[[#This Row],[storage_cost]]+tbl_raw[[#This Row],[fulfillment_cost]]+tbl_raw[[#This Row],[freight_cost]])</f>
        <v>2260.9499999999998</v>
      </c>
      <c r="G331" s="42">
        <f>tbl_scenarios[[#This Row],[net_profit_A]]/tbl_raw[[#This Row],[gross_revenue]]</f>
        <v>0.48480995286882606</v>
      </c>
      <c r="H331" s="43">
        <f>tbl_scenarios[[#This Row],[net_margin_A]]-tbl_scenarios[[#This Row],[net_margin_pct]]</f>
        <v>-4.1999922806084722E-2</v>
      </c>
      <c r="I33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31" s="2">
        <f>tbl_raw[[#This Row],[gross_revenue]]-tbl_raw[[#This Row],[return_loss]]*(1+scn_B_returns_up/0.05)-tbl_raw[[#This Row],[cogs]]-(tbl_raw[[#This Row],[storage_cost]]+tbl_raw[[#This Row],[fulfillment_cost]]+tbl_raw[[#This Row],[freight_cost]])</f>
        <v>2453.94</v>
      </c>
      <c r="K331" s="42">
        <f>tbl_scenarios[[#This Row],[net_profit_B]]/tbl_raw[[#This Row],[gross_revenue]]</f>
        <v>0.5261923243516784</v>
      </c>
      <c r="L331" s="43">
        <f>tbl_scenarios[[#This Row],[net_margin_B]]-tbl_scenarios[[#This Row],[net_margin_pct]]</f>
        <v>-6.1755132323237927E-4</v>
      </c>
      <c r="M33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31" s="2">
        <f>tbl_raw[[#This Row],[gross_revenue]]*(1-scn_C_price_down)-tbl_raw[[#This Row],[return_loss]]-tbl_raw[[#This Row],[cogs]]-(tbl_raw[[#This Row],[storage_cost]]+tbl_raw[[#This Row],[fulfillment_cost]]+tbl_raw[[#This Row],[freight_cost]])</f>
        <v>2223.6410000000001</v>
      </c>
      <c r="O331" s="42">
        <f>tbl_scenarios[[#This Row],[net_profit_C]]/(tbl_raw[[#This Row],[gross_revenue]]*(1-scn_C_price_down))</f>
        <v>0.50190513228937972</v>
      </c>
      <c r="P331" s="43">
        <f>tbl_scenarios[[#This Row],[net_margin_C]]-tbl_scenarios[[#This Row],[net_margin_pct]]</f>
        <v>-2.4904743385531058E-2</v>
      </c>
      <c r="Q33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3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32" spans="1:18" x14ac:dyDescent="0.35">
      <c r="A332" s="17" t="str">
        <f>tbl_raw[[#This Row],[product_id]]</f>
        <v>d982791b03ad95faaa03fc746ad04672</v>
      </c>
      <c r="B332" t="str">
        <f>tbl_raw[[#This Row],[category]]</f>
        <v>computers_accessories</v>
      </c>
      <c r="C332" s="2">
        <f>tbl_profitability[[#This Row],[net_profit]]</f>
        <v>1783.97</v>
      </c>
      <c r="D332" s="42">
        <f>tbl_profitability[[#This Row],[net_margin_pct]]</f>
        <v>0.38347710383934963</v>
      </c>
      <c r="E332" s="49" t="str">
        <f>tbl_profitability[[#This Row],[decision]]</f>
        <v>SCALE</v>
      </c>
      <c r="F332" s="2">
        <f>tbl_raw[[#This Row],[gross_revenue]]-tbl_raw[[#This Row],[return_loss]]-tbl_raw[[#This Row],[cogs]]*(1+scn_A_cogs_up)-(tbl_raw[[#This Row],[storage_cost]]+tbl_raw[[#This Row],[fulfillment_cost]]+tbl_raw[[#This Row],[freight_cost]])</f>
        <v>1518.8009999999997</v>
      </c>
      <c r="G332" s="42">
        <f>tbl_scenarios[[#This Row],[net_profit_A]]/tbl_raw[[#This Row],[gross_revenue]]</f>
        <v>0.32647713178377885</v>
      </c>
      <c r="H332" s="43">
        <f>tbl_scenarios[[#This Row],[net_margin_A]]-tbl_scenarios[[#This Row],[net_margin_pct]]</f>
        <v>-5.699997205557078E-2</v>
      </c>
      <c r="I33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32" s="2">
        <f>tbl_raw[[#This Row],[gross_revenue]]-tbl_raw[[#This Row],[return_loss]]*(1+scn_B_returns_up/0.05)-tbl_raw[[#This Row],[cogs]]-(tbl_raw[[#This Row],[storage_cost]]+tbl_raw[[#This Row],[fulfillment_cost]]+tbl_raw[[#This Row],[freight_cost]])</f>
        <v>1779.47</v>
      </c>
      <c r="K332" s="42">
        <f>tbl_scenarios[[#This Row],[net_profit_B]]/tbl_raw[[#This Row],[gross_revenue]]</f>
        <v>0.38250979667203344</v>
      </c>
      <c r="L332" s="43">
        <f>tbl_scenarios[[#This Row],[net_margin_B]]-tbl_scenarios[[#This Row],[net_margin_pct]]</f>
        <v>-9.6730716731618926E-4</v>
      </c>
      <c r="M33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32" s="2">
        <f>tbl_raw[[#This Row],[gross_revenue]]*(1-scn_C_price_down)-tbl_raw[[#This Row],[return_loss]]-tbl_raw[[#This Row],[cogs]]-(tbl_raw[[#This Row],[storage_cost]]+tbl_raw[[#This Row],[fulfillment_cost]]+tbl_raw[[#This Row],[freight_cost]])</f>
        <v>1551.3654999999997</v>
      </c>
      <c r="O332" s="42">
        <f>tbl_scenarios[[#This Row],[net_profit_C]]/(tbl_raw[[#This Row],[gross_revenue]]*(1-scn_C_price_down))</f>
        <v>0.3510285303572101</v>
      </c>
      <c r="P332" s="43">
        <f>tbl_scenarios[[#This Row],[net_margin_C]]-tbl_scenarios[[#This Row],[net_margin_pct]]</f>
        <v>-3.2448573482139531E-2</v>
      </c>
      <c r="Q33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3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33" spans="1:18" x14ac:dyDescent="0.35">
      <c r="A333" s="17" t="str">
        <f>tbl_raw[[#This Row],[product_id]]</f>
        <v>18e41d0c2a7cac6a8d53d3fcc13da3c4</v>
      </c>
      <c r="B333" t="str">
        <f>tbl_raw[[#This Row],[category]]</f>
        <v>computers_accessories</v>
      </c>
      <c r="C333" s="2">
        <f>tbl_profitability[[#This Row],[net_profit]]</f>
        <v>1871.0899999999995</v>
      </c>
      <c r="D333" s="42">
        <f>tbl_profitability[[#This Row],[net_margin_pct]]</f>
        <v>0.4024290836199238</v>
      </c>
      <c r="E333" s="49" t="str">
        <f>tbl_profitability[[#This Row],[decision]]</f>
        <v>OPTIMIZE</v>
      </c>
      <c r="F333" s="2">
        <f>tbl_raw[[#This Row],[gross_revenue]]-tbl_raw[[#This Row],[return_loss]]-tbl_raw[[#This Row],[cogs]]*(1+scn_A_cogs_up)-(tbl_raw[[#This Row],[storage_cost]]+tbl_raw[[#This Row],[fulfillment_cost]]+tbl_raw[[#This Row],[freight_cost]])</f>
        <v>1606.0689999999993</v>
      </c>
      <c r="G333" s="42">
        <f>tbl_scenarios[[#This Row],[net_profit_A]]/tbl_raw[[#This Row],[gross_revenue]]</f>
        <v>0.34542906856450911</v>
      </c>
      <c r="H333" s="43">
        <f>tbl_scenarios[[#This Row],[net_margin_A]]-tbl_scenarios[[#This Row],[net_margin_pct]]</f>
        <v>-5.7000015055414688E-2</v>
      </c>
      <c r="I33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33" s="2">
        <f>tbl_raw[[#This Row],[gross_revenue]]-tbl_raw[[#This Row],[return_loss]]*(1+scn_B_returns_up/0.05)-tbl_raw[[#This Row],[cogs]]-(tbl_raw[[#This Row],[storage_cost]]+tbl_raw[[#This Row],[fulfillment_cost]]+tbl_raw[[#This Row],[freight_cost]])</f>
        <v>1867.49</v>
      </c>
      <c r="K333" s="42">
        <f>tbl_scenarios[[#This Row],[net_profit_B]]/tbl_raw[[#This Row],[gross_revenue]]</f>
        <v>0.40165480515067248</v>
      </c>
      <c r="L333" s="43">
        <f>tbl_scenarios[[#This Row],[net_margin_B]]-tbl_scenarios[[#This Row],[net_margin_pct]]</f>
        <v>-7.742784692513216E-4</v>
      </c>
      <c r="M33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33" s="2">
        <f>tbl_raw[[#This Row],[gross_revenue]]*(1-scn_C_price_down)-tbl_raw[[#This Row],[return_loss]]-tbl_raw[[#This Row],[cogs]]-(tbl_raw[[#This Row],[storage_cost]]+tbl_raw[[#This Row],[fulfillment_cost]]+tbl_raw[[#This Row],[freight_cost]])</f>
        <v>1638.6154999999992</v>
      </c>
      <c r="O333" s="42">
        <f>tbl_scenarios[[#This Row],[net_profit_C]]/(tbl_raw[[#This Row],[gross_revenue]]*(1-scn_C_price_down))</f>
        <v>0.37097798275781452</v>
      </c>
      <c r="P333" s="43">
        <f>tbl_scenarios[[#This Row],[net_margin_C]]-tbl_scenarios[[#This Row],[net_margin_pct]]</f>
        <v>-3.1451100862109282E-2</v>
      </c>
      <c r="Q33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3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34" spans="1:18" x14ac:dyDescent="0.35">
      <c r="A334" s="17" t="str">
        <f>tbl_raw[[#This Row],[product_id]]</f>
        <v>31b8e7c2a22f3dba5183cc110bdd72f7</v>
      </c>
      <c r="B334" t="str">
        <f>tbl_raw[[#This Row],[category]]</f>
        <v>electronics</v>
      </c>
      <c r="C334" s="2">
        <f>tbl_profitability[[#This Row],[net_profit]]</f>
        <v>1348.06</v>
      </c>
      <c r="D334" s="42">
        <f>tbl_profitability[[#This Row],[net_margin_pct]]</f>
        <v>0.28993779949585763</v>
      </c>
      <c r="E334" s="49" t="str">
        <f>tbl_profitability[[#This Row],[decision]]</f>
        <v>SCALE</v>
      </c>
      <c r="F334" s="2">
        <f>tbl_raw[[#This Row],[gross_revenue]]-tbl_raw[[#This Row],[return_loss]]-tbl_raw[[#This Row],[cogs]]*(1+scn_A_cogs_up)-(tbl_raw[[#This Row],[storage_cost]]+tbl_raw[[#This Row],[fulfillment_cost]]+tbl_raw[[#This Row],[freight_cost]])</f>
        <v>1083.0399999999995</v>
      </c>
      <c r="G334" s="42">
        <f>tbl_scenarios[[#This Row],[net_profit_A]]/tbl_raw[[#This Row],[gross_revenue]]</f>
        <v>0.23293787692387097</v>
      </c>
      <c r="H334" s="43">
        <f>tbl_scenarios[[#This Row],[net_margin_A]]-tbl_scenarios[[#This Row],[net_margin_pct]]</f>
        <v>-5.6999922571986661E-2</v>
      </c>
      <c r="I33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34" s="2">
        <f>tbl_raw[[#This Row],[gross_revenue]]-tbl_raw[[#This Row],[return_loss]]*(1+scn_B_returns_up/0.05)-tbl_raw[[#This Row],[cogs]]-(tbl_raw[[#This Row],[storage_cost]]+tbl_raw[[#This Row],[fulfillment_cost]]+tbl_raw[[#This Row],[freight_cost]])</f>
        <v>1327.3600000000001</v>
      </c>
      <c r="K334" s="42">
        <f>tbl_scenarios[[#This Row],[net_profit_B]]/tbl_raw[[#This Row],[gross_revenue]]</f>
        <v>0.28548568872217972</v>
      </c>
      <c r="L334" s="43">
        <f>tbl_scenarios[[#This Row],[net_margin_B]]-tbl_scenarios[[#This Row],[net_margin_pct]]</f>
        <v>-4.4521107736779086E-3</v>
      </c>
      <c r="M33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34" s="2">
        <f>tbl_raw[[#This Row],[gross_revenue]]*(1-scn_C_price_down)-tbl_raw[[#This Row],[return_loss]]-tbl_raw[[#This Row],[cogs]]-(tbl_raw[[#This Row],[storage_cost]]+tbl_raw[[#This Row],[fulfillment_cost]]+tbl_raw[[#This Row],[freight_cost]])</f>
        <v>1115.5859999999998</v>
      </c>
      <c r="O334" s="42">
        <f>tbl_scenarios[[#This Row],[net_profit_C]]/(tbl_raw[[#This Row],[gross_revenue]]*(1-scn_C_price_down))</f>
        <v>0.25256610473248164</v>
      </c>
      <c r="P334" s="43">
        <f>tbl_scenarios[[#This Row],[net_margin_C]]-tbl_scenarios[[#This Row],[net_margin_pct]]</f>
        <v>-3.7371694763375984E-2</v>
      </c>
      <c r="Q33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3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335" spans="1:18" x14ac:dyDescent="0.35">
      <c r="A335" s="17" t="str">
        <f>tbl_raw[[#This Row],[product_id]]</f>
        <v>177d3d5bb9d4d29222a222e3b3554f41</v>
      </c>
      <c r="B335" t="str">
        <f>tbl_raw[[#This Row],[category]]</f>
        <v>stationery</v>
      </c>
      <c r="C335" s="2">
        <f>tbl_profitability[[#This Row],[net_profit]]</f>
        <v>1556.82</v>
      </c>
      <c r="D335" s="42">
        <f>tbl_profitability[[#This Row],[net_margin_pct]]</f>
        <v>0.33503055866402681</v>
      </c>
      <c r="E335" s="49" t="str">
        <f>tbl_profitability[[#This Row],[decision]]</f>
        <v>SCALE</v>
      </c>
      <c r="F335" s="2">
        <f>tbl_raw[[#This Row],[gross_revenue]]-tbl_raw[[#This Row],[return_loss]]-tbl_raw[[#This Row],[cogs]]*(1+scn_A_cogs_up)-(tbl_raw[[#This Row],[storage_cost]]+tbl_raw[[#This Row],[fulfillment_cost]]+tbl_raw[[#This Row],[freight_cost]])</f>
        <v>1370.9480000000001</v>
      </c>
      <c r="G335" s="42">
        <f>tbl_scenarios[[#This Row],[net_profit_A]]/tbl_raw[[#This Row],[gross_revenue]]</f>
        <v>0.29503055866402689</v>
      </c>
      <c r="H335" s="43">
        <f>tbl_scenarios[[#This Row],[net_margin_A]]-tbl_scenarios[[#This Row],[net_margin_pct]]</f>
        <v>-3.9999999999999925E-2</v>
      </c>
      <c r="I33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35" s="2">
        <f>tbl_raw[[#This Row],[gross_revenue]]-tbl_raw[[#This Row],[return_loss]]*(1+scn_B_returns_up/0.05)-tbl_raw[[#This Row],[cogs]]-(tbl_raw[[#This Row],[storage_cost]]+tbl_raw[[#This Row],[fulfillment_cost]]+tbl_raw[[#This Row],[freight_cost]])</f>
        <v>1552.82</v>
      </c>
      <c r="K335" s="42">
        <f>tbl_scenarios[[#This Row],[net_profit_B]]/tbl_raw[[#This Row],[gross_revenue]]</f>
        <v>0.33416975122665055</v>
      </c>
      <c r="L335" s="43">
        <f>tbl_scenarios[[#This Row],[net_margin_B]]-tbl_scenarios[[#This Row],[net_margin_pct]]</f>
        <v>-8.6080743737626531E-4</v>
      </c>
      <c r="M33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35" s="2">
        <f>tbl_raw[[#This Row],[gross_revenue]]*(1-scn_C_price_down)-tbl_raw[[#This Row],[return_loss]]-tbl_raw[[#This Row],[cogs]]-(tbl_raw[[#This Row],[storage_cost]]+tbl_raw[[#This Row],[fulfillment_cost]]+tbl_raw[[#This Row],[freight_cost]])</f>
        <v>1324.4799999999998</v>
      </c>
      <c r="O335" s="42">
        <f>tbl_scenarios[[#This Row],[net_profit_C]]/(tbl_raw[[#This Row],[gross_revenue]]*(1-scn_C_price_down))</f>
        <v>0.30003216701476504</v>
      </c>
      <c r="P335" s="43">
        <f>tbl_scenarios[[#This Row],[net_margin_C]]-tbl_scenarios[[#This Row],[net_margin_pct]]</f>
        <v>-3.4998391649261773E-2</v>
      </c>
      <c r="Q33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3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36" spans="1:18" x14ac:dyDescent="0.35">
      <c r="A336" s="17" t="str">
        <f>tbl_raw[[#This Row],[product_id]]</f>
        <v>d011223de539cd224b5c5c8082313d46</v>
      </c>
      <c r="B336" t="str">
        <f>tbl_raw[[#This Row],[category]]</f>
        <v>furniture_decor</v>
      </c>
      <c r="C336" s="2">
        <f>tbl_profitability[[#This Row],[net_profit]]</f>
        <v>1763.0599999999995</v>
      </c>
      <c r="D336" s="42">
        <f>tbl_profitability[[#This Row],[net_margin_pct]]</f>
        <v>0.37944645316804398</v>
      </c>
      <c r="E336" s="49" t="str">
        <f>tbl_profitability[[#This Row],[decision]]</f>
        <v>OPTIMIZE</v>
      </c>
      <c r="F336" s="2">
        <f>tbl_raw[[#This Row],[gross_revenue]]-tbl_raw[[#This Row],[return_loss]]-tbl_raw[[#This Row],[cogs]]*(1+scn_A_cogs_up)-(tbl_raw[[#This Row],[storage_cost]]+tbl_raw[[#This Row],[fulfillment_cost]]+tbl_raw[[#This Row],[freight_cost]])</f>
        <v>1553.9719999999993</v>
      </c>
      <c r="G336" s="42">
        <f>tbl_scenarios[[#This Row],[net_profit_A]]/tbl_raw[[#This Row],[gross_revenue]]</f>
        <v>0.33444645316804394</v>
      </c>
      <c r="H336" s="43">
        <f>tbl_scenarios[[#This Row],[net_margin_A]]-tbl_scenarios[[#This Row],[net_margin_pct]]</f>
        <v>-4.500000000000004E-2</v>
      </c>
      <c r="I33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36" s="2">
        <f>tbl_raw[[#This Row],[gross_revenue]]-tbl_raw[[#This Row],[return_loss]]*(1+scn_B_returns_up/0.05)-tbl_raw[[#This Row],[cogs]]-(tbl_raw[[#This Row],[storage_cost]]+tbl_raw[[#This Row],[fulfillment_cost]]+tbl_raw[[#This Row],[freight_cost]])</f>
        <v>1755.1399999999994</v>
      </c>
      <c r="K336" s="42">
        <f>tbl_scenarios[[#This Row],[net_profit_B]]/tbl_raw[[#This Row],[gross_revenue]]</f>
        <v>0.37774190771349853</v>
      </c>
      <c r="L336" s="43">
        <f>tbl_scenarios[[#This Row],[net_margin_B]]-tbl_scenarios[[#This Row],[net_margin_pct]]</f>
        <v>-1.7045454545454586E-3</v>
      </c>
      <c r="M33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36" s="2">
        <f>tbl_raw[[#This Row],[gross_revenue]]*(1-scn_C_price_down)-tbl_raw[[#This Row],[return_loss]]-tbl_raw[[#This Row],[cogs]]-(tbl_raw[[#This Row],[storage_cost]]+tbl_raw[[#This Row],[fulfillment_cost]]+tbl_raw[[#This Row],[freight_cost]])</f>
        <v>1530.7399999999989</v>
      </c>
      <c r="O336" s="42">
        <f>tbl_scenarios[[#This Row],[net_profit_C]]/(tbl_raw[[#This Row],[gross_revenue]]*(1-scn_C_price_down))</f>
        <v>0.34678574017688835</v>
      </c>
      <c r="P336" s="43">
        <f>tbl_scenarios[[#This Row],[net_margin_C]]-tbl_scenarios[[#This Row],[net_margin_pct]]</f>
        <v>-3.2660712991155638E-2</v>
      </c>
      <c r="Q33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3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37" spans="1:18" x14ac:dyDescent="0.35">
      <c r="A337" s="17" t="str">
        <f>tbl_raw[[#This Row],[product_id]]</f>
        <v>a319b66ab6cabbb2810942860c1c8a3c</v>
      </c>
      <c r="B337" t="str">
        <f>tbl_raw[[#This Row],[category]]</f>
        <v>construction_tools_construction</v>
      </c>
      <c r="C337" s="2">
        <f>tbl_profitability[[#This Row],[net_profit]]</f>
        <v>2433.4799999999996</v>
      </c>
      <c r="D337" s="42">
        <f>tbl_profitability[[#This Row],[net_margin_pct]]</f>
        <v>0.52901739130434777</v>
      </c>
      <c r="E337" s="49" t="str">
        <f>tbl_profitability[[#This Row],[decision]]</f>
        <v>SCALE</v>
      </c>
      <c r="F337" s="2">
        <f>tbl_raw[[#This Row],[gross_revenue]]-tbl_raw[[#This Row],[return_loss]]-tbl_raw[[#This Row],[cogs]]*(1+scn_A_cogs_up)-(tbl_raw[[#This Row],[storage_cost]]+tbl_raw[[#This Row],[fulfillment_cost]]+tbl_raw[[#This Row],[freight_cost]])</f>
        <v>2226.4799999999996</v>
      </c>
      <c r="G337" s="42">
        <f>tbl_scenarios[[#This Row],[net_profit_A]]/tbl_raw[[#This Row],[gross_revenue]]</f>
        <v>0.48401739130434773</v>
      </c>
      <c r="H337" s="43">
        <f>tbl_scenarios[[#This Row],[net_margin_A]]-tbl_scenarios[[#This Row],[net_margin_pct]]</f>
        <v>-4.500000000000004E-2</v>
      </c>
      <c r="I33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37" s="2">
        <f>tbl_raw[[#This Row],[gross_revenue]]-tbl_raw[[#This Row],[return_loss]]*(1+scn_B_returns_up/0.05)-tbl_raw[[#This Row],[cogs]]-(tbl_raw[[#This Row],[storage_cost]]+tbl_raw[[#This Row],[fulfillment_cost]]+tbl_raw[[#This Row],[freight_cost]])</f>
        <v>2432.7600000000002</v>
      </c>
      <c r="K337" s="42">
        <f>tbl_scenarios[[#This Row],[net_profit_B]]/tbl_raw[[#This Row],[gross_revenue]]</f>
        <v>0.52886086956521738</v>
      </c>
      <c r="L337" s="43">
        <f>tbl_scenarios[[#This Row],[net_margin_B]]-tbl_scenarios[[#This Row],[net_margin_pct]]</f>
        <v>-1.5652173913038858E-4</v>
      </c>
      <c r="M33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37" s="2">
        <f>tbl_raw[[#This Row],[gross_revenue]]*(1-scn_C_price_down)-tbl_raw[[#This Row],[return_loss]]-tbl_raw[[#This Row],[cogs]]-(tbl_raw[[#This Row],[storage_cost]]+tbl_raw[[#This Row],[fulfillment_cost]]+tbl_raw[[#This Row],[freight_cost]])</f>
        <v>2203.4799999999996</v>
      </c>
      <c r="O337" s="42">
        <f>tbl_scenarios[[#This Row],[net_profit_C]]/(tbl_raw[[#This Row],[gross_revenue]]*(1-scn_C_price_down))</f>
        <v>0.50422883295194498</v>
      </c>
      <c r="P337" s="43">
        <f>tbl_scenarios[[#This Row],[net_margin_C]]-tbl_scenarios[[#This Row],[net_margin_pct]]</f>
        <v>-2.478855835240279E-2</v>
      </c>
      <c r="Q33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3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38" spans="1:18" x14ac:dyDescent="0.35">
      <c r="A338" s="17" t="str">
        <f>tbl_raw[[#This Row],[product_id]]</f>
        <v>ee0c1cf2fbeae95205b4aa506f1469f0</v>
      </c>
      <c r="B338" t="str">
        <f>tbl_raw[[#This Row],[category]]</f>
        <v>perfumery</v>
      </c>
      <c r="C338" s="2">
        <f>tbl_profitability[[#This Row],[net_profit]]</f>
        <v>1048.3899999999996</v>
      </c>
      <c r="D338" s="42">
        <f>tbl_profitability[[#This Row],[net_margin_pct]]</f>
        <v>0.22800454969541828</v>
      </c>
      <c r="E338" s="49" t="str">
        <f>tbl_profitability[[#This Row],[decision]]</f>
        <v>OPTIMIZE</v>
      </c>
      <c r="F338" s="2">
        <f>tbl_raw[[#This Row],[gross_revenue]]-tbl_raw[[#This Row],[return_loss]]-tbl_raw[[#This Row],[cogs]]*(1+scn_A_cogs_up)-(tbl_raw[[#This Row],[storage_cost]]+tbl_raw[[#This Row],[fulfillment_cost]]+tbl_raw[[#This Row],[freight_cost]])</f>
        <v>855.26899999999955</v>
      </c>
      <c r="G338" s="42">
        <f>tbl_scenarios[[#This Row],[net_profit_A]]/tbl_raw[[#This Row],[gross_revenue]]</f>
        <v>0.18600446705276724</v>
      </c>
      <c r="H338" s="43">
        <f>tbl_scenarios[[#This Row],[net_margin_A]]-tbl_scenarios[[#This Row],[net_margin_pct]]</f>
        <v>-4.2000082642651038E-2</v>
      </c>
      <c r="I33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38" s="2">
        <f>tbl_raw[[#This Row],[gross_revenue]]-tbl_raw[[#This Row],[return_loss]]*(1+scn_B_returns_up/0.05)-tbl_raw[[#This Row],[cogs]]-(tbl_raw[[#This Row],[storage_cost]]+tbl_raw[[#This Row],[fulfillment_cost]]+tbl_raw[[#This Row],[freight_cost]])</f>
        <v>1016.3499999999997</v>
      </c>
      <c r="K338" s="42">
        <f>tbl_scenarios[[#This Row],[net_profit_B]]/tbl_raw[[#This Row],[gross_revenue]]</f>
        <v>0.22103646933196461</v>
      </c>
      <c r="L338" s="43">
        <f>tbl_scenarios[[#This Row],[net_margin_B]]-tbl_scenarios[[#This Row],[net_margin_pct]]</f>
        <v>-6.9680803634536714E-3</v>
      </c>
      <c r="M33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38" s="2">
        <f>tbl_raw[[#This Row],[gross_revenue]]*(1-scn_C_price_down)-tbl_raw[[#This Row],[return_loss]]-tbl_raw[[#This Row],[cogs]]-(tbl_raw[[#This Row],[storage_cost]]+tbl_raw[[#This Row],[fulfillment_cost]]+tbl_raw[[#This Row],[freight_cost]])</f>
        <v>818.4844999999998</v>
      </c>
      <c r="O338" s="42">
        <f>tbl_scenarios[[#This Row],[net_profit_C]]/(tbl_raw[[#This Row],[gross_revenue]]*(1-scn_C_price_down))</f>
        <v>0.18737321020570347</v>
      </c>
      <c r="P338" s="43">
        <f>tbl_scenarios[[#This Row],[net_margin_C]]-tbl_scenarios[[#This Row],[net_margin_pct]]</f>
        <v>-4.0631339489714813E-2</v>
      </c>
      <c r="Q33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3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39" spans="1:18" x14ac:dyDescent="0.35">
      <c r="A339" s="17" t="str">
        <f>tbl_raw[[#This Row],[product_id]]</f>
        <v>259037a6a41845e455183f89c5035f18</v>
      </c>
      <c r="B339" t="str">
        <f>tbl_raw[[#This Row],[category]]</f>
        <v>computers</v>
      </c>
      <c r="C339" s="2">
        <f>tbl_profitability[[#This Row],[net_profit]]</f>
        <v>1868.7700000000002</v>
      </c>
      <c r="D339" s="42">
        <f>tbl_profitability[[#This Row],[net_margin_pct]]</f>
        <v>0.4071394335511983</v>
      </c>
      <c r="E339" s="49" t="str">
        <f>tbl_profitability[[#This Row],[decision]]</f>
        <v>SCALE</v>
      </c>
      <c r="F339" s="2">
        <f>tbl_raw[[#This Row],[gross_revenue]]-tbl_raw[[#This Row],[return_loss]]-tbl_raw[[#This Row],[cogs]]*(1+scn_A_cogs_up)-(tbl_raw[[#This Row],[storage_cost]]+tbl_raw[[#This Row],[fulfillment_cost]]+tbl_raw[[#This Row],[freight_cost]])</f>
        <v>1607.14</v>
      </c>
      <c r="G339" s="42">
        <f>tbl_scenarios[[#This Row],[net_profit_A]]/tbl_raw[[#This Row],[gross_revenue]]</f>
        <v>0.35013943355119825</v>
      </c>
      <c r="H339" s="43">
        <f>tbl_scenarios[[#This Row],[net_margin_A]]-tbl_scenarios[[#This Row],[net_margin_pct]]</f>
        <v>-5.7000000000000051E-2</v>
      </c>
      <c r="I33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39" s="2">
        <f>tbl_raw[[#This Row],[gross_revenue]]-tbl_raw[[#This Row],[return_loss]]*(1+scn_B_returns_up/0.05)-tbl_raw[[#This Row],[cogs]]-(tbl_raw[[#This Row],[storage_cost]]+tbl_raw[[#This Row],[fulfillment_cost]]+tbl_raw[[#This Row],[freight_cost]])</f>
        <v>1867.8699999999997</v>
      </c>
      <c r="K339" s="42">
        <f>tbl_scenarios[[#This Row],[net_profit_B]]/tbl_raw[[#This Row],[gross_revenue]]</f>
        <v>0.40694335511982566</v>
      </c>
      <c r="L339" s="43">
        <f>tbl_scenarios[[#This Row],[net_margin_B]]-tbl_scenarios[[#This Row],[net_margin_pct]]</f>
        <v>-1.9607843137264824E-4</v>
      </c>
      <c r="M33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39" s="2">
        <f>tbl_raw[[#This Row],[gross_revenue]]*(1-scn_C_price_down)-tbl_raw[[#This Row],[return_loss]]-tbl_raw[[#This Row],[cogs]]-(tbl_raw[[#This Row],[storage_cost]]+tbl_raw[[#This Row],[fulfillment_cost]]+tbl_raw[[#This Row],[freight_cost]])</f>
        <v>1639.2700000000002</v>
      </c>
      <c r="O339" s="42">
        <f>tbl_scenarios[[#This Row],[net_profit_C]]/(tbl_raw[[#This Row],[gross_revenue]]*(1-scn_C_price_down))</f>
        <v>0.37593624584336666</v>
      </c>
      <c r="P339" s="43">
        <f>tbl_scenarios[[#This Row],[net_margin_C]]-tbl_scenarios[[#This Row],[net_margin_pct]]</f>
        <v>-3.1203187707831648E-2</v>
      </c>
      <c r="Q33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3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40" spans="1:18" x14ac:dyDescent="0.35">
      <c r="A340" s="17" t="str">
        <f>tbl_raw[[#This Row],[product_id]]</f>
        <v>cd48f265a63e13b762601f5f794c5fca</v>
      </c>
      <c r="B340" t="str">
        <f>tbl_raw[[#This Row],[category]]</f>
        <v>drinks</v>
      </c>
      <c r="C340" s="2">
        <f>tbl_profitability[[#This Row],[net_profit]]</f>
        <v>440.59000000000015</v>
      </c>
      <c r="D340" s="42">
        <f>tbl_profitability[[#This Row],[net_margin_pct]]</f>
        <v>9.6161946854367908E-2</v>
      </c>
      <c r="E340" s="49" t="str">
        <f>tbl_profitability[[#This Row],[decision]]</f>
        <v>EXIT</v>
      </c>
      <c r="F340" s="2">
        <f>tbl_raw[[#This Row],[gross_revenue]]-tbl_raw[[#This Row],[return_loss]]-tbl_raw[[#This Row],[cogs]]*(1+scn_A_cogs_up)-(tbl_raw[[#This Row],[storage_cost]]+tbl_raw[[#This Row],[fulfillment_cost]]+tbl_raw[[#This Row],[freight_cost]])</f>
        <v>234.41100000000006</v>
      </c>
      <c r="G340" s="42">
        <f>tbl_scenarios[[#This Row],[net_profit_A]]/tbl_raw[[#This Row],[gross_revenue]]</f>
        <v>5.1161892290063855E-2</v>
      </c>
      <c r="H340" s="43">
        <f>tbl_scenarios[[#This Row],[net_margin_A]]-tbl_scenarios[[#This Row],[net_margin_pct]]</f>
        <v>-4.5000054564304053E-2</v>
      </c>
      <c r="I340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40" s="2">
        <f>tbl_raw[[#This Row],[gross_revenue]]-tbl_raw[[#This Row],[return_loss]]*(1+scn_B_returns_up/0.05)-tbl_raw[[#This Row],[cogs]]-(tbl_raw[[#This Row],[storage_cost]]+tbl_raw[[#This Row],[fulfillment_cost]]+tbl_raw[[#This Row],[freight_cost]])</f>
        <v>431.28999999999996</v>
      </c>
      <c r="K340" s="42">
        <f>tbl_scenarios[[#This Row],[net_profit_B]]/tbl_raw[[#This Row],[gross_revenue]]</f>
        <v>9.4132154744366231E-2</v>
      </c>
      <c r="L340" s="43">
        <f>tbl_scenarios[[#This Row],[net_margin_B]]-tbl_scenarios[[#This Row],[net_margin_pct]]</f>
        <v>-2.0297921100016769E-3</v>
      </c>
      <c r="M340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40" s="2">
        <f>tbl_raw[[#This Row],[gross_revenue]]*(1-scn_C_price_down)-tbl_raw[[#This Row],[return_loss]]-tbl_raw[[#This Row],[cogs]]-(tbl_raw[[#This Row],[storage_cost]]+tbl_raw[[#This Row],[fulfillment_cost]]+tbl_raw[[#This Row],[freight_cost]])</f>
        <v>211.5024999999996</v>
      </c>
      <c r="O340" s="42">
        <f>tbl_scenarios[[#This Row],[net_profit_C]]/(tbl_raw[[#This Row],[gross_revenue]]*(1-scn_C_price_down))</f>
        <v>4.8591523004597674E-2</v>
      </c>
      <c r="P340" s="43">
        <f>tbl_scenarios[[#This Row],[net_margin_C]]-tbl_scenarios[[#This Row],[net_margin_pct]]</f>
        <v>-4.7570423849770234E-2</v>
      </c>
      <c r="Q340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4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41" spans="1:18" x14ac:dyDescent="0.35">
      <c r="A341" s="17" t="str">
        <f>tbl_raw[[#This Row],[product_id]]</f>
        <v>ada6a9116c85d8e56232e0a4265d7db9</v>
      </c>
      <c r="B341" t="str">
        <f>tbl_raw[[#This Row],[category]]</f>
        <v>home_appliances_2</v>
      </c>
      <c r="C341" s="2">
        <f>tbl_profitability[[#This Row],[net_profit]]</f>
        <v>1725.47</v>
      </c>
      <c r="D341" s="42">
        <f>tbl_profitability[[#This Row],[net_margin_pct]]</f>
        <v>0.37748195143294683</v>
      </c>
      <c r="E341" s="49" t="str">
        <f>tbl_profitability[[#This Row],[decision]]</f>
        <v>EXIT</v>
      </c>
      <c r="F341" s="2">
        <f>tbl_raw[[#This Row],[gross_revenue]]-tbl_raw[[#This Row],[return_loss]]-tbl_raw[[#This Row],[cogs]]*(1+scn_A_cogs_up)-(tbl_raw[[#This Row],[storage_cost]]+tbl_raw[[#This Row],[fulfillment_cost]]+tbl_raw[[#This Row],[freight_cost]])</f>
        <v>1464.923</v>
      </c>
      <c r="G341" s="42">
        <f>tbl_scenarios[[#This Row],[net_profit_A]]/tbl_raw[[#This Row],[gross_revenue]]</f>
        <v>0.32048195143294683</v>
      </c>
      <c r="H341" s="43">
        <f>tbl_scenarios[[#This Row],[net_margin_A]]-tbl_scenarios[[#This Row],[net_margin_pct]]</f>
        <v>-5.6999999999999995E-2</v>
      </c>
      <c r="I341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41" s="2">
        <f>tbl_raw[[#This Row],[gross_revenue]]-tbl_raw[[#This Row],[return_loss]]*(1+scn_B_returns_up/0.05)-tbl_raw[[#This Row],[cogs]]-(tbl_raw[[#This Row],[storage_cost]]+tbl_raw[[#This Row],[fulfillment_cost]]+tbl_raw[[#This Row],[freight_cost]])</f>
        <v>1724.7500000000007</v>
      </c>
      <c r="K341" s="42">
        <f>tbl_scenarios[[#This Row],[net_profit_B]]/tbl_raw[[#This Row],[gross_revenue]]</f>
        <v>0.37732443666593757</v>
      </c>
      <c r="L341" s="43">
        <f>tbl_scenarios[[#This Row],[net_margin_B]]-tbl_scenarios[[#This Row],[net_margin_pct]]</f>
        <v>-1.5751476700925915E-4</v>
      </c>
      <c r="M341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41" s="2">
        <f>tbl_raw[[#This Row],[gross_revenue]]*(1-scn_C_price_down)-tbl_raw[[#This Row],[return_loss]]-tbl_raw[[#This Row],[cogs]]-(tbl_raw[[#This Row],[storage_cost]]+tbl_raw[[#This Row],[fulfillment_cost]]+tbl_raw[[#This Row],[freight_cost]])</f>
        <v>1496.9199999999998</v>
      </c>
      <c r="O341" s="42">
        <f>tbl_scenarios[[#This Row],[net_profit_C]]/(tbl_raw[[#This Row],[gross_revenue]]*(1-scn_C_price_down))</f>
        <v>0.34471784361362823</v>
      </c>
      <c r="P341" s="43">
        <f>tbl_scenarios[[#This Row],[net_margin_C]]-tbl_scenarios[[#This Row],[net_margin_pct]]</f>
        <v>-3.27641078193186E-2</v>
      </c>
      <c r="Q341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4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42" spans="1:18" x14ac:dyDescent="0.35">
      <c r="A342" s="17" t="str">
        <f>tbl_raw[[#This Row],[product_id]]</f>
        <v>b68cf84ede4fd1e14b1740de5b727d55</v>
      </c>
      <c r="B342" t="str">
        <f>tbl_raw[[#This Row],[category]]</f>
        <v>health_beauty</v>
      </c>
      <c r="C342" s="2">
        <f>tbl_profitability[[#This Row],[net_profit]]</f>
        <v>2389.5099999999998</v>
      </c>
      <c r="D342" s="42">
        <f>tbl_profitability[[#This Row],[net_margin_pct]]</f>
        <v>0.52436032477507122</v>
      </c>
      <c r="E342" s="49" t="str">
        <f>tbl_profitability[[#This Row],[decision]]</f>
        <v>OPTIMIZE</v>
      </c>
      <c r="F342" s="2">
        <f>tbl_raw[[#This Row],[gross_revenue]]-tbl_raw[[#This Row],[return_loss]]-tbl_raw[[#This Row],[cogs]]*(1+scn_A_cogs_up)-(tbl_raw[[#This Row],[storage_cost]]+tbl_raw[[#This Row],[fulfillment_cost]]+tbl_raw[[#This Row],[freight_cost]])</f>
        <v>2198.1159999999995</v>
      </c>
      <c r="G342" s="42">
        <f>tbl_scenarios[[#This Row],[net_profit_A]]/tbl_raw[[#This Row],[gross_revenue]]</f>
        <v>0.48236032477507124</v>
      </c>
      <c r="H342" s="43">
        <f>tbl_scenarios[[#This Row],[net_margin_A]]-tbl_scenarios[[#This Row],[net_margin_pct]]</f>
        <v>-4.1999999999999982E-2</v>
      </c>
      <c r="I34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42" s="2">
        <f>tbl_raw[[#This Row],[gross_revenue]]-tbl_raw[[#This Row],[return_loss]]*(1+scn_B_returns_up/0.05)-tbl_raw[[#This Row],[cogs]]-(tbl_raw[[#This Row],[storage_cost]]+tbl_raw[[#This Row],[fulfillment_cost]]+tbl_raw[[#This Row],[freight_cost]])</f>
        <v>2386.6299999999997</v>
      </c>
      <c r="K342" s="42">
        <f>tbl_scenarios[[#This Row],[net_profit_B]]/tbl_raw[[#This Row],[gross_revenue]]</f>
        <v>0.52372833004169406</v>
      </c>
      <c r="L342" s="43">
        <f>tbl_scenarios[[#This Row],[net_margin_B]]-tbl_scenarios[[#This Row],[net_margin_pct]]</f>
        <v>-6.3199473337716139E-4</v>
      </c>
      <c r="M34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42" s="2">
        <f>tbl_raw[[#This Row],[gross_revenue]]*(1-scn_C_price_down)-tbl_raw[[#This Row],[return_loss]]-tbl_raw[[#This Row],[cogs]]-(tbl_raw[[#This Row],[storage_cost]]+tbl_raw[[#This Row],[fulfillment_cost]]+tbl_raw[[#This Row],[freight_cost]])</f>
        <v>2161.6599999999994</v>
      </c>
      <c r="O342" s="42">
        <f>tbl_scenarios[[#This Row],[net_profit_C]]/(tbl_raw[[#This Row],[gross_revenue]]*(1-scn_C_price_down))</f>
        <v>0.49932665765796969</v>
      </c>
      <c r="P342" s="43">
        <f>tbl_scenarios[[#This Row],[net_margin_C]]-tbl_scenarios[[#This Row],[net_margin_pct]]</f>
        <v>-2.5033667117101532E-2</v>
      </c>
      <c r="Q34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4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43" spans="1:18" x14ac:dyDescent="0.35">
      <c r="A343" s="17" t="str">
        <f>tbl_raw[[#This Row],[product_id]]</f>
        <v>b2e22c958b453a43a650a579dcac2e43</v>
      </c>
      <c r="B343" t="str">
        <f>tbl_raw[[#This Row],[category]]</f>
        <v>watches_gifts</v>
      </c>
      <c r="C343" s="2">
        <f>tbl_profitability[[#This Row],[net_profit]]</f>
        <v>2406.3199999999997</v>
      </c>
      <c r="D343" s="42">
        <f>tbl_profitability[[#This Row],[net_margin_pct]]</f>
        <v>0.5281801280545757</v>
      </c>
      <c r="E343" s="49" t="str">
        <f>tbl_profitability[[#This Row],[decision]]</f>
        <v>SCALE</v>
      </c>
      <c r="F343" s="2">
        <f>tbl_raw[[#This Row],[gross_revenue]]-tbl_raw[[#This Row],[return_loss]]-tbl_raw[[#This Row],[cogs]]*(1+scn_A_cogs_up)-(tbl_raw[[#This Row],[storage_cost]]+tbl_raw[[#This Row],[fulfillment_cost]]+tbl_raw[[#This Row],[freight_cost]])</f>
        <v>2214.973</v>
      </c>
      <c r="G343" s="42">
        <f>tbl_scenarios[[#This Row],[net_profit_A]]/tbl_raw[[#This Row],[gross_revenue]]</f>
        <v>0.48618002708593527</v>
      </c>
      <c r="H343" s="43">
        <f>tbl_scenarios[[#This Row],[net_margin_A]]-tbl_scenarios[[#This Row],[net_margin_pct]]</f>
        <v>-4.200010096864043E-2</v>
      </c>
      <c r="I34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43" s="2">
        <f>tbl_raw[[#This Row],[gross_revenue]]-tbl_raw[[#This Row],[return_loss]]*(1+scn_B_returns_up/0.05)-tbl_raw[[#This Row],[cogs]]-(tbl_raw[[#This Row],[storage_cost]]+tbl_raw[[#This Row],[fulfillment_cost]]+tbl_raw[[#This Row],[freight_cost]])</f>
        <v>2401.9999999999991</v>
      </c>
      <c r="K343" s="42">
        <f>tbl_scenarios[[#This Row],[net_profit_B]]/tbl_raw[[#This Row],[gross_revenue]]</f>
        <v>0.52723190082245519</v>
      </c>
      <c r="L343" s="43">
        <f>tbl_scenarios[[#This Row],[net_margin_B]]-tbl_scenarios[[#This Row],[net_margin_pct]]</f>
        <v>-9.4822723212051319E-4</v>
      </c>
      <c r="M34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43" s="2">
        <f>tbl_raw[[#This Row],[gross_revenue]]*(1-scn_C_price_down)-tbl_raw[[#This Row],[return_loss]]-tbl_raw[[#This Row],[cogs]]-(tbl_raw[[#This Row],[storage_cost]]+tbl_raw[[#This Row],[fulfillment_cost]]+tbl_raw[[#This Row],[freight_cost]])</f>
        <v>2178.5264999999999</v>
      </c>
      <c r="O343" s="42">
        <f>tbl_scenarios[[#This Row],[net_profit_C]]/(tbl_raw[[#This Row],[gross_revenue]]*(1-scn_C_price_down))</f>
        <v>0.50334750321534283</v>
      </c>
      <c r="P343" s="43">
        <f>tbl_scenarios[[#This Row],[net_margin_C]]-tbl_scenarios[[#This Row],[net_margin_pct]]</f>
        <v>-2.4832624839232875E-2</v>
      </c>
      <c r="Q34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4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44" spans="1:18" x14ac:dyDescent="0.35">
      <c r="A344" s="17" t="str">
        <f>tbl_raw[[#This Row],[product_id]]</f>
        <v>64cc57332d82d99ae365b4f5f1048bd0</v>
      </c>
      <c r="B344" t="str">
        <f>tbl_raw[[#This Row],[category]]</f>
        <v>health_beauty</v>
      </c>
      <c r="C344" s="2">
        <f>tbl_profitability[[#This Row],[net_profit]]</f>
        <v>2458.94</v>
      </c>
      <c r="D344" s="42">
        <f>tbl_profitability[[#This Row],[net_margin_pct]]</f>
        <v>0.5399220508316408</v>
      </c>
      <c r="E344" s="49" t="str">
        <f>tbl_profitability[[#This Row],[decision]]</f>
        <v>SCALE</v>
      </c>
      <c r="F344" s="2">
        <f>tbl_raw[[#This Row],[gross_revenue]]-tbl_raw[[#This Row],[return_loss]]-tbl_raw[[#This Row],[cogs]]*(1+scn_A_cogs_up)-(tbl_raw[[#This Row],[storage_cost]]+tbl_raw[[#This Row],[fulfillment_cost]]+tbl_raw[[#This Row],[freight_cost]])</f>
        <v>2267.6610000000001</v>
      </c>
      <c r="G344" s="42">
        <f>tbl_scenarios[[#This Row],[net_profit_A]]/tbl_raw[[#This Row],[gross_revenue]]</f>
        <v>0.49792194104407972</v>
      </c>
      <c r="H344" s="43">
        <f>tbl_scenarios[[#This Row],[net_margin_A]]-tbl_scenarios[[#This Row],[net_margin_pct]]</f>
        <v>-4.200010978756108E-2</v>
      </c>
      <c r="I34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44" s="2">
        <f>tbl_raw[[#This Row],[gross_revenue]]-tbl_raw[[#This Row],[return_loss]]*(1+scn_B_returns_up/0.05)-tbl_raw[[#This Row],[cogs]]-(tbl_raw[[#This Row],[storage_cost]]+tbl_raw[[#This Row],[fulfillment_cost]]+tbl_raw[[#This Row],[freight_cost]])</f>
        <v>2457.14</v>
      </c>
      <c r="K344" s="42">
        <f>tbl_scenarios[[#This Row],[net_profit_B]]/tbl_raw[[#This Row],[gross_revenue]]</f>
        <v>0.53952681561179117</v>
      </c>
      <c r="L344" s="43">
        <f>tbl_scenarios[[#This Row],[net_margin_B]]-tbl_scenarios[[#This Row],[net_margin_pct]]</f>
        <v>-3.9523521984963228E-4</v>
      </c>
      <c r="M34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44" s="2">
        <f>tbl_raw[[#This Row],[gross_revenue]]*(1-scn_C_price_down)-tbl_raw[[#This Row],[return_loss]]-tbl_raw[[#This Row],[cogs]]-(tbl_raw[[#This Row],[storage_cost]]+tbl_raw[[#This Row],[fulfillment_cost]]+tbl_raw[[#This Row],[freight_cost]])</f>
        <v>2231.2274999999995</v>
      </c>
      <c r="O344" s="42">
        <f>tbl_scenarios[[#This Row],[net_profit_C]]/(tbl_raw[[#This Row],[gross_revenue]]*(1-scn_C_price_down))</f>
        <v>0.51570742192804286</v>
      </c>
      <c r="P344" s="43">
        <f>tbl_scenarios[[#This Row],[net_margin_C]]-tbl_scenarios[[#This Row],[net_margin_pct]]</f>
        <v>-2.4214628903597935E-2</v>
      </c>
      <c r="Q34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4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45" spans="1:18" x14ac:dyDescent="0.35">
      <c r="A345" s="17" t="str">
        <f>tbl_raw[[#This Row],[product_id]]</f>
        <v>5f19455f0c3902e89f16a6042bd4221d</v>
      </c>
      <c r="B345" t="str">
        <f>tbl_raw[[#This Row],[category]]</f>
        <v>health_beauty</v>
      </c>
      <c r="C345" s="2">
        <f>tbl_profitability[[#This Row],[net_profit]]</f>
        <v>2292.16</v>
      </c>
      <c r="D345" s="42">
        <f>tbl_profitability[[#This Row],[net_margin_pct]]</f>
        <v>0.50450767713762501</v>
      </c>
      <c r="E345" s="49" t="str">
        <f>tbl_profitability[[#This Row],[decision]]</f>
        <v>SCALE</v>
      </c>
      <c r="F345" s="2">
        <f>tbl_raw[[#This Row],[gross_revenue]]-tbl_raw[[#This Row],[return_loss]]-tbl_raw[[#This Row],[cogs]]*(1+scn_A_cogs_up)-(tbl_raw[[#This Row],[storage_cost]]+tbl_raw[[#This Row],[fulfillment_cost]]+tbl_raw[[#This Row],[freight_cost]])</f>
        <v>2101.338999999999</v>
      </c>
      <c r="G345" s="42">
        <f>tbl_scenarios[[#This Row],[net_profit_A]]/tbl_raw[[#This Row],[gross_revenue]]</f>
        <v>0.46250770354979559</v>
      </c>
      <c r="H345" s="43">
        <f>tbl_scenarios[[#This Row],[net_margin_A]]-tbl_scenarios[[#This Row],[net_margin_pct]]</f>
        <v>-4.199997358782942E-2</v>
      </c>
      <c r="I34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45" s="2">
        <f>tbl_raw[[#This Row],[gross_revenue]]-tbl_raw[[#This Row],[return_loss]]*(1+scn_B_returns_up/0.05)-tbl_raw[[#This Row],[cogs]]-(tbl_raw[[#This Row],[storage_cost]]+tbl_raw[[#This Row],[fulfillment_cost]]+tbl_raw[[#This Row],[freight_cost]])</f>
        <v>2288.1999999999998</v>
      </c>
      <c r="K345" s="42">
        <f>tbl_scenarios[[#This Row],[net_profit_B]]/tbl_raw[[#This Row],[gross_revenue]]</f>
        <v>0.50363607550359202</v>
      </c>
      <c r="L345" s="43">
        <f>tbl_scenarios[[#This Row],[net_margin_B]]-tbl_scenarios[[#This Row],[net_margin_pct]]</f>
        <v>-8.716016340329924E-4</v>
      </c>
      <c r="M34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45" s="2">
        <f>tbl_raw[[#This Row],[gross_revenue]]*(1-scn_C_price_down)-tbl_raw[[#This Row],[return_loss]]-tbl_raw[[#This Row],[cogs]]-(tbl_raw[[#This Row],[storage_cost]]+tbl_raw[[#This Row],[fulfillment_cost]]+tbl_raw[[#This Row],[freight_cost]])</f>
        <v>2064.9919999999993</v>
      </c>
      <c r="O345" s="42">
        <f>tbl_scenarios[[#This Row],[net_profit_C]]/(tbl_raw[[#This Row],[gross_revenue]]*(1-scn_C_price_down))</f>
        <v>0.47842913382907892</v>
      </c>
      <c r="P345" s="43">
        <f>tbl_scenarios[[#This Row],[net_margin_C]]-tbl_scenarios[[#This Row],[net_margin_pct]]</f>
        <v>-2.6078543308546087E-2</v>
      </c>
      <c r="Q34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4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46" spans="1:18" x14ac:dyDescent="0.35">
      <c r="A346" s="17" t="str">
        <f>tbl_raw[[#This Row],[product_id]]</f>
        <v>628b17449083fb34688b2959b80bdecd</v>
      </c>
      <c r="B346" t="str">
        <f>tbl_raw[[#This Row],[category]]</f>
        <v>auto</v>
      </c>
      <c r="C346" s="2">
        <f>tbl_profitability[[#This Row],[net_profit]]</f>
        <v>2354.58</v>
      </c>
      <c r="D346" s="42">
        <f>tbl_profitability[[#This Row],[net_margin_pct]]</f>
        <v>0.52138618246235602</v>
      </c>
      <c r="E346" s="49" t="str">
        <f>tbl_profitability[[#This Row],[decision]]</f>
        <v>OPTIMIZE</v>
      </c>
      <c r="F346" s="2">
        <f>tbl_raw[[#This Row],[gross_revenue]]-tbl_raw[[#This Row],[return_loss]]-tbl_raw[[#This Row],[cogs]]*(1+scn_A_cogs_up)-(tbl_raw[[#This Row],[storage_cost]]+tbl_raw[[#This Row],[fulfillment_cost]]+tbl_raw[[#This Row],[freight_cost]])</f>
        <v>2151.3599999999997</v>
      </c>
      <c r="G346" s="42">
        <f>tbl_scenarios[[#This Row],[net_profit_A]]/tbl_raw[[#This Row],[gross_revenue]]</f>
        <v>0.47638618246235598</v>
      </c>
      <c r="H346" s="43">
        <f>tbl_scenarios[[#This Row],[net_margin_A]]-tbl_scenarios[[#This Row],[net_margin_pct]]</f>
        <v>-4.500000000000004E-2</v>
      </c>
      <c r="I34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46" s="2">
        <f>tbl_raw[[#This Row],[gross_revenue]]-tbl_raw[[#This Row],[return_loss]]*(1+scn_B_returns_up/0.05)-tbl_raw[[#This Row],[cogs]]-(tbl_raw[[#This Row],[storage_cost]]+tbl_raw[[#This Row],[fulfillment_cost]]+tbl_raw[[#This Row],[freight_cost]])</f>
        <v>2353.8600000000006</v>
      </c>
      <c r="K346" s="42">
        <f>tbl_scenarios[[#This Row],[net_profit_B]]/tbl_raw[[#This Row],[gross_revenue]]</f>
        <v>0.52122674933569546</v>
      </c>
      <c r="L346" s="43">
        <f>tbl_scenarios[[#This Row],[net_margin_B]]-tbl_scenarios[[#This Row],[net_margin_pct]]</f>
        <v>-1.5943312666055753E-4</v>
      </c>
      <c r="M34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46" s="2">
        <f>tbl_raw[[#This Row],[gross_revenue]]*(1-scn_C_price_down)-tbl_raw[[#This Row],[return_loss]]-tbl_raw[[#This Row],[cogs]]-(tbl_raw[[#This Row],[storage_cost]]+tbl_raw[[#This Row],[fulfillment_cost]]+tbl_raw[[#This Row],[freight_cost]])</f>
        <v>2128.7799999999997</v>
      </c>
      <c r="O346" s="42">
        <f>tbl_scenarios[[#This Row],[net_profit_C]]/(tbl_raw[[#This Row],[gross_revenue]]*(1-scn_C_price_down))</f>
        <v>0.49619598153932215</v>
      </c>
      <c r="P346" s="43">
        <f>tbl_scenarios[[#This Row],[net_margin_C]]-tbl_scenarios[[#This Row],[net_margin_pct]]</f>
        <v>-2.5190200923033867E-2</v>
      </c>
      <c r="Q34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4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47" spans="1:18" x14ac:dyDescent="0.35">
      <c r="A347" s="17" t="str">
        <f>tbl_raw[[#This Row],[product_id]]</f>
        <v>fe077ec80df6b4ee60bb4498d5ab1962</v>
      </c>
      <c r="B347" t="str">
        <f>tbl_raw[[#This Row],[category]]</f>
        <v>computers_accessories</v>
      </c>
      <c r="C347" s="2">
        <f>tbl_profitability[[#This Row],[net_profit]]</f>
        <v>927.33000000000027</v>
      </c>
      <c r="D347" s="42">
        <f>tbl_profitability[[#This Row],[net_margin_pct]]</f>
        <v>0.20621080720480325</v>
      </c>
      <c r="E347" s="49" t="str">
        <f>tbl_profitability[[#This Row],[decision]]</f>
        <v>OPTIMIZE</v>
      </c>
      <c r="F347" s="2">
        <f>tbl_raw[[#This Row],[gross_revenue]]-tbl_raw[[#This Row],[return_loss]]-tbl_raw[[#This Row],[cogs]]*(1+scn_A_cogs_up)-(tbl_raw[[#This Row],[storage_cost]]+tbl_raw[[#This Row],[fulfillment_cost]]+tbl_raw[[#This Row],[freight_cost]])</f>
        <v>671.00100000000009</v>
      </c>
      <c r="G347" s="42">
        <f>tbl_scenarios[[#This Row],[net_profit_A]]/tbl_raw[[#This Row],[gross_revenue]]</f>
        <v>0.14921080720480323</v>
      </c>
      <c r="H347" s="43">
        <f>tbl_scenarios[[#This Row],[net_margin_A]]-tbl_scenarios[[#This Row],[net_margin_pct]]</f>
        <v>-5.7000000000000023E-2</v>
      </c>
      <c r="I34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47" s="2">
        <f>tbl_raw[[#This Row],[gross_revenue]]-tbl_raw[[#This Row],[return_loss]]*(1+scn_B_returns_up/0.05)-tbl_raw[[#This Row],[cogs]]-(tbl_raw[[#This Row],[storage_cost]]+tbl_raw[[#This Row],[fulfillment_cost]]+tbl_raw[[#This Row],[freight_cost]])</f>
        <v>897.63000000000045</v>
      </c>
      <c r="K347" s="42">
        <f>tbl_scenarios[[#This Row],[net_profit_B]]/tbl_raw[[#This Row],[gross_revenue]]</f>
        <v>0.19960640426951312</v>
      </c>
      <c r="L347" s="43">
        <f>tbl_scenarios[[#This Row],[net_margin_B]]-tbl_scenarios[[#This Row],[net_margin_pct]]</f>
        <v>-6.6044029352901323E-3</v>
      </c>
      <c r="M347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47" s="2">
        <f>tbl_raw[[#This Row],[gross_revenue]]*(1-scn_C_price_down)-tbl_raw[[#This Row],[return_loss]]-tbl_raw[[#This Row],[cogs]]-(tbl_raw[[#This Row],[storage_cost]]+tbl_raw[[#This Row],[fulfillment_cost]]+tbl_raw[[#This Row],[freight_cost]])</f>
        <v>702.4799999999999</v>
      </c>
      <c r="O347" s="42">
        <f>tbl_scenarios[[#This Row],[net_profit_C]]/(tbl_raw[[#This Row],[gross_revenue]]*(1-scn_C_price_down))</f>
        <v>0.16443242863663493</v>
      </c>
      <c r="P347" s="43">
        <f>tbl_scenarios[[#This Row],[net_margin_C]]-tbl_scenarios[[#This Row],[net_margin_pct]]</f>
        <v>-4.1778378568168323E-2</v>
      </c>
      <c r="Q34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4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48" spans="1:18" x14ac:dyDescent="0.35">
      <c r="A348" s="17" t="str">
        <f>tbl_raw[[#This Row],[product_id]]</f>
        <v>06fb87866499b0e65992b2d88aca8282</v>
      </c>
      <c r="B348" t="str">
        <f>tbl_raw[[#This Row],[category]]</f>
        <v>watches_gifts</v>
      </c>
      <c r="C348" s="2">
        <f>tbl_profitability[[#This Row],[net_profit]]</f>
        <v>2475.6799999999998</v>
      </c>
      <c r="D348" s="42">
        <f>tbl_profitability[[#This Row],[net_margin_pct]]</f>
        <v>0.55076307007786429</v>
      </c>
      <c r="E348" s="49" t="str">
        <f>tbl_profitability[[#This Row],[decision]]</f>
        <v>SCALE</v>
      </c>
      <c r="F348" s="2">
        <f>tbl_raw[[#This Row],[gross_revenue]]-tbl_raw[[#This Row],[return_loss]]-tbl_raw[[#This Row],[cogs]]*(1+scn_A_cogs_up)-(tbl_raw[[#This Row],[storage_cost]]+tbl_raw[[#This Row],[fulfillment_cost]]+tbl_raw[[#This Row],[freight_cost]])</f>
        <v>2286.89</v>
      </c>
      <c r="G348" s="42">
        <f>tbl_scenarios[[#This Row],[net_profit_A]]/tbl_raw[[#This Row],[gross_revenue]]</f>
        <v>0.50876307007786425</v>
      </c>
      <c r="H348" s="43">
        <f>tbl_scenarios[[#This Row],[net_margin_A]]-tbl_scenarios[[#This Row],[net_margin_pct]]</f>
        <v>-4.2000000000000037E-2</v>
      </c>
      <c r="I34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48" s="2">
        <f>tbl_raw[[#This Row],[gross_revenue]]-tbl_raw[[#This Row],[return_loss]]*(1+scn_B_returns_up/0.05)-tbl_raw[[#This Row],[cogs]]-(tbl_raw[[#This Row],[storage_cost]]+tbl_raw[[#This Row],[fulfillment_cost]]+tbl_raw[[#This Row],[freight_cost]])</f>
        <v>2473.8799999999997</v>
      </c>
      <c r="K348" s="42">
        <f>tbl_scenarios[[#This Row],[net_profit_B]]/tbl_raw[[#This Row],[gross_revenue]]</f>
        <v>0.55036262513904333</v>
      </c>
      <c r="L348" s="43">
        <f>tbl_scenarios[[#This Row],[net_margin_B]]-tbl_scenarios[[#This Row],[net_margin_pct]]</f>
        <v>-4.0044493882096521E-4</v>
      </c>
      <c r="M34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48" s="2">
        <f>tbl_raw[[#This Row],[gross_revenue]]*(1-scn_C_price_down)-tbl_raw[[#This Row],[return_loss]]-tbl_raw[[#This Row],[cogs]]-(tbl_raw[[#This Row],[storage_cost]]+tbl_raw[[#This Row],[fulfillment_cost]]+tbl_raw[[#This Row],[freight_cost]])</f>
        <v>2250.9299999999998</v>
      </c>
      <c r="O348" s="42">
        <f>tbl_scenarios[[#This Row],[net_profit_C]]/(tbl_raw[[#This Row],[gross_revenue]]*(1-scn_C_price_down))</f>
        <v>0.52711902113459397</v>
      </c>
      <c r="P348" s="43">
        <f>tbl_scenarios[[#This Row],[net_margin_C]]-tbl_scenarios[[#This Row],[net_margin_pct]]</f>
        <v>-2.3644048943270324E-2</v>
      </c>
      <c r="Q34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4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49" spans="1:18" x14ac:dyDescent="0.35">
      <c r="A349" s="17" t="str">
        <f>tbl_raw[[#This Row],[product_id]]</f>
        <v>f6a84928571f68635beb0f5c9333c6f3</v>
      </c>
      <c r="B349" t="str">
        <f>tbl_raw[[#This Row],[category]]</f>
        <v>sports_leisure</v>
      </c>
      <c r="C349" s="2">
        <f>tbl_profitability[[#This Row],[net_profit]]</f>
        <v>1747.4499999999998</v>
      </c>
      <c r="D349" s="42">
        <f>tbl_profitability[[#This Row],[net_margin_pct]]</f>
        <v>0.38875417130144602</v>
      </c>
      <c r="E349" s="49" t="str">
        <f>tbl_profitability[[#This Row],[decision]]</f>
        <v>SCALE</v>
      </c>
      <c r="F349" s="2">
        <f>tbl_raw[[#This Row],[gross_revenue]]-tbl_raw[[#This Row],[return_loss]]-tbl_raw[[#This Row],[cogs]]*(1+scn_A_cogs_up)-(tbl_raw[[#This Row],[storage_cost]]+tbl_raw[[#This Row],[fulfillment_cost]]+tbl_raw[[#This Row],[freight_cost]])</f>
        <v>1558.6599999999999</v>
      </c>
      <c r="G349" s="42">
        <f>tbl_scenarios[[#This Row],[net_profit_A]]/tbl_raw[[#This Row],[gross_revenue]]</f>
        <v>0.34675417130144603</v>
      </c>
      <c r="H349" s="43">
        <f>tbl_scenarios[[#This Row],[net_margin_A]]-tbl_scenarios[[#This Row],[net_margin_pct]]</f>
        <v>-4.1999999999999982E-2</v>
      </c>
      <c r="I34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49" s="2">
        <f>tbl_raw[[#This Row],[gross_revenue]]-tbl_raw[[#This Row],[return_loss]]*(1+scn_B_returns_up/0.05)-tbl_raw[[#This Row],[cogs]]-(tbl_raw[[#This Row],[storage_cost]]+tbl_raw[[#This Row],[fulfillment_cost]]+tbl_raw[[#This Row],[freight_cost]])</f>
        <v>1745.6499999999996</v>
      </c>
      <c r="K349" s="42">
        <f>tbl_scenarios[[#This Row],[net_profit_B]]/tbl_raw[[#This Row],[gross_revenue]]</f>
        <v>0.38835372636262505</v>
      </c>
      <c r="L349" s="43">
        <f>tbl_scenarios[[#This Row],[net_margin_B]]-tbl_scenarios[[#This Row],[net_margin_pct]]</f>
        <v>-4.0044493882096521E-4</v>
      </c>
      <c r="M34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49" s="2">
        <f>tbl_raw[[#This Row],[gross_revenue]]*(1-scn_C_price_down)-tbl_raw[[#This Row],[return_loss]]-tbl_raw[[#This Row],[cogs]]-(tbl_raw[[#This Row],[storage_cost]]+tbl_raw[[#This Row],[fulfillment_cost]]+tbl_raw[[#This Row],[freight_cost]])</f>
        <v>1522.6999999999998</v>
      </c>
      <c r="O349" s="42">
        <f>tbl_scenarios[[#This Row],[net_profit_C]]/(tbl_raw[[#This Row],[gross_revenue]]*(1-scn_C_price_down))</f>
        <v>0.35658333821204841</v>
      </c>
      <c r="P349" s="43">
        <f>tbl_scenarios[[#This Row],[net_margin_C]]-tbl_scenarios[[#This Row],[net_margin_pct]]</f>
        <v>-3.217083308939761E-2</v>
      </c>
      <c r="Q34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4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50" spans="1:18" x14ac:dyDescent="0.35">
      <c r="A350" s="17" t="str">
        <f>tbl_raw[[#This Row],[product_id]]</f>
        <v>37b99aa22bbac19b2a4afc4b2a958a53</v>
      </c>
      <c r="B350" t="str">
        <f>tbl_raw[[#This Row],[category]]</f>
        <v>garden_tools</v>
      </c>
      <c r="C350" s="2">
        <f>tbl_profitability[[#This Row],[net_profit]]</f>
        <v>1061.8600000000004</v>
      </c>
      <c r="D350" s="42">
        <f>tbl_profitability[[#This Row],[net_margin_pct]]</f>
        <v>0.23644598434173852</v>
      </c>
      <c r="E350" s="49" t="str">
        <f>tbl_profitability[[#This Row],[decision]]</f>
        <v>OPTIMIZE</v>
      </c>
      <c r="F350" s="2">
        <f>tbl_raw[[#This Row],[gross_revenue]]-tbl_raw[[#This Row],[return_loss]]-tbl_raw[[#This Row],[cogs]]*(1+scn_A_cogs_up)-(tbl_raw[[#This Row],[storage_cost]]+tbl_raw[[#This Row],[fulfillment_cost]]+tbl_raw[[#This Row],[freight_cost]])</f>
        <v>859.76900000000001</v>
      </c>
      <c r="G350" s="42">
        <f>tbl_scenarios[[#This Row],[net_profit_A]]/tbl_raw[[#This Row],[gross_revenue]]</f>
        <v>0.191446073410348</v>
      </c>
      <c r="H350" s="43">
        <f>tbl_scenarios[[#This Row],[net_margin_A]]-tbl_scenarios[[#This Row],[net_margin_pct]]</f>
        <v>-4.4999910931390524E-2</v>
      </c>
      <c r="I35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50" s="2">
        <f>tbl_raw[[#This Row],[gross_revenue]]-tbl_raw[[#This Row],[return_loss]]*(1+scn_B_returns_up/0.05)-tbl_raw[[#This Row],[cogs]]-(tbl_raw[[#This Row],[storage_cost]]+tbl_raw[[#This Row],[fulfillment_cost]]+tbl_raw[[#This Row],[freight_cost]])</f>
        <v>1055.7400000000005</v>
      </c>
      <c r="K350" s="42">
        <f>tbl_scenarios[[#This Row],[net_profit_B]]/tbl_raw[[#This Row],[gross_revenue]]</f>
        <v>0.23508323461562453</v>
      </c>
      <c r="L350" s="43">
        <f>tbl_scenarios[[#This Row],[net_margin_B]]-tbl_scenarios[[#This Row],[net_margin_pct]]</f>
        <v>-1.3627497261139987E-3</v>
      </c>
      <c r="M350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50" s="2">
        <f>tbl_raw[[#This Row],[gross_revenue]]*(1-scn_C_price_down)-tbl_raw[[#This Row],[return_loss]]-tbl_raw[[#This Row],[cogs]]-(tbl_raw[[#This Row],[storage_cost]]+tbl_raw[[#This Row],[fulfillment_cost]]+tbl_raw[[#This Row],[freight_cost]])</f>
        <v>837.31400000000008</v>
      </c>
      <c r="O350" s="42">
        <f>tbl_scenarios[[#This Row],[net_profit_C]]/(tbl_raw[[#This Row],[gross_revenue]]*(1-scn_C_price_down))</f>
        <v>0.19625893088604049</v>
      </c>
      <c r="P350" s="43">
        <f>tbl_scenarios[[#This Row],[net_margin_C]]-tbl_scenarios[[#This Row],[net_margin_pct]]</f>
        <v>-4.0187053455698035E-2</v>
      </c>
      <c r="Q350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5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51" spans="1:18" x14ac:dyDescent="0.35">
      <c r="A351" s="17" t="str">
        <f>tbl_raw[[#This Row],[product_id]]</f>
        <v>ba74c6b75d2ad7503175809688d5a03c</v>
      </c>
      <c r="B351" t="str">
        <f>tbl_raw[[#This Row],[category]]</f>
        <v>watches_gifts</v>
      </c>
      <c r="C351" s="2">
        <f>tbl_profitability[[#This Row],[net_profit]]</f>
        <v>2001.7600000000002</v>
      </c>
      <c r="D351" s="42">
        <f>tbl_profitability[[#This Row],[net_margin_pct]]</f>
        <v>0.44600011140199414</v>
      </c>
      <c r="E351" s="49" t="str">
        <f>tbl_profitability[[#This Row],[decision]]</f>
        <v>SCALE</v>
      </c>
      <c r="F351" s="2">
        <f>tbl_raw[[#This Row],[gross_revenue]]-tbl_raw[[#This Row],[return_loss]]-tbl_raw[[#This Row],[cogs]]*(1+scn_A_cogs_up)-(tbl_raw[[#This Row],[storage_cost]]+tbl_raw[[#This Row],[fulfillment_cost]]+tbl_raw[[#This Row],[freight_cost]])</f>
        <v>1813.2529999999997</v>
      </c>
      <c r="G351" s="42">
        <f>tbl_scenarios[[#This Row],[net_profit_A]]/tbl_raw[[#This Row],[gross_revenue]]</f>
        <v>0.40399999999999991</v>
      </c>
      <c r="H351" s="43">
        <f>tbl_scenarios[[#This Row],[net_margin_A]]-tbl_scenarios[[#This Row],[net_margin_pct]]</f>
        <v>-4.2000111401994222E-2</v>
      </c>
      <c r="I35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51" s="2">
        <f>tbl_raw[[#This Row],[gross_revenue]]-tbl_raw[[#This Row],[return_loss]]*(1+scn_B_returns_up/0.05)-tbl_raw[[#This Row],[cogs]]-(tbl_raw[[#This Row],[storage_cost]]+tbl_raw[[#This Row],[fulfillment_cost]]+tbl_raw[[#This Row],[freight_cost]])</f>
        <v>1992.7600000000002</v>
      </c>
      <c r="K351" s="42">
        <f>tbl_scenarios[[#This Row],[net_profit_B]]/tbl_raw[[#This Row],[gross_revenue]]</f>
        <v>0.44399487550827166</v>
      </c>
      <c r="L351" s="43">
        <f>tbl_scenarios[[#This Row],[net_margin_B]]-tbl_scenarios[[#This Row],[net_margin_pct]]</f>
        <v>-2.005235893722479E-3</v>
      </c>
      <c r="M35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51" s="2">
        <f>tbl_raw[[#This Row],[gross_revenue]]*(1-scn_C_price_down)-tbl_raw[[#This Row],[return_loss]]-tbl_raw[[#This Row],[cogs]]-(tbl_raw[[#This Row],[storage_cost]]+tbl_raw[[#This Row],[fulfillment_cost]]+tbl_raw[[#This Row],[freight_cost]])</f>
        <v>1777.3474999999999</v>
      </c>
      <c r="O351" s="42">
        <f>tbl_scenarios[[#This Row],[net_profit_C]]/(tbl_raw[[#This Row],[gross_revenue]]*(1-scn_C_price_down))</f>
        <v>0.41684222252841485</v>
      </c>
      <c r="P351" s="43">
        <f>tbl_scenarios[[#This Row],[net_margin_C]]-tbl_scenarios[[#This Row],[net_margin_pct]]</f>
        <v>-2.9157888873579285E-2</v>
      </c>
      <c r="Q35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5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52" spans="1:18" x14ac:dyDescent="0.35">
      <c r="A352" s="17" t="str">
        <f>tbl_raw[[#This Row],[product_id]]</f>
        <v>bef6177f54efb9a6218e124b629fc152</v>
      </c>
      <c r="B352" t="str">
        <f>tbl_raw[[#This Row],[category]]</f>
        <v>perfumery</v>
      </c>
      <c r="C352" s="2">
        <f>tbl_profitability[[#This Row],[net_profit]]</f>
        <v>2291.3999999999996</v>
      </c>
      <c r="D352" s="42">
        <f>tbl_profitability[[#This Row],[net_margin_pct]]</f>
        <v>0.5116113950419644</v>
      </c>
      <c r="E352" s="49" t="str">
        <f>tbl_profitability[[#This Row],[decision]]</f>
        <v>SCALE</v>
      </c>
      <c r="F352" s="2">
        <f>tbl_raw[[#This Row],[gross_revenue]]-tbl_raw[[#This Row],[return_loss]]-tbl_raw[[#This Row],[cogs]]*(1+scn_A_cogs_up)-(tbl_raw[[#This Row],[storage_cost]]+tbl_raw[[#This Row],[fulfillment_cost]]+tbl_raw[[#This Row],[freight_cost]])</f>
        <v>2103.2909999999997</v>
      </c>
      <c r="G352" s="42">
        <f>tbl_scenarios[[#This Row],[net_profit_A]]/tbl_raw[[#This Row],[gross_revenue]]</f>
        <v>0.46961143523139054</v>
      </c>
      <c r="H352" s="43">
        <f>tbl_scenarios[[#This Row],[net_margin_A]]-tbl_scenarios[[#This Row],[net_margin_pct]]</f>
        <v>-4.1999959810573861E-2</v>
      </c>
      <c r="I35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52" s="2">
        <f>tbl_raw[[#This Row],[gross_revenue]]-tbl_raw[[#This Row],[return_loss]]*(1+scn_B_returns_up/0.05)-tbl_raw[[#This Row],[cogs]]-(tbl_raw[[#This Row],[storage_cost]]+tbl_raw[[#This Row],[fulfillment_cost]]+tbl_raw[[#This Row],[freight_cost]])</f>
        <v>2286.7200000000003</v>
      </c>
      <c r="K352" s="42">
        <f>tbl_scenarios[[#This Row],[net_profit_B]]/tbl_raw[[#This Row],[gross_revenue]]</f>
        <v>0.51056646996175314</v>
      </c>
      <c r="L352" s="43">
        <f>tbl_scenarios[[#This Row],[net_margin_B]]-tbl_scenarios[[#This Row],[net_margin_pct]]</f>
        <v>-1.0449250802112564E-3</v>
      </c>
      <c r="M35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52" s="2">
        <f>tbl_raw[[#This Row],[gross_revenue]]*(1-scn_C_price_down)-tbl_raw[[#This Row],[return_loss]]-tbl_raw[[#This Row],[cogs]]-(tbl_raw[[#This Row],[storage_cost]]+tbl_raw[[#This Row],[fulfillment_cost]]+tbl_raw[[#This Row],[freight_cost]])</f>
        <v>2067.4604999999992</v>
      </c>
      <c r="O352" s="42">
        <f>tbl_scenarios[[#This Row],[net_profit_C]]/(tbl_raw[[#This Row],[gross_revenue]]*(1-scn_C_price_down))</f>
        <v>0.48590673162312037</v>
      </c>
      <c r="P352" s="43">
        <f>tbl_scenarios[[#This Row],[net_margin_C]]-tbl_scenarios[[#This Row],[net_margin_pct]]</f>
        <v>-2.5704663418844031E-2</v>
      </c>
      <c r="Q35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5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53" spans="1:18" x14ac:dyDescent="0.35">
      <c r="A353" s="17" t="str">
        <f>tbl_raw[[#This Row],[product_id]]</f>
        <v>9ad75bd7267e5c724cb42c71ac56ca72</v>
      </c>
      <c r="B353" t="str">
        <f>tbl_raw[[#This Row],[category]]</f>
        <v>bed_bath_table</v>
      </c>
      <c r="C353" s="2">
        <f>tbl_profitability[[#This Row],[net_profit]]</f>
        <v>1295.3600000000006</v>
      </c>
      <c r="D353" s="42">
        <f>tbl_profitability[[#This Row],[net_margin_pct]]</f>
        <v>0.29006874622119727</v>
      </c>
      <c r="E353" s="49" t="str">
        <f>tbl_profitability[[#This Row],[decision]]</f>
        <v>EXIT</v>
      </c>
      <c r="F353" s="2">
        <f>tbl_raw[[#This Row],[gross_revenue]]-tbl_raw[[#This Row],[return_loss]]-tbl_raw[[#This Row],[cogs]]*(1+scn_A_cogs_up)-(tbl_raw[[#This Row],[storage_cost]]+tbl_raw[[#This Row],[fulfillment_cost]]+tbl_raw[[#This Row],[freight_cost]])</f>
        <v>1094.4030000000002</v>
      </c>
      <c r="G353" s="42">
        <f>tbl_scenarios[[#This Row],[net_profit_A]]/tbl_raw[[#This Row],[gross_revenue]]</f>
        <v>0.24506863425666756</v>
      </c>
      <c r="H353" s="43">
        <f>tbl_scenarios[[#This Row],[net_margin_A]]-tbl_scenarios[[#This Row],[net_margin_pct]]</f>
        <v>-4.5000111964529715E-2</v>
      </c>
      <c r="I353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53" s="2">
        <f>tbl_raw[[#This Row],[gross_revenue]]-tbl_raw[[#This Row],[return_loss]]*(1+scn_B_returns_up/0.05)-tbl_raw[[#This Row],[cogs]]-(tbl_raw[[#This Row],[storage_cost]]+tbl_raw[[#This Row],[fulfillment_cost]]+tbl_raw[[#This Row],[freight_cost]])</f>
        <v>1279.8800000000001</v>
      </c>
      <c r="K353" s="42">
        <f>tbl_scenarios[[#This Row],[net_profit_B]]/tbl_raw[[#This Row],[gross_revenue]]</f>
        <v>0.28660232438363531</v>
      </c>
      <c r="L353" s="43">
        <f>tbl_scenarios[[#This Row],[net_margin_B]]-tbl_scenarios[[#This Row],[net_margin_pct]]</f>
        <v>-3.4664218375619615E-3</v>
      </c>
      <c r="M353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53" s="2">
        <f>tbl_raw[[#This Row],[gross_revenue]]*(1-scn_C_price_down)-tbl_raw[[#This Row],[return_loss]]-tbl_raw[[#This Row],[cogs]]-(tbl_raw[[#This Row],[storage_cost]]+tbl_raw[[#This Row],[fulfillment_cost]]+tbl_raw[[#This Row],[freight_cost]])</f>
        <v>1072.0750000000007</v>
      </c>
      <c r="O353" s="42">
        <f>tbl_scenarios[[#This Row],[net_profit_C]]/(tbl_raw[[#This Row],[gross_revenue]]*(1-scn_C_price_down))</f>
        <v>0.25270394339073399</v>
      </c>
      <c r="P353" s="43">
        <f>tbl_scenarios[[#This Row],[net_margin_C]]-tbl_scenarios[[#This Row],[net_margin_pct]]</f>
        <v>-3.7364802830463284E-2</v>
      </c>
      <c r="Q353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5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54" spans="1:18" x14ac:dyDescent="0.35">
      <c r="A354" s="17" t="str">
        <f>tbl_raw[[#This Row],[product_id]]</f>
        <v>73326828aa5efe1ba096223de496f596</v>
      </c>
      <c r="B354" t="str">
        <f>tbl_raw[[#This Row],[category]]</f>
        <v>food</v>
      </c>
      <c r="C354" s="2">
        <f>tbl_profitability[[#This Row],[net_profit]]</f>
        <v>1350.8400000000006</v>
      </c>
      <c r="D354" s="42">
        <f>tbl_profitability[[#This Row],[net_margin_pct]]</f>
        <v>0.30280967133077197</v>
      </c>
      <c r="E354" s="49" t="str">
        <f>tbl_profitability[[#This Row],[decision]]</f>
        <v>SCALE</v>
      </c>
      <c r="F354" s="2">
        <f>tbl_raw[[#This Row],[gross_revenue]]-tbl_raw[[#This Row],[return_loss]]-tbl_raw[[#This Row],[cogs]]*(1+scn_A_cogs_up)-(tbl_raw[[#This Row],[storage_cost]]+tbl_raw[[#This Row],[fulfillment_cost]]+tbl_raw[[#This Row],[freight_cost]])</f>
        <v>1150.0940000000005</v>
      </c>
      <c r="G354" s="42">
        <f>tbl_scenarios[[#This Row],[net_profit_A]]/tbl_raw[[#This Row],[gross_revenue]]</f>
        <v>0.25780964891437391</v>
      </c>
      <c r="H354" s="43">
        <f>tbl_scenarios[[#This Row],[net_margin_A]]-tbl_scenarios[[#This Row],[net_margin_pct]]</f>
        <v>-4.5000022416398056E-2</v>
      </c>
      <c r="I35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54" s="2">
        <f>tbl_raw[[#This Row],[gross_revenue]]-tbl_raw[[#This Row],[return_loss]]*(1+scn_B_returns_up/0.05)-tbl_raw[[#This Row],[cogs]]-(tbl_raw[[#This Row],[storage_cost]]+tbl_raw[[#This Row],[fulfillment_cost]]+tbl_raw[[#This Row],[freight_cost]])</f>
        <v>1345.44</v>
      </c>
      <c r="K354" s="42">
        <f>tbl_scenarios[[#This Row],[net_profit_B]]/tbl_raw[[#This Row],[gross_revenue]]</f>
        <v>0.30159918583642303</v>
      </c>
      <c r="L354" s="43">
        <f>tbl_scenarios[[#This Row],[net_margin_B]]-tbl_scenarios[[#This Row],[net_margin_pct]]</f>
        <v>-1.210485494348934E-3</v>
      </c>
      <c r="M35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54" s="2">
        <f>tbl_raw[[#This Row],[gross_revenue]]*(1-scn_C_price_down)-tbl_raw[[#This Row],[return_loss]]-tbl_raw[[#This Row],[cogs]]-(tbl_raw[[#This Row],[storage_cost]]+tbl_raw[[#This Row],[fulfillment_cost]]+tbl_raw[[#This Row],[freight_cost]])</f>
        <v>1127.7890000000002</v>
      </c>
      <c r="O354" s="42">
        <f>tbl_scenarios[[#This Row],[net_profit_C]]/(tbl_raw[[#This Row],[gross_revenue]]*(1-scn_C_price_down))</f>
        <v>0.26611544350607574</v>
      </c>
      <c r="P354" s="43">
        <f>tbl_scenarios[[#This Row],[net_margin_C]]-tbl_scenarios[[#This Row],[net_margin_pct]]</f>
        <v>-3.6694227824696224E-2</v>
      </c>
      <c r="Q35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5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55" spans="1:18" x14ac:dyDescent="0.35">
      <c r="A355" s="17" t="str">
        <f>tbl_raw[[#This Row],[product_id]]</f>
        <v>62d41a80c366aa2d8644e3270adf8440</v>
      </c>
      <c r="B355" t="str">
        <f>tbl_raw[[#This Row],[category]]</f>
        <v>computers_accessories</v>
      </c>
      <c r="C355" s="2">
        <f>tbl_profitability[[#This Row],[net_profit]]</f>
        <v>1371.1200000000003</v>
      </c>
      <c r="D355" s="42">
        <f>tbl_profitability[[#This Row],[net_margin_pct]]</f>
        <v>0.31147377125151077</v>
      </c>
      <c r="E355" s="49" t="str">
        <f>tbl_profitability[[#This Row],[decision]]</f>
        <v>OPTIMIZE</v>
      </c>
      <c r="F355" s="2">
        <f>tbl_raw[[#This Row],[gross_revenue]]-tbl_raw[[#This Row],[return_loss]]-tbl_raw[[#This Row],[cogs]]*(1+scn_A_cogs_up)-(tbl_raw[[#This Row],[storage_cost]]+tbl_raw[[#This Row],[fulfillment_cost]]+tbl_raw[[#This Row],[freight_cost]])</f>
        <v>1120.2040000000002</v>
      </c>
      <c r="G355" s="42">
        <f>tbl_scenarios[[#This Row],[net_profit_A]]/tbl_raw[[#This Row],[gross_revenue]]</f>
        <v>0.25447383485838387</v>
      </c>
      <c r="H355" s="43">
        <f>tbl_scenarios[[#This Row],[net_margin_A]]-tbl_scenarios[[#This Row],[net_margin_pct]]</f>
        <v>-5.6999936393126893E-2</v>
      </c>
      <c r="I355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55" s="2">
        <f>tbl_raw[[#This Row],[gross_revenue]]-tbl_raw[[#This Row],[return_loss]]*(1+scn_B_returns_up/0.05)-tbl_raw[[#This Row],[cogs]]-(tbl_raw[[#This Row],[storage_cost]]+tbl_raw[[#This Row],[fulfillment_cost]]+tbl_raw[[#This Row],[freight_cost]])</f>
        <v>1354.9200000000005</v>
      </c>
      <c r="K355" s="42">
        <f>tbl_scenarios[[#This Row],[net_profit_B]]/tbl_raw[[#This Row],[gross_revenue]]</f>
        <v>0.30779365930341401</v>
      </c>
      <c r="L355" s="43">
        <f>tbl_scenarios[[#This Row],[net_margin_B]]-tbl_scenarios[[#This Row],[net_margin_pct]]</f>
        <v>-3.6801119480967537E-3</v>
      </c>
      <c r="M355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55" s="2">
        <f>tbl_raw[[#This Row],[gross_revenue]]*(1-scn_C_price_down)-tbl_raw[[#This Row],[return_loss]]-tbl_raw[[#This Row],[cogs]]-(tbl_raw[[#This Row],[storage_cost]]+tbl_raw[[#This Row],[fulfillment_cost]]+tbl_raw[[#This Row],[freight_cost]])</f>
        <v>1151.0180000000005</v>
      </c>
      <c r="O355" s="42">
        <f>tbl_scenarios[[#This Row],[net_profit_C]]/(tbl_raw[[#This Row],[gross_revenue]]*(1-scn_C_price_down))</f>
        <v>0.2752355486858008</v>
      </c>
      <c r="P355" s="43">
        <f>tbl_scenarios[[#This Row],[net_margin_C]]-tbl_scenarios[[#This Row],[net_margin_pct]]</f>
        <v>-3.6238222565709965E-2</v>
      </c>
      <c r="Q355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5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56" spans="1:18" x14ac:dyDescent="0.35">
      <c r="A356" s="17" t="str">
        <f>tbl_raw[[#This Row],[product_id]]</f>
        <v>a1beef8f3992dbd4cd8726796aa69c53</v>
      </c>
      <c r="B356" t="str">
        <f>tbl_raw[[#This Row],[category]]</f>
        <v>musical_instruments</v>
      </c>
      <c r="C356" s="2">
        <f>tbl_profitability[[#This Row],[net_profit]]</f>
        <v>2517.62</v>
      </c>
      <c r="D356" s="42">
        <f>tbl_profitability[[#This Row],[net_margin_pct]]</f>
        <v>0.57220326964205759</v>
      </c>
      <c r="E356" s="49" t="str">
        <f>tbl_profitability[[#This Row],[decision]]</f>
        <v>SCALE</v>
      </c>
      <c r="F356" s="2">
        <f>tbl_raw[[#This Row],[gross_revenue]]-tbl_raw[[#This Row],[return_loss]]-tbl_raw[[#This Row],[cogs]]*(1+scn_A_cogs_up)-(tbl_raw[[#This Row],[storage_cost]]+tbl_raw[[#This Row],[fulfillment_cost]]+tbl_raw[[#This Row],[freight_cost]])</f>
        <v>2341.6249999999995</v>
      </c>
      <c r="G356" s="42">
        <f>tbl_scenarios[[#This Row],[net_profit_A]]/tbl_raw[[#This Row],[gross_revenue]]</f>
        <v>0.53220322418616905</v>
      </c>
      <c r="H356" s="43">
        <f>tbl_scenarios[[#This Row],[net_margin_A]]-tbl_scenarios[[#This Row],[net_margin_pct]]</f>
        <v>-4.0000045455888533E-2</v>
      </c>
      <c r="I35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56" s="2">
        <f>tbl_raw[[#This Row],[gross_revenue]]-tbl_raw[[#This Row],[return_loss]]*(1+scn_B_returns_up/0.05)-tbl_raw[[#This Row],[cogs]]-(tbl_raw[[#This Row],[storage_cost]]+tbl_raw[[#This Row],[fulfillment_cost]]+tbl_raw[[#This Row],[freight_cost]])</f>
        <v>2517.5200000000004</v>
      </c>
      <c r="K356" s="42">
        <f>tbl_scenarios[[#This Row],[net_profit_B]]/tbl_raw[[#This Row],[gross_revenue]]</f>
        <v>0.57218054169782295</v>
      </c>
      <c r="L356" s="43">
        <f>tbl_scenarios[[#This Row],[net_margin_B]]-tbl_scenarios[[#This Row],[net_margin_pct]]</f>
        <v>-2.2727944234635089E-5</v>
      </c>
      <c r="M35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56" s="2">
        <f>tbl_raw[[#This Row],[gross_revenue]]*(1-scn_C_price_down)-tbl_raw[[#This Row],[return_loss]]-tbl_raw[[#This Row],[cogs]]-(tbl_raw[[#This Row],[storage_cost]]+tbl_raw[[#This Row],[fulfillment_cost]]+tbl_raw[[#This Row],[freight_cost]])</f>
        <v>2297.6264999999994</v>
      </c>
      <c r="O356" s="42">
        <f>tbl_scenarios[[#This Row],[net_profit_C]]/(tbl_raw[[#This Row],[gross_revenue]]*(1-scn_C_price_down))</f>
        <v>0.54968765225479743</v>
      </c>
      <c r="P356" s="43">
        <f>tbl_scenarios[[#This Row],[net_margin_C]]-tbl_scenarios[[#This Row],[net_margin_pct]]</f>
        <v>-2.2515617387260156E-2</v>
      </c>
      <c r="Q35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5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57" spans="1:18" x14ac:dyDescent="0.35">
      <c r="A357" s="17" t="str">
        <f>tbl_raw[[#This Row],[product_id]]</f>
        <v>78b7b1ff2d3f06a589354ddf2f4f9db3</v>
      </c>
      <c r="B357" t="str">
        <f>tbl_raw[[#This Row],[category]]</f>
        <v>perfumery</v>
      </c>
      <c r="C357" s="2">
        <f>tbl_profitability[[#This Row],[net_profit]]</f>
        <v>2193.6200000000003</v>
      </c>
      <c r="D357" s="42">
        <f>tbl_profitability[[#This Row],[net_margin_pct]]</f>
        <v>0.49928758393080697</v>
      </c>
      <c r="E357" s="49" t="str">
        <f>tbl_profitability[[#This Row],[decision]]</f>
        <v>SCALE</v>
      </c>
      <c r="F357" s="2">
        <f>tbl_raw[[#This Row],[gross_revenue]]-tbl_raw[[#This Row],[return_loss]]-tbl_raw[[#This Row],[cogs]]*(1+scn_A_cogs_up)-(tbl_raw[[#This Row],[storage_cost]]+tbl_raw[[#This Row],[fulfillment_cost]]+tbl_raw[[#This Row],[freight_cost]])</f>
        <v>2009.0929999999998</v>
      </c>
      <c r="G357" s="42">
        <f>tbl_scenarios[[#This Row],[net_profit_A]]/tbl_raw[[#This Row],[gross_revenue]]</f>
        <v>0.45728758393080682</v>
      </c>
      <c r="H357" s="43">
        <f>tbl_scenarios[[#This Row],[net_margin_A]]-tbl_scenarios[[#This Row],[net_margin_pct]]</f>
        <v>-4.2000000000000148E-2</v>
      </c>
      <c r="I35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57" s="2">
        <f>tbl_raw[[#This Row],[gross_revenue]]-tbl_raw[[#This Row],[return_loss]]*(1+scn_B_returns_up/0.05)-tbl_raw[[#This Row],[cogs]]-(tbl_raw[[#This Row],[storage_cost]]+tbl_raw[[#This Row],[fulfillment_cost]]+tbl_raw[[#This Row],[freight_cost]])</f>
        <v>2188.2199999999998</v>
      </c>
      <c r="K357" s="42">
        <f>tbl_scenarios[[#This Row],[net_profit_B]]/tbl_raw[[#This Row],[gross_revenue]]</f>
        <v>0.49805849550472286</v>
      </c>
      <c r="L357" s="43">
        <f>tbl_scenarios[[#This Row],[net_margin_B]]-tbl_scenarios[[#This Row],[net_margin_pct]]</f>
        <v>-1.2290884260841017E-3</v>
      </c>
      <c r="M35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57" s="2">
        <f>tbl_raw[[#This Row],[gross_revenue]]*(1-scn_C_price_down)-tbl_raw[[#This Row],[return_loss]]-tbl_raw[[#This Row],[cogs]]-(tbl_raw[[#This Row],[storage_cost]]+tbl_raw[[#This Row],[fulfillment_cost]]+tbl_raw[[#This Row],[freight_cost]])</f>
        <v>1973.9450000000002</v>
      </c>
      <c r="O357" s="42">
        <f>tbl_scenarios[[#This Row],[net_profit_C]]/(tbl_raw[[#This Row],[gross_revenue]]*(1-scn_C_price_down))</f>
        <v>0.47293429887453359</v>
      </c>
      <c r="P357" s="43">
        <f>tbl_scenarios[[#This Row],[net_margin_C]]-tbl_scenarios[[#This Row],[net_margin_pct]]</f>
        <v>-2.6353285056273379E-2</v>
      </c>
      <c r="Q35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5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58" spans="1:18" x14ac:dyDescent="0.35">
      <c r="A358" s="17" t="str">
        <f>tbl_raw[[#This Row],[product_id]]</f>
        <v>f69581741831e1dcd24e28e299ad36ff</v>
      </c>
      <c r="B358" t="str">
        <f>tbl_raw[[#This Row],[category]]</f>
        <v>small_appliances</v>
      </c>
      <c r="C358" s="2">
        <f>tbl_profitability[[#This Row],[net_profit]]</f>
        <v>1594.1200000000003</v>
      </c>
      <c r="D358" s="42">
        <f>tbl_profitability[[#This Row],[net_margin_pct]]</f>
        <v>0.3629599271402551</v>
      </c>
      <c r="E358" s="49" t="str">
        <f>tbl_profitability[[#This Row],[decision]]</f>
        <v>SCALE</v>
      </c>
      <c r="F358" s="2">
        <f>tbl_raw[[#This Row],[gross_revenue]]-tbl_raw[[#This Row],[return_loss]]-tbl_raw[[#This Row],[cogs]]*(1+scn_A_cogs_up)-(tbl_raw[[#This Row],[storage_cost]]+tbl_raw[[#This Row],[fulfillment_cost]]+tbl_raw[[#This Row],[freight_cost]])</f>
        <v>1343.7760000000003</v>
      </c>
      <c r="G358" s="42">
        <f>tbl_scenarios[[#This Row],[net_profit_A]]/tbl_raw[[#This Row],[gross_revenue]]</f>
        <v>0.30595992714025505</v>
      </c>
      <c r="H358" s="43">
        <f>tbl_scenarios[[#This Row],[net_margin_A]]-tbl_scenarios[[#This Row],[net_margin_pct]]</f>
        <v>-5.7000000000000051E-2</v>
      </c>
      <c r="I35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58" s="2">
        <f>tbl_raw[[#This Row],[gross_revenue]]-tbl_raw[[#This Row],[return_loss]]*(1+scn_B_returns_up/0.05)-tbl_raw[[#This Row],[cogs]]-(tbl_raw[[#This Row],[storage_cost]]+tbl_raw[[#This Row],[fulfillment_cost]]+tbl_raw[[#This Row],[freight_cost]])</f>
        <v>1592.6799999999998</v>
      </c>
      <c r="K358" s="42">
        <f>tbl_scenarios[[#This Row],[net_profit_B]]/tbl_raw[[#This Row],[gross_revenue]]</f>
        <v>0.36263205828779593</v>
      </c>
      <c r="L358" s="43">
        <f>tbl_scenarios[[#This Row],[net_margin_B]]-tbl_scenarios[[#This Row],[net_margin_pct]]</f>
        <v>-3.2786885245916775E-4</v>
      </c>
      <c r="M35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58" s="2">
        <f>tbl_raw[[#This Row],[gross_revenue]]*(1-scn_C_price_down)-tbl_raw[[#This Row],[return_loss]]-tbl_raw[[#This Row],[cogs]]-(tbl_raw[[#This Row],[storage_cost]]+tbl_raw[[#This Row],[fulfillment_cost]]+tbl_raw[[#This Row],[freight_cost]])</f>
        <v>1374.52</v>
      </c>
      <c r="O358" s="42">
        <f>tbl_scenarios[[#This Row],[net_profit_C]]/(tbl_raw[[#This Row],[gross_revenue]]*(1-scn_C_price_down))</f>
        <v>0.32943150225290002</v>
      </c>
      <c r="P358" s="43">
        <f>tbl_scenarios[[#This Row],[net_margin_C]]-tbl_scenarios[[#This Row],[net_margin_pct]]</f>
        <v>-3.3528424887355079E-2</v>
      </c>
      <c r="Q35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5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59" spans="1:18" x14ac:dyDescent="0.35">
      <c r="A359" s="17" t="str">
        <f>tbl_raw[[#This Row],[product_id]]</f>
        <v>880be32f4db1d9f6e2bec38fb6ac23ab</v>
      </c>
      <c r="B359" t="str">
        <f>tbl_raw[[#This Row],[category]]</f>
        <v>toys</v>
      </c>
      <c r="C359" s="2">
        <f>tbl_profitability[[#This Row],[net_profit]]</f>
        <v>591.49999999999977</v>
      </c>
      <c r="D359" s="42">
        <f>tbl_profitability[[#This Row],[net_margin_pct]]</f>
        <v>0.13587018941429951</v>
      </c>
      <c r="E359" s="49" t="str">
        <f>tbl_profitability[[#This Row],[decision]]</f>
        <v>OPTIMIZE</v>
      </c>
      <c r="F359" s="2">
        <f>tbl_raw[[#This Row],[gross_revenue]]-tbl_raw[[#This Row],[return_loss]]-tbl_raw[[#This Row],[cogs]]*(1+scn_A_cogs_up)-(tbl_raw[[#This Row],[storage_cost]]+tbl_raw[[#This Row],[fulfillment_cost]]+tbl_raw[[#This Row],[freight_cost]])</f>
        <v>408.65599999999927</v>
      </c>
      <c r="G359" s="42">
        <f>tbl_scenarios[[#This Row],[net_profit_A]]/tbl_raw[[#This Row],[gross_revenue]]</f>
        <v>9.3870106720692986E-2</v>
      </c>
      <c r="H359" s="43">
        <f>tbl_scenarios[[#This Row],[net_margin_A]]-tbl_scenarios[[#This Row],[net_margin_pct]]</f>
        <v>-4.2000082693606527E-2</v>
      </c>
      <c r="I359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59" s="2">
        <f>tbl_raw[[#This Row],[gross_revenue]]-tbl_raw[[#This Row],[return_loss]]*(1+scn_B_returns_up/0.05)-tbl_raw[[#This Row],[cogs]]-(tbl_raw[[#This Row],[storage_cost]]+tbl_raw[[#This Row],[fulfillment_cost]]+tbl_raw[[#This Row],[freight_cost]])</f>
        <v>555.86000000000035</v>
      </c>
      <c r="K359" s="42">
        <f>tbl_scenarios[[#This Row],[net_profit_B]]/tbl_raw[[#This Row],[gross_revenue]]</f>
        <v>0.12768352238010583</v>
      </c>
      <c r="L359" s="43">
        <f>tbl_scenarios[[#This Row],[net_margin_B]]-tbl_scenarios[[#This Row],[net_margin_pct]]</f>
        <v>-8.1866670341936842E-3</v>
      </c>
      <c r="M359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59" s="2">
        <f>tbl_raw[[#This Row],[gross_revenue]]*(1-scn_C_price_down)-tbl_raw[[#This Row],[return_loss]]-tbl_raw[[#This Row],[cogs]]-(tbl_raw[[#This Row],[storage_cost]]+tbl_raw[[#This Row],[fulfillment_cost]]+tbl_raw[[#This Row],[freight_cost]])</f>
        <v>373.8289999999995</v>
      </c>
      <c r="O359" s="42">
        <f>tbl_scenarios[[#This Row],[net_profit_C]]/(tbl_raw[[#This Row],[gross_revenue]]*(1-scn_C_price_down))</f>
        <v>9.0389673067683626E-2</v>
      </c>
      <c r="P359" s="43">
        <f>tbl_scenarios[[#This Row],[net_margin_C]]-tbl_scenarios[[#This Row],[net_margin_pct]]</f>
        <v>-4.5480516346615887E-2</v>
      </c>
      <c r="Q359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5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360" spans="1:18" x14ac:dyDescent="0.35">
      <c r="A360" s="17" t="str">
        <f>tbl_raw[[#This Row],[product_id]]</f>
        <v>20f160a9cf2e856ee5eba259e9ae33f9</v>
      </c>
      <c r="B360" t="str">
        <f>tbl_raw[[#This Row],[category]]</f>
        <v>perfumery</v>
      </c>
      <c r="C360" s="2">
        <f>tbl_profitability[[#This Row],[net_profit]]</f>
        <v>1977.8000000000004</v>
      </c>
      <c r="D360" s="42">
        <f>tbl_profitability[[#This Row],[net_margin_pct]]</f>
        <v>0.45458619968419389</v>
      </c>
      <c r="E360" s="49" t="str">
        <f>tbl_profitability[[#This Row],[decision]]</f>
        <v>SCALE</v>
      </c>
      <c r="F360" s="2">
        <f>tbl_raw[[#This Row],[gross_revenue]]-tbl_raw[[#This Row],[return_loss]]-tbl_raw[[#This Row],[cogs]]*(1+scn_A_cogs_up)-(tbl_raw[[#This Row],[storage_cost]]+tbl_raw[[#This Row],[fulfillment_cost]]+tbl_raw[[#This Row],[freight_cost]])</f>
        <v>1795.068</v>
      </c>
      <c r="G360" s="42">
        <f>tbl_scenarios[[#This Row],[net_profit_A]]/tbl_raw[[#This Row],[gross_revenue]]</f>
        <v>0.41258627783128038</v>
      </c>
      <c r="H360" s="43">
        <f>tbl_scenarios[[#This Row],[net_margin_A]]-tbl_scenarios[[#This Row],[net_margin_pct]]</f>
        <v>-4.1999921852913513E-2</v>
      </c>
      <c r="I36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60" s="2">
        <f>tbl_raw[[#This Row],[gross_revenue]]-tbl_raw[[#This Row],[return_loss]]*(1+scn_B_returns_up/0.05)-tbl_raw[[#This Row],[cogs]]-(tbl_raw[[#This Row],[storage_cost]]+tbl_raw[[#This Row],[fulfillment_cost]]+tbl_raw[[#This Row],[freight_cost]])</f>
        <v>1969.160000000001</v>
      </c>
      <c r="K360" s="42">
        <f>tbl_scenarios[[#This Row],[net_profit_B]]/tbl_raw[[#This Row],[gross_revenue]]</f>
        <v>0.45260034430687002</v>
      </c>
      <c r="L360" s="43">
        <f>tbl_scenarios[[#This Row],[net_margin_B]]-tbl_scenarios[[#This Row],[net_margin_pct]]</f>
        <v>-1.9858553773238752E-3</v>
      </c>
      <c r="M36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60" s="2">
        <f>tbl_raw[[#This Row],[gross_revenue]]*(1-scn_C_price_down)-tbl_raw[[#This Row],[return_loss]]-tbl_raw[[#This Row],[cogs]]-(tbl_raw[[#This Row],[storage_cost]]+tbl_raw[[#This Row],[fulfillment_cost]]+tbl_raw[[#This Row],[freight_cost]])</f>
        <v>1760.2614999999998</v>
      </c>
      <c r="O360" s="42">
        <f>tbl_scenarios[[#This Row],[net_profit_C]]/(tbl_raw[[#This Row],[gross_revenue]]*(1-scn_C_price_down))</f>
        <v>0.42588021019388822</v>
      </c>
      <c r="P360" s="43">
        <f>tbl_scenarios[[#This Row],[net_margin_C]]-tbl_scenarios[[#This Row],[net_margin_pct]]</f>
        <v>-2.8705989490305672E-2</v>
      </c>
      <c r="Q36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6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61" spans="1:18" x14ac:dyDescent="0.35">
      <c r="A361" s="17" t="str">
        <f>tbl_raw[[#This Row],[product_id]]</f>
        <v>705affd495e328b5af6d73bc403c6bcf</v>
      </c>
      <c r="B361" t="str">
        <f>tbl_raw[[#This Row],[category]]</f>
        <v>small_appliances</v>
      </c>
      <c r="C361" s="2">
        <f>tbl_profitability[[#This Row],[net_profit]]</f>
        <v>1743.8300000000002</v>
      </c>
      <c r="D361" s="42">
        <f>tbl_profitability[[#This Row],[net_margin_pct]]</f>
        <v>0.40115711985277208</v>
      </c>
      <c r="E361" s="49" t="str">
        <f>tbl_profitability[[#This Row],[decision]]</f>
        <v>SCALE</v>
      </c>
      <c r="F361" s="2">
        <f>tbl_raw[[#This Row],[gross_revenue]]-tbl_raw[[#This Row],[return_loss]]-tbl_raw[[#This Row],[cogs]]*(1+scn_A_cogs_up)-(tbl_raw[[#This Row],[storage_cost]]+tbl_raw[[#This Row],[fulfillment_cost]]+tbl_raw[[#This Row],[freight_cost]])</f>
        <v>1496.0510000000002</v>
      </c>
      <c r="G361" s="42">
        <f>tbl_scenarios[[#This Row],[net_profit_A]]/tbl_raw[[#This Row],[gross_revenue]]</f>
        <v>0.34415711985277209</v>
      </c>
      <c r="H361" s="43">
        <f>tbl_scenarios[[#This Row],[net_margin_A]]-tbl_scenarios[[#This Row],[net_margin_pct]]</f>
        <v>-5.6999999999999995E-2</v>
      </c>
      <c r="I36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61" s="2">
        <f>tbl_raw[[#This Row],[gross_revenue]]-tbl_raw[[#This Row],[return_loss]]*(1+scn_B_returns_up/0.05)-tbl_raw[[#This Row],[cogs]]-(tbl_raw[[#This Row],[storage_cost]]+tbl_raw[[#This Row],[fulfillment_cost]]+tbl_raw[[#This Row],[freight_cost]])</f>
        <v>1742.7500000000002</v>
      </c>
      <c r="K361" s="42">
        <f>tbl_scenarios[[#This Row],[net_profit_B]]/tbl_raw[[#This Row],[gross_revenue]]</f>
        <v>0.40090867264780311</v>
      </c>
      <c r="L361" s="43">
        <f>tbl_scenarios[[#This Row],[net_margin_B]]-tbl_scenarios[[#This Row],[net_margin_pct]]</f>
        <v>-2.4844720496897121E-4</v>
      </c>
      <c r="M36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61" s="2">
        <f>tbl_raw[[#This Row],[gross_revenue]]*(1-scn_C_price_down)-tbl_raw[[#This Row],[return_loss]]-tbl_raw[[#This Row],[cogs]]-(tbl_raw[[#This Row],[storage_cost]]+tbl_raw[[#This Row],[fulfillment_cost]]+tbl_raw[[#This Row],[freight_cost]])</f>
        <v>1526.4799999999998</v>
      </c>
      <c r="O361" s="42">
        <f>tbl_scenarios[[#This Row],[net_profit_C]]/(tbl_raw[[#This Row],[gross_revenue]]*(1-scn_C_price_down))</f>
        <v>0.3696390735292337</v>
      </c>
      <c r="P361" s="43">
        <f>tbl_scenarios[[#This Row],[net_margin_C]]-tbl_scenarios[[#This Row],[net_margin_pct]]</f>
        <v>-3.1518046323538385E-2</v>
      </c>
      <c r="Q36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6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62" spans="1:18" x14ac:dyDescent="0.35">
      <c r="A362" s="17" t="str">
        <f>tbl_raw[[#This Row],[product_id]]</f>
        <v>159dc4423e5092c3baa443379a458fa9</v>
      </c>
      <c r="B362" t="str">
        <f>tbl_raw[[#This Row],[category]]</f>
        <v>health_beauty</v>
      </c>
      <c r="C362" s="2">
        <f>tbl_profitability[[#This Row],[net_profit]]</f>
        <v>2293.6500000000005</v>
      </c>
      <c r="D362" s="42">
        <f>tbl_profitability[[#This Row],[net_margin_pct]]</f>
        <v>0.52971620984951373</v>
      </c>
      <c r="E362" s="49" t="str">
        <f>tbl_profitability[[#This Row],[decision]]</f>
        <v>OPTIMIZE</v>
      </c>
      <c r="F362" s="2">
        <f>tbl_raw[[#This Row],[gross_revenue]]-tbl_raw[[#This Row],[return_loss]]-tbl_raw[[#This Row],[cogs]]*(1+scn_A_cogs_up)-(tbl_raw[[#This Row],[storage_cost]]+tbl_raw[[#This Row],[fulfillment_cost]]+tbl_raw[[#This Row],[freight_cost]])</f>
        <v>2111.7920000000004</v>
      </c>
      <c r="G362" s="42">
        <f>tbl_scenarios[[#This Row],[net_profit_A]]/tbl_raw[[#This Row],[gross_revenue]]</f>
        <v>0.4877162837531987</v>
      </c>
      <c r="H362" s="43">
        <f>tbl_scenarios[[#This Row],[net_margin_A]]-tbl_scenarios[[#This Row],[net_margin_pct]]</f>
        <v>-4.1999926096315032E-2</v>
      </c>
      <c r="I36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62" s="2">
        <f>tbl_raw[[#This Row],[gross_revenue]]-tbl_raw[[#This Row],[return_loss]]*(1+scn_B_returns_up/0.05)-tbl_raw[[#This Row],[cogs]]-(tbl_raw[[#This Row],[storage_cost]]+tbl_raw[[#This Row],[fulfillment_cost]]+tbl_raw[[#This Row],[freight_cost]])</f>
        <v>2290.4100000000008</v>
      </c>
      <c r="K362" s="42">
        <f>tbl_scenarios[[#This Row],[net_profit_B]]/tbl_raw[[#This Row],[gross_revenue]]</f>
        <v>0.52896793503866102</v>
      </c>
      <c r="L362" s="43">
        <f>tbl_scenarios[[#This Row],[net_margin_B]]-tbl_scenarios[[#This Row],[net_margin_pct]]</f>
        <v>-7.4827481085271152E-4</v>
      </c>
      <c r="M36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62" s="2">
        <f>tbl_raw[[#This Row],[gross_revenue]]*(1-scn_C_price_down)-tbl_raw[[#This Row],[return_loss]]-tbl_raw[[#This Row],[cogs]]-(tbl_raw[[#This Row],[storage_cost]]+tbl_raw[[#This Row],[fulfillment_cost]]+tbl_raw[[#This Row],[freight_cost]])</f>
        <v>2077.152</v>
      </c>
      <c r="O362" s="42">
        <f>tbl_scenarios[[#This Row],[net_profit_C]]/(tbl_raw[[#This Row],[gross_revenue]]*(1-scn_C_price_down))</f>
        <v>0.5049644314205407</v>
      </c>
      <c r="P362" s="43">
        <f>tbl_scenarios[[#This Row],[net_margin_C]]-tbl_scenarios[[#This Row],[net_margin_pct]]</f>
        <v>-2.4751778428973026E-2</v>
      </c>
      <c r="Q36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6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63" spans="1:18" x14ac:dyDescent="0.35">
      <c r="A363" s="17" t="str">
        <f>tbl_raw[[#This Row],[product_id]]</f>
        <v>11875b30b49585209e608f40e8082e65</v>
      </c>
      <c r="B363" t="str">
        <f>tbl_raw[[#This Row],[category]]</f>
        <v>sports_leisure</v>
      </c>
      <c r="C363" s="2">
        <f>tbl_profitability[[#This Row],[net_profit]]</f>
        <v>774.24</v>
      </c>
      <c r="D363" s="42">
        <f>tbl_profitability[[#This Row],[net_margin_pct]]</f>
        <v>0.17881657351378816</v>
      </c>
      <c r="E363" s="49" t="str">
        <f>tbl_profitability[[#This Row],[decision]]</f>
        <v>OPTIMIZE</v>
      </c>
      <c r="F363" s="2">
        <f>tbl_raw[[#This Row],[gross_revenue]]-tbl_raw[[#This Row],[return_loss]]-tbl_raw[[#This Row],[cogs]]*(1+scn_A_cogs_up)-(tbl_raw[[#This Row],[storage_cost]]+tbl_raw[[#This Row],[fulfillment_cost]]+tbl_raw[[#This Row],[freight_cost]])</f>
        <v>592.38799999999969</v>
      </c>
      <c r="G363" s="42">
        <f>tbl_scenarios[[#This Row],[net_profit_A]]/tbl_raw[[#This Row],[gross_revenue]]</f>
        <v>0.13681648113076808</v>
      </c>
      <c r="H363" s="43">
        <f>tbl_scenarios[[#This Row],[net_margin_A]]-tbl_scenarios[[#This Row],[net_margin_pct]]</f>
        <v>-4.2000092383020077E-2</v>
      </c>
      <c r="I36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63" s="2">
        <f>tbl_raw[[#This Row],[gross_revenue]]-tbl_raw[[#This Row],[return_loss]]*(1+scn_B_returns_up/0.05)-tbl_raw[[#This Row],[cogs]]-(tbl_raw[[#This Row],[storage_cost]]+tbl_raw[[#This Row],[fulfillment_cost]]+tbl_raw[[#This Row],[freight_cost]])</f>
        <v>750.47999999999979</v>
      </c>
      <c r="K363" s="42">
        <f>tbl_scenarios[[#This Row],[net_profit_B]]/tbl_raw[[#This Row],[gross_revenue]]</f>
        <v>0.17332902212573323</v>
      </c>
      <c r="L363" s="43">
        <f>tbl_scenarios[[#This Row],[net_margin_B]]-tbl_scenarios[[#This Row],[net_margin_pct]]</f>
        <v>-5.4875513880549287E-3</v>
      </c>
      <c r="M36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63" s="2">
        <f>tbl_raw[[#This Row],[gross_revenue]]*(1-scn_C_price_down)-tbl_raw[[#This Row],[return_loss]]-tbl_raw[[#This Row],[cogs]]-(tbl_raw[[#This Row],[storage_cost]]+tbl_raw[[#This Row],[fulfillment_cost]]+tbl_raw[[#This Row],[freight_cost]])</f>
        <v>557.75000000000023</v>
      </c>
      <c r="O363" s="42">
        <f>tbl_scenarios[[#This Row],[net_profit_C]]/(tbl_raw[[#This Row],[gross_revenue]]*(1-scn_C_price_down))</f>
        <v>0.13559639317240862</v>
      </c>
      <c r="P363" s="43">
        <f>tbl_scenarios[[#This Row],[net_margin_C]]-tbl_scenarios[[#This Row],[net_margin_pct]]</f>
        <v>-4.3220180341379533E-2</v>
      </c>
      <c r="Q36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6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64" spans="1:18" x14ac:dyDescent="0.35">
      <c r="A364" s="17" t="str">
        <f>tbl_raw[[#This Row],[product_id]]</f>
        <v>f4d450a6163f21cf9db8bcdf8c7e50f8</v>
      </c>
      <c r="B364" t="str">
        <f>tbl_raw[[#This Row],[category]]</f>
        <v>office_furniture</v>
      </c>
      <c r="C364" s="2">
        <f>tbl_profitability[[#This Row],[net_profit]]</f>
        <v>1004.9700000000003</v>
      </c>
      <c r="D364" s="42">
        <f>tbl_profitability[[#This Row],[net_margin_pct]]</f>
        <v>0.23279360667129959</v>
      </c>
      <c r="E364" s="49" t="str">
        <f>tbl_profitability[[#This Row],[decision]]</f>
        <v>OPTIMIZE</v>
      </c>
      <c r="F364" s="2">
        <f>tbl_raw[[#This Row],[gross_revenue]]-tbl_raw[[#This Row],[return_loss]]-tbl_raw[[#This Row],[cogs]]*(1+scn_A_cogs_up)-(tbl_raw[[#This Row],[storage_cost]]+tbl_raw[[#This Row],[fulfillment_cost]]+tbl_raw[[#This Row],[freight_cost]])</f>
        <v>810.70499999999993</v>
      </c>
      <c r="G364" s="42">
        <f>tbl_scenarios[[#This Row],[net_profit_A]]/tbl_raw[[#This Row],[gross_revenue]]</f>
        <v>0.18779360667129949</v>
      </c>
      <c r="H364" s="43">
        <f>tbl_scenarios[[#This Row],[net_margin_A]]-tbl_scenarios[[#This Row],[net_margin_pct]]</f>
        <v>-4.5000000000000095E-2</v>
      </c>
      <c r="I36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64" s="2">
        <f>tbl_raw[[#This Row],[gross_revenue]]-tbl_raw[[#This Row],[return_loss]]*(1+scn_B_returns_up/0.05)-tbl_raw[[#This Row],[cogs]]-(tbl_raw[[#This Row],[storage_cost]]+tbl_raw[[#This Row],[fulfillment_cost]]+tbl_raw[[#This Row],[freight_cost]])</f>
        <v>999.56999999999971</v>
      </c>
      <c r="K364" s="42">
        <f>tbl_scenarios[[#This Row],[net_profit_B]]/tbl_raw[[#This Row],[gross_revenue]]</f>
        <v>0.23154273801250863</v>
      </c>
      <c r="L364" s="43">
        <f>tbl_scenarios[[#This Row],[net_margin_B]]-tbl_scenarios[[#This Row],[net_margin_pct]]</f>
        <v>-1.2508686587909545E-3</v>
      </c>
      <c r="M364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64" s="2">
        <f>tbl_raw[[#This Row],[gross_revenue]]*(1-scn_C_price_down)-tbl_raw[[#This Row],[return_loss]]-tbl_raw[[#This Row],[cogs]]-(tbl_raw[[#This Row],[storage_cost]]+tbl_raw[[#This Row],[fulfillment_cost]]+tbl_raw[[#This Row],[freight_cost]])</f>
        <v>789.11999999999944</v>
      </c>
      <c r="O364" s="42">
        <f>tbl_scenarios[[#This Row],[net_profit_C]]/(tbl_raw[[#This Row],[gross_revenue]]*(1-scn_C_price_down))</f>
        <v>0.19241432281189411</v>
      </c>
      <c r="P364" s="43">
        <f>tbl_scenarios[[#This Row],[net_margin_C]]-tbl_scenarios[[#This Row],[net_margin_pct]]</f>
        <v>-4.0379283859405479E-2</v>
      </c>
      <c r="Q36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6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65" spans="1:18" x14ac:dyDescent="0.35">
      <c r="A365" s="17" t="str">
        <f>tbl_raw[[#This Row],[product_id]]</f>
        <v>cc3181a81384b6fc34602d49cb6068a6</v>
      </c>
      <c r="B365" t="str">
        <f>tbl_raw[[#This Row],[category]]</f>
        <v>home_appliances_2</v>
      </c>
      <c r="C365" s="2">
        <f>tbl_profitability[[#This Row],[net_profit]]</f>
        <v>1492.2800000000007</v>
      </c>
      <c r="D365" s="42">
        <f>tbl_profitability[[#This Row],[net_margin_pct]]</f>
        <v>0.34623665893271477</v>
      </c>
      <c r="E365" s="49" t="str">
        <f>tbl_profitability[[#This Row],[decision]]</f>
        <v>SCALE</v>
      </c>
      <c r="F365" s="2">
        <f>tbl_raw[[#This Row],[gross_revenue]]-tbl_raw[[#This Row],[return_loss]]-tbl_raw[[#This Row],[cogs]]*(1+scn_A_cogs_up)-(tbl_raw[[#This Row],[storage_cost]]+tbl_raw[[#This Row],[fulfillment_cost]]+tbl_raw[[#This Row],[freight_cost]])</f>
        <v>1246.6100000000006</v>
      </c>
      <c r="G365" s="42">
        <f>tbl_scenarios[[#This Row],[net_profit_A]]/tbl_raw[[#This Row],[gross_revenue]]</f>
        <v>0.28923665893271477</v>
      </c>
      <c r="H365" s="43">
        <f>tbl_scenarios[[#This Row],[net_margin_A]]-tbl_scenarios[[#This Row],[net_margin_pct]]</f>
        <v>-5.6999999999999995E-2</v>
      </c>
      <c r="I36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65" s="2">
        <f>tbl_raw[[#This Row],[gross_revenue]]-tbl_raw[[#This Row],[return_loss]]*(1+scn_B_returns_up/0.05)-tbl_raw[[#This Row],[cogs]]-(tbl_raw[[#This Row],[storage_cost]]+tbl_raw[[#This Row],[fulfillment_cost]]+tbl_raw[[#This Row],[freight_cost]])</f>
        <v>1490.8400000000001</v>
      </c>
      <c r="K365" s="42">
        <f>tbl_scenarios[[#This Row],[net_profit_B]]/tbl_raw[[#This Row],[gross_revenue]]</f>
        <v>0.34590255220417637</v>
      </c>
      <c r="L365" s="43">
        <f>tbl_scenarios[[#This Row],[net_margin_B]]-tbl_scenarios[[#This Row],[net_margin_pct]]</f>
        <v>-3.3410672853839696E-4</v>
      </c>
      <c r="M36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65" s="2">
        <f>tbl_raw[[#This Row],[gross_revenue]]*(1-scn_C_price_down)-tbl_raw[[#This Row],[return_loss]]-tbl_raw[[#This Row],[cogs]]-(tbl_raw[[#This Row],[storage_cost]]+tbl_raw[[#This Row],[fulfillment_cost]]+tbl_raw[[#This Row],[freight_cost]])</f>
        <v>1276.7800000000002</v>
      </c>
      <c r="O365" s="42">
        <f>tbl_scenarios[[#This Row],[net_profit_C]]/(tbl_raw[[#This Row],[gross_revenue]]*(1-scn_C_price_down))</f>
        <v>0.31182806203443647</v>
      </c>
      <c r="P365" s="43">
        <f>tbl_scenarios[[#This Row],[net_margin_C]]-tbl_scenarios[[#This Row],[net_margin_pct]]</f>
        <v>-3.4408596898278299E-2</v>
      </c>
      <c r="Q36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6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66" spans="1:18" x14ac:dyDescent="0.35">
      <c r="A366" s="17" t="str">
        <f>tbl_raw[[#This Row],[product_id]]</f>
        <v>34742604f6cd1e891726b849b6890f81</v>
      </c>
      <c r="B366" t="str">
        <f>tbl_raw[[#This Row],[category]]</f>
        <v>sports_leisure</v>
      </c>
      <c r="C366" s="2">
        <f>tbl_profitability[[#This Row],[net_profit]]</f>
        <v>2036.3099999999997</v>
      </c>
      <c r="D366" s="42">
        <f>tbl_profitability[[#This Row],[net_margin_pct]]</f>
        <v>0.47411175785797433</v>
      </c>
      <c r="E366" s="49" t="str">
        <f>tbl_profitability[[#This Row],[decision]]</f>
        <v>SCALE</v>
      </c>
      <c r="F366" s="2">
        <f>tbl_raw[[#This Row],[gross_revenue]]-tbl_raw[[#This Row],[return_loss]]-tbl_raw[[#This Row],[cogs]]*(1+scn_A_cogs_up)-(tbl_raw[[#This Row],[storage_cost]]+tbl_raw[[#This Row],[fulfillment_cost]]+tbl_raw[[#This Row],[freight_cost]])</f>
        <v>1855.9199999999998</v>
      </c>
      <c r="G366" s="42">
        <f>tbl_scenarios[[#This Row],[net_profit_A]]/tbl_raw[[#This Row],[gross_revenue]]</f>
        <v>0.43211175785797434</v>
      </c>
      <c r="H366" s="43">
        <f>tbl_scenarios[[#This Row],[net_margin_A]]-tbl_scenarios[[#This Row],[net_margin_pct]]</f>
        <v>-4.1999999999999982E-2</v>
      </c>
      <c r="I36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66" s="2">
        <f>tbl_raw[[#This Row],[gross_revenue]]-tbl_raw[[#This Row],[return_loss]]*(1+scn_B_returns_up/0.05)-tbl_raw[[#This Row],[cogs]]-(tbl_raw[[#This Row],[storage_cost]]+tbl_raw[[#This Row],[fulfillment_cost]]+tbl_raw[[#This Row],[freight_cost]])</f>
        <v>2034.5099999999995</v>
      </c>
      <c r="K366" s="42">
        <f>tbl_scenarios[[#This Row],[net_profit_B]]/tbl_raw[[#This Row],[gross_revenue]]</f>
        <v>0.4736926658905703</v>
      </c>
      <c r="L366" s="43">
        <f>tbl_scenarios[[#This Row],[net_margin_B]]-tbl_scenarios[[#This Row],[net_margin_pct]]</f>
        <v>-4.1909196740402832E-4</v>
      </c>
      <c r="M36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66" s="2">
        <f>tbl_raw[[#This Row],[gross_revenue]]*(1-scn_C_price_down)-tbl_raw[[#This Row],[return_loss]]-tbl_raw[[#This Row],[cogs]]-(tbl_raw[[#This Row],[storage_cost]]+tbl_raw[[#This Row],[fulfillment_cost]]+tbl_raw[[#This Row],[freight_cost]])</f>
        <v>1821.5599999999997</v>
      </c>
      <c r="O366" s="42">
        <f>tbl_scenarios[[#This Row],[net_profit_C]]/(tbl_raw[[#This Row],[gross_revenue]]*(1-scn_C_price_down))</f>
        <v>0.44643342932418351</v>
      </c>
      <c r="P366" s="43">
        <f>tbl_scenarios[[#This Row],[net_margin_C]]-tbl_scenarios[[#This Row],[net_margin_pct]]</f>
        <v>-2.7678328533790819E-2</v>
      </c>
      <c r="Q36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6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67" spans="1:18" x14ac:dyDescent="0.35">
      <c r="A367" s="17" t="str">
        <f>tbl_raw[[#This Row],[product_id]]</f>
        <v>d04bbac48960ecb7ea311b00ca6e1cb7</v>
      </c>
      <c r="B367" t="str">
        <f>tbl_raw[[#This Row],[category]]</f>
        <v>industry_commerce_and_business</v>
      </c>
      <c r="C367" s="2">
        <f>tbl_profitability[[#This Row],[net_profit]]</f>
        <v>1089.2599999999998</v>
      </c>
      <c r="D367" s="42">
        <f>tbl_profitability[[#This Row],[net_margin_pct]]</f>
        <v>0.25372932681108779</v>
      </c>
      <c r="E367" s="49" t="str">
        <f>tbl_profitability[[#This Row],[decision]]</f>
        <v>SCALE</v>
      </c>
      <c r="F367" s="2">
        <f>tbl_raw[[#This Row],[gross_revenue]]-tbl_raw[[#This Row],[return_loss]]-tbl_raw[[#This Row],[cogs]]*(1+scn_A_cogs_up)-(tbl_raw[[#This Row],[storage_cost]]+tbl_raw[[#This Row],[fulfillment_cost]]+tbl_raw[[#This Row],[freight_cost]])</f>
        <v>896.07499999999982</v>
      </c>
      <c r="G367" s="42">
        <f>tbl_scenarios[[#This Row],[net_profit_A]]/tbl_raw[[#This Row],[gross_revenue]]</f>
        <v>0.20872932681108777</v>
      </c>
      <c r="H367" s="43">
        <f>tbl_scenarios[[#This Row],[net_margin_A]]-tbl_scenarios[[#This Row],[net_margin_pct]]</f>
        <v>-4.5000000000000012E-2</v>
      </c>
      <c r="I367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67" s="2">
        <f>tbl_raw[[#This Row],[gross_revenue]]-tbl_raw[[#This Row],[return_loss]]*(1+scn_B_returns_up/0.05)-tbl_raw[[#This Row],[cogs]]-(tbl_raw[[#This Row],[storage_cost]]+tbl_raw[[#This Row],[fulfillment_cost]]+tbl_raw[[#This Row],[freight_cost]])</f>
        <v>1074.4999999999995</v>
      </c>
      <c r="K367" s="42">
        <f>tbl_scenarios[[#This Row],[net_profit_B]]/tbl_raw[[#This Row],[gross_revenue]]</f>
        <v>0.25029117167481935</v>
      </c>
      <c r="L367" s="43">
        <f>tbl_scenarios[[#This Row],[net_margin_B]]-tbl_scenarios[[#This Row],[net_margin_pct]]</f>
        <v>-3.4381551362684393E-3</v>
      </c>
      <c r="M36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67" s="2">
        <f>tbl_raw[[#This Row],[gross_revenue]]*(1-scn_C_price_down)-tbl_raw[[#This Row],[return_loss]]-tbl_raw[[#This Row],[cogs]]-(tbl_raw[[#This Row],[storage_cost]]+tbl_raw[[#This Row],[fulfillment_cost]]+tbl_raw[[#This Row],[freight_cost]])</f>
        <v>874.60999999999967</v>
      </c>
      <c r="O367" s="42">
        <f>tbl_scenarios[[#This Row],[net_profit_C]]/(tbl_raw[[#This Row],[gross_revenue]]*(1-scn_C_price_down))</f>
        <v>0.21445192295903973</v>
      </c>
      <c r="P367" s="43">
        <f>tbl_scenarios[[#This Row],[net_margin_C]]-tbl_scenarios[[#This Row],[net_margin_pct]]</f>
        <v>-3.927740385204806E-2</v>
      </c>
      <c r="Q367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6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368" spans="1:18" x14ac:dyDescent="0.35">
      <c r="A368" s="17" t="str">
        <f>tbl_raw[[#This Row],[product_id]]</f>
        <v>fa381a4a9af65ea5fc8f3829214045f9</v>
      </c>
      <c r="B368" t="str">
        <f>tbl_raw[[#This Row],[category]]</f>
        <v>sports_leisure</v>
      </c>
      <c r="C368" s="2">
        <f>tbl_profitability[[#This Row],[net_profit]]</f>
        <v>1966.2799999999995</v>
      </c>
      <c r="D368" s="42">
        <f>tbl_profitability[[#This Row],[net_margin_pct]]</f>
        <v>0.45847925944925028</v>
      </c>
      <c r="E368" s="49" t="str">
        <f>tbl_profitability[[#This Row],[decision]]</f>
        <v>SCALE</v>
      </c>
      <c r="F368" s="2">
        <f>tbl_raw[[#This Row],[gross_revenue]]-tbl_raw[[#This Row],[return_loss]]-tbl_raw[[#This Row],[cogs]]*(1+scn_A_cogs_up)-(tbl_raw[[#This Row],[storage_cost]]+tbl_raw[[#This Row],[fulfillment_cost]]+tbl_raw[[#This Row],[freight_cost]])</f>
        <v>1786.1549999999995</v>
      </c>
      <c r="G368" s="42">
        <f>tbl_scenarios[[#This Row],[net_profit_A]]/tbl_raw[[#This Row],[gross_revenue]]</f>
        <v>0.41647935271760667</v>
      </c>
      <c r="H368" s="43">
        <f>tbl_scenarios[[#This Row],[net_margin_A]]-tbl_scenarios[[#This Row],[net_margin_pct]]</f>
        <v>-4.199990673164361E-2</v>
      </c>
      <c r="I36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68" s="2">
        <f>tbl_raw[[#This Row],[gross_revenue]]-tbl_raw[[#This Row],[return_loss]]*(1+scn_B_returns_up/0.05)-tbl_raw[[#This Row],[cogs]]-(tbl_raw[[#This Row],[storage_cost]]+tbl_raw[[#This Row],[fulfillment_cost]]+tbl_raw[[#This Row],[freight_cost]])</f>
        <v>1960.5199999999993</v>
      </c>
      <c r="K368" s="42">
        <f>tbl_scenarios[[#This Row],[net_profit_B]]/tbl_raw[[#This Row],[gross_revenue]]</f>
        <v>0.45713619511740139</v>
      </c>
      <c r="L368" s="43">
        <f>tbl_scenarios[[#This Row],[net_margin_B]]-tbl_scenarios[[#This Row],[net_margin_pct]]</f>
        <v>-1.3430643318488866E-3</v>
      </c>
      <c r="M36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68" s="2">
        <f>tbl_raw[[#This Row],[gross_revenue]]*(1-scn_C_price_down)-tbl_raw[[#This Row],[return_loss]]-tbl_raw[[#This Row],[cogs]]-(tbl_raw[[#This Row],[storage_cost]]+tbl_raw[[#This Row],[fulfillment_cost]]+tbl_raw[[#This Row],[freight_cost]])</f>
        <v>1751.8449999999991</v>
      </c>
      <c r="O368" s="42">
        <f>tbl_scenarios[[#This Row],[net_profit_C]]/(tbl_raw[[#This Row],[gross_revenue]]*(1-scn_C_price_down))</f>
        <v>0.42997816784131598</v>
      </c>
      <c r="P368" s="43">
        <f>tbl_scenarios[[#This Row],[net_margin_C]]-tbl_scenarios[[#This Row],[net_margin_pct]]</f>
        <v>-2.8501091607934292E-2</v>
      </c>
      <c r="Q36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6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69" spans="1:18" x14ac:dyDescent="0.35">
      <c r="A369" s="17" t="str">
        <f>tbl_raw[[#This Row],[product_id]]</f>
        <v>bebd360fe73dc670fd6439e9b943ceb7</v>
      </c>
      <c r="B369" t="str">
        <f>tbl_raw[[#This Row],[category]]</f>
        <v>watches_gifts</v>
      </c>
      <c r="C369" s="2">
        <f>tbl_profitability[[#This Row],[net_profit]]</f>
        <v>2330</v>
      </c>
      <c r="D369" s="42">
        <f>tbl_profitability[[#This Row],[net_margin_pct]]</f>
        <v>0.54439252336448596</v>
      </c>
      <c r="E369" s="49" t="str">
        <f>tbl_profitability[[#This Row],[decision]]</f>
        <v>SCALE</v>
      </c>
      <c r="F369" s="2">
        <f>tbl_raw[[#This Row],[gross_revenue]]-tbl_raw[[#This Row],[return_loss]]-tbl_raw[[#This Row],[cogs]]*(1+scn_A_cogs_up)-(tbl_raw[[#This Row],[storage_cost]]+tbl_raw[[#This Row],[fulfillment_cost]]+tbl_raw[[#This Row],[freight_cost]])</f>
        <v>2150.2399999999998</v>
      </c>
      <c r="G369" s="42">
        <f>tbl_scenarios[[#This Row],[net_profit_A]]/tbl_raw[[#This Row],[gross_revenue]]</f>
        <v>0.50239252336448592</v>
      </c>
      <c r="H369" s="43">
        <f>tbl_scenarios[[#This Row],[net_margin_A]]-tbl_scenarios[[#This Row],[net_margin_pct]]</f>
        <v>-4.2000000000000037E-2</v>
      </c>
      <c r="I36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69" s="2">
        <f>tbl_raw[[#This Row],[gross_revenue]]-tbl_raw[[#This Row],[return_loss]]*(1+scn_B_returns_up/0.05)-tbl_raw[[#This Row],[cogs]]-(tbl_raw[[#This Row],[storage_cost]]+tbl_raw[[#This Row],[fulfillment_cost]]+tbl_raw[[#This Row],[freight_cost]])</f>
        <v>2328.1999999999998</v>
      </c>
      <c r="K369" s="42">
        <f>tbl_scenarios[[#This Row],[net_profit_B]]/tbl_raw[[#This Row],[gross_revenue]]</f>
        <v>0.54397196261682235</v>
      </c>
      <c r="L369" s="43">
        <f>tbl_scenarios[[#This Row],[net_margin_B]]-tbl_scenarios[[#This Row],[net_margin_pct]]</f>
        <v>-4.2056074766361196E-4</v>
      </c>
      <c r="M36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69" s="2">
        <f>tbl_raw[[#This Row],[gross_revenue]]*(1-scn_C_price_down)-tbl_raw[[#This Row],[return_loss]]-tbl_raw[[#This Row],[cogs]]-(tbl_raw[[#This Row],[storage_cost]]+tbl_raw[[#This Row],[fulfillment_cost]]+tbl_raw[[#This Row],[freight_cost]])</f>
        <v>2116</v>
      </c>
      <c r="O369" s="42">
        <f>tbl_scenarios[[#This Row],[net_profit_C]]/(tbl_raw[[#This Row],[gross_revenue]]*(1-scn_C_price_down))</f>
        <v>0.52041318248893265</v>
      </c>
      <c r="P369" s="43">
        <f>tbl_scenarios[[#This Row],[net_margin_C]]-tbl_scenarios[[#This Row],[net_margin_pct]]</f>
        <v>-2.3979340875553312E-2</v>
      </c>
      <c r="Q36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6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70" spans="1:18" x14ac:dyDescent="0.35">
      <c r="A370" s="17" t="str">
        <f>tbl_raw[[#This Row],[product_id]]</f>
        <v>a4aa7c1427c31344e5f7cc3d839fe562</v>
      </c>
      <c r="B370" t="str">
        <f>tbl_raw[[#This Row],[category]]</f>
        <v>pet_shop</v>
      </c>
      <c r="C370" s="2">
        <f>tbl_profitability[[#This Row],[net_profit]]</f>
        <v>1084.4499999999998</v>
      </c>
      <c r="D370" s="42">
        <f>tbl_profitability[[#This Row],[net_margin_pct]]</f>
        <v>0.25343538209862115</v>
      </c>
      <c r="E370" s="49" t="str">
        <f>tbl_profitability[[#This Row],[decision]]</f>
        <v>SCALE</v>
      </c>
      <c r="F370" s="2">
        <f>tbl_raw[[#This Row],[gross_revenue]]-tbl_raw[[#This Row],[return_loss]]-tbl_raw[[#This Row],[cogs]]*(1+scn_A_cogs_up)-(tbl_raw[[#This Row],[storage_cost]]+tbl_raw[[#This Row],[fulfillment_cost]]+tbl_raw[[#This Row],[freight_cost]])</f>
        <v>891.89499999999998</v>
      </c>
      <c r="G370" s="42">
        <f>tbl_scenarios[[#This Row],[net_profit_A]]/tbl_raw[[#This Row],[gross_revenue]]</f>
        <v>0.20843538209862117</v>
      </c>
      <c r="H370" s="43">
        <f>tbl_scenarios[[#This Row],[net_margin_A]]-tbl_scenarios[[#This Row],[net_margin_pct]]</f>
        <v>-4.4999999999999984E-2</v>
      </c>
      <c r="I37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70" s="2">
        <f>tbl_raw[[#This Row],[gross_revenue]]-tbl_raw[[#This Row],[return_loss]]*(1+scn_B_returns_up/0.05)-tbl_raw[[#This Row],[cogs]]-(tbl_raw[[#This Row],[storage_cost]]+tbl_raw[[#This Row],[fulfillment_cost]]+tbl_raw[[#This Row],[freight_cost]])</f>
        <v>1069.33</v>
      </c>
      <c r="K370" s="42">
        <f>tbl_scenarios[[#This Row],[net_profit_B]]/tbl_raw[[#This Row],[gross_revenue]]</f>
        <v>0.24990184622575368</v>
      </c>
      <c r="L370" s="43">
        <f>tbl_scenarios[[#This Row],[net_margin_B]]-tbl_scenarios[[#This Row],[net_margin_pct]]</f>
        <v>-3.5335358728674771E-3</v>
      </c>
      <c r="M370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70" s="2">
        <f>tbl_raw[[#This Row],[gross_revenue]]*(1-scn_C_price_down)-tbl_raw[[#This Row],[return_loss]]-tbl_raw[[#This Row],[cogs]]-(tbl_raw[[#This Row],[storage_cost]]+tbl_raw[[#This Row],[fulfillment_cost]]+tbl_raw[[#This Row],[freight_cost]])</f>
        <v>870.5</v>
      </c>
      <c r="O370" s="42">
        <f>tbl_scenarios[[#This Row],[net_profit_C]]/(tbl_raw[[#This Row],[gross_revenue]]*(1-scn_C_price_down))</f>
        <v>0.21414250747223282</v>
      </c>
      <c r="P370" s="43">
        <f>tbl_scenarios[[#This Row],[net_margin_C]]-tbl_scenarios[[#This Row],[net_margin_pct]]</f>
        <v>-3.9292874626388336E-2</v>
      </c>
      <c r="Q370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7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371" spans="1:18" x14ac:dyDescent="0.35">
      <c r="A371" s="17" t="str">
        <f>tbl_raw[[#This Row],[product_id]]</f>
        <v>06c950c36d589b39b34f5dc1d4a75e29</v>
      </c>
      <c r="B371" t="str">
        <f>tbl_raw[[#This Row],[category]]</f>
        <v>health_beauty</v>
      </c>
      <c r="C371" s="2">
        <f>tbl_profitability[[#This Row],[net_profit]]</f>
        <v>2225.52</v>
      </c>
      <c r="D371" s="42">
        <f>tbl_profitability[[#This Row],[net_margin_pct]]</f>
        <v>0.52041295934712206</v>
      </c>
      <c r="E371" s="49" t="str">
        <f>tbl_profitability[[#This Row],[decision]]</f>
        <v>SCALE</v>
      </c>
      <c r="F371" s="2">
        <f>tbl_raw[[#This Row],[gross_revenue]]-tbl_raw[[#This Row],[return_loss]]-tbl_raw[[#This Row],[cogs]]*(1+scn_A_cogs_up)-(tbl_raw[[#This Row],[storage_cost]]+tbl_raw[[#This Row],[fulfillment_cost]]+tbl_raw[[#This Row],[freight_cost]])</f>
        <v>2045.9089999999997</v>
      </c>
      <c r="G371" s="42">
        <f>tbl_scenarios[[#This Row],[net_profit_A]]/tbl_raw[[#This Row],[gross_revenue]]</f>
        <v>0.47841293596324047</v>
      </c>
      <c r="H371" s="43">
        <f>tbl_scenarios[[#This Row],[net_margin_A]]-tbl_scenarios[[#This Row],[net_margin_pct]]</f>
        <v>-4.2000023383881591E-2</v>
      </c>
      <c r="I37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71" s="2">
        <f>tbl_raw[[#This Row],[gross_revenue]]-tbl_raw[[#This Row],[return_loss]]*(1+scn_B_returns_up/0.05)-tbl_raw[[#This Row],[cogs]]-(tbl_raw[[#This Row],[storage_cost]]+tbl_raw[[#This Row],[fulfillment_cost]]+tbl_raw[[#This Row],[freight_cost]])</f>
        <v>2222.64</v>
      </c>
      <c r="K371" s="42">
        <f>tbl_scenarios[[#This Row],[net_profit_B]]/tbl_raw[[#This Row],[gross_revenue]]</f>
        <v>0.51973950356019594</v>
      </c>
      <c r="L371" s="43">
        <f>tbl_scenarios[[#This Row],[net_margin_B]]-tbl_scenarios[[#This Row],[net_margin_pct]]</f>
        <v>-6.7345578692612484E-4</v>
      </c>
      <c r="M37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71" s="2">
        <f>tbl_raw[[#This Row],[gross_revenue]]*(1-scn_C_price_down)-tbl_raw[[#This Row],[return_loss]]-tbl_raw[[#This Row],[cogs]]-(tbl_raw[[#This Row],[storage_cost]]+tbl_raw[[#This Row],[fulfillment_cost]]+tbl_raw[[#This Row],[freight_cost]])</f>
        <v>2011.6974999999998</v>
      </c>
      <c r="O371" s="42">
        <f>tbl_scenarios[[#This Row],[net_profit_C]]/(tbl_raw[[#This Row],[gross_revenue]]*(1-scn_C_price_down))</f>
        <v>0.49517153615486531</v>
      </c>
      <c r="P371" s="43">
        <f>tbl_scenarios[[#This Row],[net_margin_C]]-tbl_scenarios[[#This Row],[net_margin_pct]]</f>
        <v>-2.5241423192256751E-2</v>
      </c>
      <c r="Q37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7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72" spans="1:18" x14ac:dyDescent="0.35">
      <c r="A372" s="17" t="str">
        <f>tbl_raw[[#This Row],[product_id]]</f>
        <v>bb90206fa281c20f0b4c42a2393b54dd</v>
      </c>
      <c r="B372" t="str">
        <f>tbl_raw[[#This Row],[category]]</f>
        <v>computers_accessories</v>
      </c>
      <c r="C372" s="2">
        <f>tbl_profitability[[#This Row],[net_profit]]</f>
        <v>1242.1799999999998</v>
      </c>
      <c r="D372" s="42">
        <f>tbl_profitability[[#This Row],[net_margin_pct]]</f>
        <v>0.29202616100017392</v>
      </c>
      <c r="E372" s="49" t="str">
        <f>tbl_profitability[[#This Row],[decision]]</f>
        <v>SCALE</v>
      </c>
      <c r="F372" s="2">
        <f>tbl_raw[[#This Row],[gross_revenue]]-tbl_raw[[#This Row],[return_loss]]-tbl_raw[[#This Row],[cogs]]*(1+scn_A_cogs_up)-(tbl_raw[[#This Row],[storage_cost]]+tbl_raw[[#This Row],[fulfillment_cost]]+tbl_raw[[#This Row],[freight_cost]])</f>
        <v>999.72099999999955</v>
      </c>
      <c r="G372" s="42">
        <f>tbl_scenarios[[#This Row],[net_profit_A]]/tbl_raw[[#This Row],[gross_revenue]]</f>
        <v>0.23502607166534223</v>
      </c>
      <c r="H372" s="43">
        <f>tbl_scenarios[[#This Row],[net_margin_A]]-tbl_scenarios[[#This Row],[net_margin_pct]]</f>
        <v>-5.7000089334831694E-2</v>
      </c>
      <c r="I37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72" s="2">
        <f>tbl_raw[[#This Row],[gross_revenue]]-tbl_raw[[#This Row],[return_loss]]*(1+scn_B_returns_up/0.05)-tbl_raw[[#This Row],[cogs]]-(tbl_raw[[#This Row],[storage_cost]]+tbl_raw[[#This Row],[fulfillment_cost]]+tbl_raw[[#This Row],[freight_cost]])</f>
        <v>1221.48</v>
      </c>
      <c r="K372" s="42">
        <f>tbl_scenarios[[#This Row],[net_profit_B]]/tbl_raw[[#This Row],[gross_revenue]]</f>
        <v>0.28715976359182449</v>
      </c>
      <c r="L372" s="43">
        <f>tbl_scenarios[[#This Row],[net_margin_B]]-tbl_scenarios[[#This Row],[net_margin_pct]]</f>
        <v>-4.8663974083494321E-3</v>
      </c>
      <c r="M37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72" s="2">
        <f>tbl_raw[[#This Row],[gross_revenue]]*(1-scn_C_price_down)-tbl_raw[[#This Row],[return_loss]]-tbl_raw[[#This Row],[cogs]]-(tbl_raw[[#This Row],[storage_cost]]+tbl_raw[[#This Row],[fulfillment_cost]]+tbl_raw[[#This Row],[freight_cost]])</f>
        <v>1029.4969999999998</v>
      </c>
      <c r="O372" s="42">
        <f>tbl_scenarios[[#This Row],[net_profit_C]]/(tbl_raw[[#This Row],[gross_revenue]]*(1-scn_C_price_down))</f>
        <v>0.25476438000018309</v>
      </c>
      <c r="P372" s="43">
        <f>tbl_scenarios[[#This Row],[net_margin_C]]-tbl_scenarios[[#This Row],[net_margin_pct]]</f>
        <v>-3.7261780999990834E-2</v>
      </c>
      <c r="Q37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7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373" spans="1:18" x14ac:dyDescent="0.35">
      <c r="A373" s="17" t="str">
        <f>tbl_raw[[#This Row],[product_id]]</f>
        <v>167b4b8c4bd0c401bea62f5e050d70a4</v>
      </c>
      <c r="B373" t="str">
        <f>tbl_raw[[#This Row],[category]]</f>
        <v>computers_accessories</v>
      </c>
      <c r="C373" s="2">
        <f>tbl_profitability[[#This Row],[net_profit]]</f>
        <v>991.27000000000044</v>
      </c>
      <c r="D373" s="42">
        <f>tbl_profitability[[#This Row],[net_margin_pct]]</f>
        <v>0.23385628007926781</v>
      </c>
      <c r="E373" s="49" t="str">
        <f>tbl_profitability[[#This Row],[decision]]</f>
        <v>OPTIMIZE</v>
      </c>
      <c r="F373" s="2">
        <f>tbl_raw[[#This Row],[gross_revenue]]-tbl_raw[[#This Row],[return_loss]]-tbl_raw[[#This Row],[cogs]]*(1+scn_A_cogs_up)-(tbl_raw[[#This Row],[storage_cost]]+tbl_raw[[#This Row],[fulfillment_cost]]+tbl_raw[[#This Row],[freight_cost]])</f>
        <v>749.65800000000036</v>
      </c>
      <c r="G373" s="42">
        <f>tbl_scenarios[[#This Row],[net_profit_A]]/tbl_raw[[#This Row],[gross_revenue]]</f>
        <v>0.17685618571293771</v>
      </c>
      <c r="H373" s="43">
        <f>tbl_scenarios[[#This Row],[net_margin_A]]-tbl_scenarios[[#This Row],[net_margin_pct]]</f>
        <v>-5.7000094366330106E-2</v>
      </c>
      <c r="I373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73" s="2">
        <f>tbl_raw[[#This Row],[gross_revenue]]-tbl_raw[[#This Row],[return_loss]]*(1+scn_B_returns_up/0.05)-tbl_raw[[#This Row],[cogs]]-(tbl_raw[[#This Row],[storage_cost]]+tbl_raw[[#This Row],[fulfillment_cost]]+tbl_raw[[#This Row],[freight_cost]])</f>
        <v>966.07000000000062</v>
      </c>
      <c r="K373" s="42">
        <f>tbl_scenarios[[#This Row],[net_profit_B]]/tbl_raw[[#This Row],[gross_revenue]]</f>
        <v>0.22791120128338221</v>
      </c>
      <c r="L373" s="43">
        <f>tbl_scenarios[[#This Row],[net_margin_B]]-tbl_scenarios[[#This Row],[net_margin_pct]]</f>
        <v>-5.9450787958856E-3</v>
      </c>
      <c r="M373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73" s="2">
        <f>tbl_raw[[#This Row],[gross_revenue]]*(1-scn_C_price_down)-tbl_raw[[#This Row],[return_loss]]-tbl_raw[[#This Row],[cogs]]-(tbl_raw[[#This Row],[storage_cost]]+tbl_raw[[#This Row],[fulfillment_cost]]+tbl_raw[[#This Row],[freight_cost]])</f>
        <v>779.33000000000038</v>
      </c>
      <c r="O373" s="42">
        <f>tbl_scenarios[[#This Row],[net_profit_C]]/(tbl_raw[[#This Row],[gross_revenue]]*(1-scn_C_price_down))</f>
        <v>0.19353292639922925</v>
      </c>
      <c r="P373" s="43">
        <f>tbl_scenarios[[#This Row],[net_margin_C]]-tbl_scenarios[[#This Row],[net_margin_pct]]</f>
        <v>-4.0323353680038559E-2</v>
      </c>
      <c r="Q373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7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74" spans="1:18" x14ac:dyDescent="0.35">
      <c r="A374" s="17" t="str">
        <f>tbl_raw[[#This Row],[product_id]]</f>
        <v>b92a7304ebad1ca5b393b53b2de5c70a</v>
      </c>
      <c r="B374" t="str">
        <f>tbl_raw[[#This Row],[category]]</f>
        <v>office_furniture</v>
      </c>
      <c r="C374" s="2">
        <f>tbl_profitability[[#This Row],[net_profit]]</f>
        <v>952.29999999999973</v>
      </c>
      <c r="D374" s="42">
        <f>tbl_profitability[[#This Row],[net_margin_pct]]</f>
        <v>0.22467006082110849</v>
      </c>
      <c r="E374" s="49" t="str">
        <f>tbl_profitability[[#This Row],[decision]]</f>
        <v>OPTIMIZE</v>
      </c>
      <c r="F374" s="2">
        <f>tbl_raw[[#This Row],[gross_revenue]]-tbl_raw[[#This Row],[return_loss]]-tbl_raw[[#This Row],[cogs]]*(1+scn_A_cogs_up)-(tbl_raw[[#This Row],[storage_cost]]+tbl_raw[[#This Row],[fulfillment_cost]]+tbl_raw[[#This Row],[freight_cost]])</f>
        <v>761.55999999999949</v>
      </c>
      <c r="G374" s="42">
        <f>tbl_scenarios[[#This Row],[net_profit_A]]/tbl_raw[[#This Row],[gross_revenue]]</f>
        <v>0.17966999004402323</v>
      </c>
      <c r="H374" s="43">
        <f>tbl_scenarios[[#This Row],[net_margin_A]]-tbl_scenarios[[#This Row],[net_margin_pct]]</f>
        <v>-4.500007077708526E-2</v>
      </c>
      <c r="I37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74" s="2">
        <f>tbl_raw[[#This Row],[gross_revenue]]-tbl_raw[[#This Row],[return_loss]]*(1+scn_B_returns_up/0.05)-tbl_raw[[#This Row],[cogs]]-(tbl_raw[[#This Row],[storage_cost]]+tbl_raw[[#This Row],[fulfillment_cost]]+tbl_raw[[#This Row],[freight_cost]])</f>
        <v>941.49999999999955</v>
      </c>
      <c r="K374" s="42">
        <f>tbl_scenarios[[#This Row],[net_profit_B]]/tbl_raw[[#This Row],[gross_revenue]]</f>
        <v>0.22212208575351633</v>
      </c>
      <c r="L374" s="43">
        <f>tbl_scenarios[[#This Row],[net_margin_B]]-tbl_scenarios[[#This Row],[net_margin_pct]]</f>
        <v>-2.547975067592162E-3</v>
      </c>
      <c r="M374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74" s="2">
        <f>tbl_raw[[#This Row],[gross_revenue]]*(1-scn_C_price_down)-tbl_raw[[#This Row],[return_loss]]-tbl_raw[[#This Row],[cogs]]-(tbl_raw[[#This Row],[storage_cost]]+tbl_raw[[#This Row],[fulfillment_cost]]+tbl_raw[[#This Row],[freight_cost]])</f>
        <v>740.36699999999973</v>
      </c>
      <c r="O374" s="42">
        <f>tbl_scenarios[[#This Row],[net_profit_C]]/(tbl_raw[[#This Row],[gross_revenue]]*(1-scn_C_price_down))</f>
        <v>0.18386322191695631</v>
      </c>
      <c r="P374" s="43">
        <f>tbl_scenarios[[#This Row],[net_margin_C]]-tbl_scenarios[[#This Row],[net_margin_pct]]</f>
        <v>-4.0806838904152182E-2</v>
      </c>
      <c r="Q37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7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75" spans="1:18" x14ac:dyDescent="0.35">
      <c r="A375" s="17" t="str">
        <f>tbl_raw[[#This Row],[product_id]]</f>
        <v>194e74feac1f84a8ee5a517d4b3e107a</v>
      </c>
      <c r="B375" t="str">
        <f>tbl_raw[[#This Row],[category]]</f>
        <v>computers</v>
      </c>
      <c r="C375" s="2">
        <f>tbl_profitability[[#This Row],[net_profit]]</f>
        <v>1400.86</v>
      </c>
      <c r="D375" s="42">
        <f>tbl_profitability[[#This Row],[net_margin_pct]]</f>
        <v>0.33062544253009202</v>
      </c>
      <c r="E375" s="49" t="str">
        <f>tbl_profitability[[#This Row],[decision]]</f>
        <v>OPTIMIZE</v>
      </c>
      <c r="F375" s="2">
        <f>tbl_raw[[#This Row],[gross_revenue]]-tbl_raw[[#This Row],[return_loss]]-tbl_raw[[#This Row],[cogs]]*(1+scn_A_cogs_up)-(tbl_raw[[#This Row],[storage_cost]]+tbl_raw[[#This Row],[fulfillment_cost]]+tbl_raw[[#This Row],[freight_cost]])</f>
        <v>1159.3509999999999</v>
      </c>
      <c r="G375" s="42">
        <f>tbl_scenarios[[#This Row],[net_profit_A]]/tbl_raw[[#This Row],[gross_revenue]]</f>
        <v>0.27362544253009202</v>
      </c>
      <c r="H375" s="43">
        <f>tbl_scenarios[[#This Row],[net_margin_A]]-tbl_scenarios[[#This Row],[net_margin_pct]]</f>
        <v>-5.6999999999999995E-2</v>
      </c>
      <c r="I375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75" s="2">
        <f>tbl_raw[[#This Row],[gross_revenue]]-tbl_raw[[#This Row],[return_loss]]*(1+scn_B_returns_up/0.05)-tbl_raw[[#This Row],[cogs]]-(tbl_raw[[#This Row],[storage_cost]]+tbl_raw[[#This Row],[fulfillment_cost]]+tbl_raw[[#This Row],[freight_cost]])</f>
        <v>1396.36</v>
      </c>
      <c r="K375" s="42">
        <f>tbl_scenarios[[#This Row],[net_profit_B]]/tbl_raw[[#This Row],[gross_revenue]]</f>
        <v>0.32956337030918098</v>
      </c>
      <c r="L375" s="43">
        <f>tbl_scenarios[[#This Row],[net_margin_B]]-tbl_scenarios[[#This Row],[net_margin_pct]]</f>
        <v>-1.0620722209110367E-3</v>
      </c>
      <c r="M375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75" s="2">
        <f>tbl_raw[[#This Row],[gross_revenue]]*(1-scn_C_price_down)-tbl_raw[[#This Row],[return_loss]]-tbl_raw[[#This Row],[cogs]]-(tbl_raw[[#This Row],[storage_cost]]+tbl_raw[[#This Row],[fulfillment_cost]]+tbl_raw[[#This Row],[freight_cost]])</f>
        <v>1189.0099999999995</v>
      </c>
      <c r="O375" s="42">
        <f>tbl_scenarios[[#This Row],[net_profit_C]]/(tbl_raw[[#This Row],[gross_revenue]]*(1-scn_C_price_down))</f>
        <v>0.2953952026632547</v>
      </c>
      <c r="P375" s="43">
        <f>tbl_scenarios[[#This Row],[net_margin_C]]-tbl_scenarios[[#This Row],[net_margin_pct]]</f>
        <v>-3.5230239866837321E-2</v>
      </c>
      <c r="Q375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7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76" spans="1:18" x14ac:dyDescent="0.35">
      <c r="A376" s="17" t="str">
        <f>tbl_raw[[#This Row],[product_id]]</f>
        <v>a56af7192032f295ac582a2d70e4caba</v>
      </c>
      <c r="B376" t="str">
        <f>tbl_raw[[#This Row],[category]]</f>
        <v>telephony</v>
      </c>
      <c r="C376" s="2">
        <f>tbl_profitability[[#This Row],[net_profit]]</f>
        <v>1687.9300000000005</v>
      </c>
      <c r="D376" s="42">
        <f>tbl_profitability[[#This Row],[net_margin_pct]]</f>
        <v>0.39932103146439568</v>
      </c>
      <c r="E376" s="49" t="str">
        <f>tbl_profitability[[#This Row],[decision]]</f>
        <v>EXIT</v>
      </c>
      <c r="F376" s="2">
        <f>tbl_raw[[#This Row],[gross_revenue]]-tbl_raw[[#This Row],[return_loss]]-tbl_raw[[#This Row],[cogs]]*(1+scn_A_cogs_up)-(tbl_raw[[#This Row],[storage_cost]]+tbl_raw[[#This Row],[fulfillment_cost]]+tbl_raw[[#This Row],[freight_cost]])</f>
        <v>1446.9910000000002</v>
      </c>
      <c r="G376" s="42">
        <f>tbl_scenarios[[#This Row],[net_profit_A]]/tbl_raw[[#This Row],[gross_revenue]]</f>
        <v>0.34232103146439558</v>
      </c>
      <c r="H376" s="43">
        <f>tbl_scenarios[[#This Row],[net_margin_A]]-tbl_scenarios[[#This Row],[net_margin_pct]]</f>
        <v>-5.7000000000000106E-2</v>
      </c>
      <c r="I376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76" s="2">
        <f>tbl_raw[[#This Row],[gross_revenue]]-tbl_raw[[#This Row],[return_loss]]*(1+scn_B_returns_up/0.05)-tbl_raw[[#This Row],[cogs]]-(tbl_raw[[#This Row],[storage_cost]]+tbl_raw[[#This Row],[fulfillment_cost]]+tbl_raw[[#This Row],[freight_cost]])</f>
        <v>1682.53</v>
      </c>
      <c r="K376" s="42">
        <f>tbl_scenarios[[#This Row],[net_profit_B]]/tbl_raw[[#This Row],[gross_revenue]]</f>
        <v>0.39804352969008755</v>
      </c>
      <c r="L376" s="43">
        <f>tbl_scenarios[[#This Row],[net_margin_B]]-tbl_scenarios[[#This Row],[net_margin_pct]]</f>
        <v>-1.2775017743081318E-3</v>
      </c>
      <c r="M376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76" s="2">
        <f>tbl_raw[[#This Row],[gross_revenue]]*(1-scn_C_price_down)-tbl_raw[[#This Row],[return_loss]]-tbl_raw[[#This Row],[cogs]]-(tbl_raw[[#This Row],[storage_cost]]+tbl_raw[[#This Row],[fulfillment_cost]]+tbl_raw[[#This Row],[freight_cost]])</f>
        <v>1476.5799999999997</v>
      </c>
      <c r="O376" s="42">
        <f>tbl_scenarios[[#This Row],[net_profit_C]]/(tbl_raw[[#This Row],[gross_revenue]]*(1-scn_C_price_down))</f>
        <v>0.36770634890989001</v>
      </c>
      <c r="P376" s="43">
        <f>tbl_scenarios[[#This Row],[net_margin_C]]-tbl_scenarios[[#This Row],[net_margin_pct]]</f>
        <v>-3.1614682554505669E-2</v>
      </c>
      <c r="Q376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7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77" spans="1:18" x14ac:dyDescent="0.35">
      <c r="A377" s="17" t="str">
        <f>tbl_raw[[#This Row],[product_id]]</f>
        <v>cda8b19a05af621d957a97a979b6fa9a</v>
      </c>
      <c r="B377" t="str">
        <f>tbl_raw[[#This Row],[category]]</f>
        <v>baby</v>
      </c>
      <c r="C377" s="2">
        <f>tbl_profitability[[#This Row],[net_profit]]</f>
        <v>2031.5599999999997</v>
      </c>
      <c r="D377" s="42">
        <f>tbl_profitability[[#This Row],[net_margin_pct]]</f>
        <v>0.48141232227488145</v>
      </c>
      <c r="E377" s="49" t="str">
        <f>tbl_profitability[[#This Row],[decision]]</f>
        <v>EXIT</v>
      </c>
      <c r="F377" s="2">
        <f>tbl_raw[[#This Row],[gross_revenue]]-tbl_raw[[#This Row],[return_loss]]-tbl_raw[[#This Row],[cogs]]*(1+scn_A_cogs_up)-(tbl_raw[[#This Row],[storage_cost]]+tbl_raw[[#This Row],[fulfillment_cost]]+tbl_raw[[#This Row],[freight_cost]])</f>
        <v>1854.3199999999995</v>
      </c>
      <c r="G377" s="42">
        <f>tbl_scenarios[[#This Row],[net_profit_A]]/tbl_raw[[#This Row],[gross_revenue]]</f>
        <v>0.43941232227488142</v>
      </c>
      <c r="H377" s="43">
        <f>tbl_scenarios[[#This Row],[net_margin_A]]-tbl_scenarios[[#This Row],[net_margin_pct]]</f>
        <v>-4.2000000000000037E-2</v>
      </c>
      <c r="I377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77" s="2">
        <f>tbl_raw[[#This Row],[gross_revenue]]-tbl_raw[[#This Row],[return_loss]]*(1+scn_B_returns_up/0.05)-tbl_raw[[#This Row],[cogs]]-(tbl_raw[[#This Row],[storage_cost]]+tbl_raw[[#This Row],[fulfillment_cost]]+tbl_raw[[#This Row],[freight_cost]])</f>
        <v>2030.8400000000004</v>
      </c>
      <c r="K377" s="42">
        <f>tbl_scenarios[[#This Row],[net_profit_B]]/tbl_raw[[#This Row],[gross_revenue]]</f>
        <v>0.48124170616113754</v>
      </c>
      <c r="L377" s="43">
        <f>tbl_scenarios[[#This Row],[net_margin_B]]-tbl_scenarios[[#This Row],[net_margin_pct]]</f>
        <v>-1.706161137439155E-4</v>
      </c>
      <c r="M377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77" s="2">
        <f>tbl_raw[[#This Row],[gross_revenue]]*(1-scn_C_price_down)-tbl_raw[[#This Row],[return_loss]]-tbl_raw[[#This Row],[cogs]]-(tbl_raw[[#This Row],[storage_cost]]+tbl_raw[[#This Row],[fulfillment_cost]]+tbl_raw[[#This Row],[freight_cost]])</f>
        <v>1820.5600000000002</v>
      </c>
      <c r="O377" s="42">
        <f>tbl_scenarios[[#This Row],[net_profit_C]]/(tbl_raw[[#This Row],[gross_revenue]]*(1-scn_C_price_down))</f>
        <v>0.45411823397355955</v>
      </c>
      <c r="P377" s="43">
        <f>tbl_scenarios[[#This Row],[net_margin_C]]-tbl_scenarios[[#This Row],[net_margin_pct]]</f>
        <v>-2.7294088301321906E-2</v>
      </c>
      <c r="Q377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7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78" spans="1:18" x14ac:dyDescent="0.35">
      <c r="A378" s="17" t="str">
        <f>tbl_raw[[#This Row],[product_id]]</f>
        <v>16d928f7b23b3d30bd5a9ff281eed9b8</v>
      </c>
      <c r="B378" t="str">
        <f>tbl_raw[[#This Row],[category]]</f>
        <v>telephony</v>
      </c>
      <c r="C378" s="2">
        <f>tbl_profitability[[#This Row],[net_profit]]</f>
        <v>1647.5099999999998</v>
      </c>
      <c r="D378" s="42">
        <f>tbl_profitability[[#This Row],[net_margin_pct]]</f>
        <v>0.39217091168769336</v>
      </c>
      <c r="E378" s="49" t="str">
        <f>tbl_profitability[[#This Row],[decision]]</f>
        <v>OPTIMIZE</v>
      </c>
      <c r="F378" s="2">
        <f>tbl_raw[[#This Row],[gross_revenue]]-tbl_raw[[#This Row],[return_loss]]-tbl_raw[[#This Row],[cogs]]*(1+scn_A_cogs_up)-(tbl_raw[[#This Row],[storage_cost]]+tbl_raw[[#This Row],[fulfillment_cost]]+tbl_raw[[#This Row],[freight_cost]])</f>
        <v>1408.0529999999994</v>
      </c>
      <c r="G378" s="42">
        <f>tbl_scenarios[[#This Row],[net_profit_A]]/tbl_raw[[#This Row],[gross_revenue]]</f>
        <v>0.33517091168769325</v>
      </c>
      <c r="H378" s="43">
        <f>tbl_scenarios[[#This Row],[net_margin_A]]-tbl_scenarios[[#This Row],[net_margin_pct]]</f>
        <v>-5.7000000000000106E-2</v>
      </c>
      <c r="I378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78" s="2">
        <f>tbl_raw[[#This Row],[gross_revenue]]-tbl_raw[[#This Row],[return_loss]]*(1+scn_B_returns_up/0.05)-tbl_raw[[#This Row],[cogs]]-(tbl_raw[[#This Row],[storage_cost]]+tbl_raw[[#This Row],[fulfillment_cost]]+tbl_raw[[#This Row],[freight_cost]])</f>
        <v>1643.0099999999998</v>
      </c>
      <c r="K378" s="42">
        <f>tbl_scenarios[[#This Row],[net_profit_B]]/tbl_raw[[#This Row],[gross_revenue]]</f>
        <v>0.39109973815758148</v>
      </c>
      <c r="L378" s="43">
        <f>tbl_scenarios[[#This Row],[net_margin_B]]-tbl_scenarios[[#This Row],[net_margin_pct]]</f>
        <v>-1.0711735301118797E-3</v>
      </c>
      <c r="M378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78" s="2">
        <f>tbl_raw[[#This Row],[gross_revenue]]*(1-scn_C_price_down)-tbl_raw[[#This Row],[return_loss]]-tbl_raw[[#This Row],[cogs]]-(tbl_raw[[#This Row],[storage_cost]]+tbl_raw[[#This Row],[fulfillment_cost]]+tbl_raw[[#This Row],[freight_cost]])</f>
        <v>1437.4599999999996</v>
      </c>
      <c r="O378" s="42">
        <f>tbl_scenarios[[#This Row],[net_profit_C]]/(tbl_raw[[#This Row],[gross_revenue]]*(1-scn_C_price_down))</f>
        <v>0.36017990703967717</v>
      </c>
      <c r="P378" s="43">
        <f>tbl_scenarios[[#This Row],[net_margin_C]]-tbl_scenarios[[#This Row],[net_margin_pct]]</f>
        <v>-3.1991004648016186E-2</v>
      </c>
      <c r="Q378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7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79" spans="1:18" x14ac:dyDescent="0.35">
      <c r="A379" s="17" t="str">
        <f>tbl_raw[[#This Row],[product_id]]</f>
        <v>bbff7e0ea95dd990ce461d8104ee9173</v>
      </c>
      <c r="B379" t="str">
        <f>tbl_raw[[#This Row],[category]]</f>
        <v>home_appliances_2</v>
      </c>
      <c r="C379" s="2">
        <f>tbl_profitability[[#This Row],[net_profit]]</f>
        <v>1625.7099999999996</v>
      </c>
      <c r="D379" s="42">
        <f>tbl_profitability[[#This Row],[net_margin_pct]]</f>
        <v>0.38707565274120348</v>
      </c>
      <c r="E379" s="49" t="str">
        <f>tbl_profitability[[#This Row],[decision]]</f>
        <v>SCALE</v>
      </c>
      <c r="F379" s="2">
        <f>tbl_raw[[#This Row],[gross_revenue]]-tbl_raw[[#This Row],[return_loss]]-tbl_raw[[#This Row],[cogs]]*(1+scn_A_cogs_up)-(tbl_raw[[#This Row],[storage_cost]]+tbl_raw[[#This Row],[fulfillment_cost]]+tbl_raw[[#This Row],[freight_cost]])</f>
        <v>1386.3109999999992</v>
      </c>
      <c r="G379" s="42">
        <f>tbl_scenarios[[#This Row],[net_profit_A]]/tbl_raw[[#This Row],[gross_revenue]]</f>
        <v>0.3300756194077113</v>
      </c>
      <c r="H379" s="43">
        <f>tbl_scenarios[[#This Row],[net_margin_A]]-tbl_scenarios[[#This Row],[net_margin_pct]]</f>
        <v>-5.7000033333492184E-2</v>
      </c>
      <c r="I37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79" s="2">
        <f>tbl_raw[[#This Row],[gross_revenue]]-tbl_raw[[#This Row],[return_loss]]*(1+scn_B_returns_up/0.05)-tbl_raw[[#This Row],[cogs]]-(tbl_raw[[#This Row],[storage_cost]]+tbl_raw[[#This Row],[fulfillment_cost]]+tbl_raw[[#This Row],[freight_cost]])</f>
        <v>1624.9900000000002</v>
      </c>
      <c r="K379" s="42">
        <f>tbl_scenarios[[#This Row],[net_profit_B]]/tbl_raw[[#This Row],[gross_revenue]]</f>
        <v>0.38690422335344465</v>
      </c>
      <c r="L379" s="43">
        <f>tbl_scenarios[[#This Row],[net_margin_B]]-tbl_scenarios[[#This Row],[net_margin_pct]]</f>
        <v>-1.7142938775882577E-4</v>
      </c>
      <c r="M37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79" s="2">
        <f>tbl_raw[[#This Row],[gross_revenue]]*(1-scn_C_price_down)-tbl_raw[[#This Row],[return_loss]]-tbl_raw[[#This Row],[cogs]]-(tbl_raw[[#This Row],[storage_cost]]+tbl_raw[[#This Row],[fulfillment_cost]]+tbl_raw[[#This Row],[freight_cost]])</f>
        <v>1415.7109999999998</v>
      </c>
      <c r="O379" s="42">
        <f>tbl_scenarios[[#This Row],[net_profit_C]]/(tbl_raw[[#This Row],[gross_revenue]]*(1-scn_C_price_down))</f>
        <v>0.35481647656968796</v>
      </c>
      <c r="P379" s="43">
        <f>tbl_scenarios[[#This Row],[net_margin_C]]-tbl_scenarios[[#This Row],[net_margin_pct]]</f>
        <v>-3.2259176171515525E-2</v>
      </c>
      <c r="Q37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7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80" spans="1:18" x14ac:dyDescent="0.35">
      <c r="A380" s="17" t="str">
        <f>tbl_raw[[#This Row],[product_id]]</f>
        <v>6767719f80aabbbf16ab2491899c32d9</v>
      </c>
      <c r="B380" t="str">
        <f>tbl_raw[[#This Row],[category]]</f>
        <v>telephony</v>
      </c>
      <c r="C380" s="2">
        <f>tbl_profitability[[#This Row],[net_profit]]</f>
        <v>1588.32</v>
      </c>
      <c r="D380" s="42">
        <f>tbl_profitability[[#This Row],[net_margin_pct]]</f>
        <v>0.37817593066584126</v>
      </c>
      <c r="E380" s="49" t="str">
        <f>tbl_profitability[[#This Row],[decision]]</f>
        <v>SCALE</v>
      </c>
      <c r="F380" s="2">
        <f>tbl_raw[[#This Row],[gross_revenue]]-tbl_raw[[#This Row],[return_loss]]-tbl_raw[[#This Row],[cogs]]*(1+scn_A_cogs_up)-(tbl_raw[[#This Row],[storage_cost]]+tbl_raw[[#This Row],[fulfillment_cost]]+tbl_raw[[#This Row],[freight_cost]])</f>
        <v>1348.9229999999995</v>
      </c>
      <c r="G380" s="42">
        <f>tbl_scenarios[[#This Row],[net_profit_A]]/tbl_raw[[#This Row],[gross_revenue]]</f>
        <v>0.32117596638055207</v>
      </c>
      <c r="H380" s="43">
        <f>tbl_scenarios[[#This Row],[net_margin_A]]-tbl_scenarios[[#This Row],[net_margin_pct]]</f>
        <v>-5.6999964285289195E-2</v>
      </c>
      <c r="I38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80" s="2">
        <f>tbl_raw[[#This Row],[gross_revenue]]-tbl_raw[[#This Row],[return_loss]]*(1+scn_B_returns_up/0.05)-tbl_raw[[#This Row],[cogs]]-(tbl_raw[[#This Row],[storage_cost]]+tbl_raw[[#This Row],[fulfillment_cost]]+tbl_raw[[#This Row],[freight_cost]])</f>
        <v>1583.82</v>
      </c>
      <c r="K380" s="42">
        <f>tbl_scenarios[[#This Row],[net_profit_B]]/tbl_raw[[#This Row],[gross_revenue]]</f>
        <v>0.3771044893391588</v>
      </c>
      <c r="L380" s="43">
        <f>tbl_scenarios[[#This Row],[net_margin_B]]-tbl_scenarios[[#This Row],[net_margin_pct]]</f>
        <v>-1.0714413266824652E-3</v>
      </c>
      <c r="M38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80" s="2">
        <f>tbl_raw[[#This Row],[gross_revenue]]*(1-scn_C_price_down)-tbl_raw[[#This Row],[return_loss]]-tbl_raw[[#This Row],[cogs]]-(tbl_raw[[#This Row],[storage_cost]]+tbl_raw[[#This Row],[fulfillment_cost]]+tbl_raw[[#This Row],[freight_cost]])</f>
        <v>1378.3224999999995</v>
      </c>
      <c r="O380" s="42">
        <f>tbl_scenarios[[#This Row],[net_profit_C]]/(tbl_raw[[#This Row],[gross_revenue]]*(1-scn_C_price_down))</f>
        <v>0.34544834806930652</v>
      </c>
      <c r="P380" s="43">
        <f>tbl_scenarios[[#This Row],[net_margin_C]]-tbl_scenarios[[#This Row],[net_margin_pct]]</f>
        <v>-3.2727582596534743E-2</v>
      </c>
      <c r="Q38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8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81" spans="1:18" x14ac:dyDescent="0.35">
      <c r="A381" s="17" t="str">
        <f>tbl_raw[[#This Row],[product_id]]</f>
        <v>5fb1e24560c31b0eaa1911d4247187ed</v>
      </c>
      <c r="B381" t="str">
        <f>tbl_raw[[#This Row],[category]]</f>
        <v>toys</v>
      </c>
      <c r="C381" s="2">
        <f>tbl_profitability[[#This Row],[net_profit]]</f>
        <v>2008.33</v>
      </c>
      <c r="D381" s="42">
        <f>tbl_profitability[[#This Row],[net_margin_pct]]</f>
        <v>0.47845860631328169</v>
      </c>
      <c r="E381" s="49" t="str">
        <f>tbl_profitability[[#This Row],[decision]]</f>
        <v>OPTIMIZE</v>
      </c>
      <c r="F381" s="2">
        <f>tbl_raw[[#This Row],[gross_revenue]]-tbl_raw[[#This Row],[return_loss]]-tbl_raw[[#This Row],[cogs]]*(1+scn_A_cogs_up)-(tbl_raw[[#This Row],[storage_cost]]+tbl_raw[[#This Row],[fulfillment_cost]]+tbl_raw[[#This Row],[freight_cost]])</f>
        <v>1832.0349999999999</v>
      </c>
      <c r="G381" s="42">
        <f>tbl_scenarios[[#This Row],[net_profit_A]]/tbl_raw[[#This Row],[gross_revenue]]</f>
        <v>0.43645860631328171</v>
      </c>
      <c r="H381" s="43">
        <f>tbl_scenarios[[#This Row],[net_margin_A]]-tbl_scenarios[[#This Row],[net_margin_pct]]</f>
        <v>-4.1999999999999982E-2</v>
      </c>
      <c r="I381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81" s="2">
        <f>tbl_raw[[#This Row],[gross_revenue]]-tbl_raw[[#This Row],[return_loss]]*(1+scn_B_returns_up/0.05)-tbl_raw[[#This Row],[cogs]]-(tbl_raw[[#This Row],[storage_cost]]+tbl_raw[[#This Row],[fulfillment_cost]]+tbl_raw[[#This Row],[freight_cost]])</f>
        <v>2002.5699999999997</v>
      </c>
      <c r="K381" s="42">
        <f>tbl_scenarios[[#This Row],[net_profit_B]]/tbl_raw[[#This Row],[gross_revenue]]</f>
        <v>0.47708636092912443</v>
      </c>
      <c r="L381" s="43">
        <f>tbl_scenarios[[#This Row],[net_margin_B]]-tbl_scenarios[[#This Row],[net_margin_pct]]</f>
        <v>-1.3722453841572557E-3</v>
      </c>
      <c r="M381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81" s="2">
        <f>tbl_raw[[#This Row],[gross_revenue]]*(1-scn_C_price_down)-tbl_raw[[#This Row],[return_loss]]-tbl_raw[[#This Row],[cogs]]-(tbl_raw[[#This Row],[storage_cost]]+tbl_raw[[#This Row],[fulfillment_cost]]+tbl_raw[[#This Row],[freight_cost]])</f>
        <v>1798.4549999999999</v>
      </c>
      <c r="O381" s="42">
        <f>tbl_scenarios[[#This Row],[net_profit_C]]/(tbl_raw[[#This Row],[gross_revenue]]*(1-scn_C_price_down))</f>
        <v>0.45100905927713864</v>
      </c>
      <c r="P381" s="43">
        <f>tbl_scenarios[[#This Row],[net_margin_C]]-tbl_scenarios[[#This Row],[net_margin_pct]]</f>
        <v>-2.7449547036143052E-2</v>
      </c>
      <c r="Q381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8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82" spans="1:18" x14ac:dyDescent="0.35">
      <c r="A382" s="17" t="str">
        <f>tbl_raw[[#This Row],[product_id]]</f>
        <v>4a90b44b456e79e7a33435fdd36e551f</v>
      </c>
      <c r="B382" t="str">
        <f>tbl_raw[[#This Row],[category]]</f>
        <v>garden_tools</v>
      </c>
      <c r="C382" s="2">
        <f>tbl_profitability[[#This Row],[net_profit]]</f>
        <v>1667.76</v>
      </c>
      <c r="D382" s="42">
        <f>tbl_profitability[[#This Row],[net_margin_pct]]</f>
        <v>0.39898564593301433</v>
      </c>
      <c r="E382" s="49" t="str">
        <f>tbl_profitability[[#This Row],[decision]]</f>
        <v>OPTIMIZE</v>
      </c>
      <c r="F382" s="2">
        <f>tbl_raw[[#This Row],[gross_revenue]]-tbl_raw[[#This Row],[return_loss]]-tbl_raw[[#This Row],[cogs]]*(1+scn_A_cogs_up)-(tbl_raw[[#This Row],[storage_cost]]+tbl_raw[[#This Row],[fulfillment_cost]]+tbl_raw[[#This Row],[freight_cost]])</f>
        <v>1479.6599999999996</v>
      </c>
      <c r="G382" s="42">
        <f>tbl_scenarios[[#This Row],[net_profit_A]]/tbl_raw[[#This Row],[gross_revenue]]</f>
        <v>0.35398564593301429</v>
      </c>
      <c r="H382" s="43">
        <f>tbl_scenarios[[#This Row],[net_margin_A]]-tbl_scenarios[[#This Row],[net_margin_pct]]</f>
        <v>-4.500000000000004E-2</v>
      </c>
      <c r="I382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82" s="2">
        <f>tbl_raw[[#This Row],[gross_revenue]]-tbl_raw[[#This Row],[return_loss]]*(1+scn_B_returns_up/0.05)-tbl_raw[[#This Row],[cogs]]-(tbl_raw[[#This Row],[storage_cost]]+tbl_raw[[#This Row],[fulfillment_cost]]+tbl_raw[[#This Row],[freight_cost]])</f>
        <v>1663.8</v>
      </c>
      <c r="K382" s="42">
        <f>tbl_scenarios[[#This Row],[net_profit_B]]/tbl_raw[[#This Row],[gross_revenue]]</f>
        <v>0.39803827751196169</v>
      </c>
      <c r="L382" s="43">
        <f>tbl_scenarios[[#This Row],[net_margin_B]]-tbl_scenarios[[#This Row],[net_margin_pct]]</f>
        <v>-9.4736842105264119E-4</v>
      </c>
      <c r="M382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82" s="2">
        <f>tbl_raw[[#This Row],[gross_revenue]]*(1-scn_C_price_down)-tbl_raw[[#This Row],[return_loss]]-tbl_raw[[#This Row],[cogs]]-(tbl_raw[[#This Row],[storage_cost]]+tbl_raw[[#This Row],[fulfillment_cost]]+tbl_raw[[#This Row],[freight_cost]])</f>
        <v>1458.76</v>
      </c>
      <c r="O382" s="42">
        <f>tbl_scenarios[[#This Row],[net_profit_C]]/(tbl_raw[[#This Row],[gross_revenue]]*(1-scn_C_price_down))</f>
        <v>0.36735331150843614</v>
      </c>
      <c r="P382" s="43">
        <f>tbl_scenarios[[#This Row],[net_margin_C]]-tbl_scenarios[[#This Row],[net_margin_pct]]</f>
        <v>-3.163233442457819E-2</v>
      </c>
      <c r="Q382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8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83" spans="1:18" x14ac:dyDescent="0.35">
      <c r="A383" s="17" t="str">
        <f>tbl_raw[[#This Row],[product_id]]</f>
        <v>fa4e8255202fd921350a6fc716710dae</v>
      </c>
      <c r="B383" t="str">
        <f>tbl_raw[[#This Row],[category]]</f>
        <v>computers_accessories</v>
      </c>
      <c r="C383" s="2">
        <f>tbl_profitability[[#This Row],[net_profit]]</f>
        <v>1360.98</v>
      </c>
      <c r="D383" s="42">
        <f>tbl_profitability[[#This Row],[net_margin_pct]]</f>
        <v>0.32693388679897956</v>
      </c>
      <c r="E383" s="49" t="str">
        <f>tbl_profitability[[#This Row],[decision]]</f>
        <v>SCALE</v>
      </c>
      <c r="F383" s="2">
        <f>tbl_raw[[#This Row],[gross_revenue]]-tbl_raw[[#This Row],[return_loss]]-tbl_raw[[#This Row],[cogs]]*(1+scn_A_cogs_up)-(tbl_raw[[#This Row],[storage_cost]]+tbl_raw[[#This Row],[fulfillment_cost]]+tbl_raw[[#This Row],[freight_cost]])</f>
        <v>1123.6969999999997</v>
      </c>
      <c r="G383" s="42">
        <f>tbl_scenarios[[#This Row],[net_profit_A]]/tbl_raw[[#This Row],[gross_revenue]]</f>
        <v>0.26993389160336878</v>
      </c>
      <c r="H383" s="43">
        <f>tbl_scenarios[[#This Row],[net_margin_A]]-tbl_scenarios[[#This Row],[net_margin_pct]]</f>
        <v>-5.6999995195610775E-2</v>
      </c>
      <c r="I383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83" s="2">
        <f>tbl_raw[[#This Row],[gross_revenue]]-tbl_raw[[#This Row],[return_loss]]*(1+scn_B_returns_up/0.05)-tbl_raw[[#This Row],[cogs]]-(tbl_raw[[#This Row],[storage_cost]]+tbl_raw[[#This Row],[fulfillment_cost]]+tbl_raw[[#This Row],[freight_cost]])</f>
        <v>1346.5799999999995</v>
      </c>
      <c r="K383" s="42">
        <f>tbl_scenarios[[#This Row],[net_profit_B]]/tbl_raw[[#This Row],[gross_revenue]]</f>
        <v>0.32347472651013959</v>
      </c>
      <c r="L383" s="43">
        <f>tbl_scenarios[[#This Row],[net_margin_B]]-tbl_scenarios[[#This Row],[net_margin_pct]]</f>
        <v>-3.4591602888399686E-3</v>
      </c>
      <c r="M383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83" s="2">
        <f>tbl_raw[[#This Row],[gross_revenue]]*(1-scn_C_price_down)-tbl_raw[[#This Row],[return_loss]]-tbl_raw[[#This Row],[cogs]]-(tbl_raw[[#This Row],[storage_cost]]+tbl_raw[[#This Row],[fulfillment_cost]]+tbl_raw[[#This Row],[freight_cost]])</f>
        <v>1152.8369999999995</v>
      </c>
      <c r="O383" s="42">
        <f>tbl_scenarios[[#This Row],[net_profit_C]]/(tbl_raw[[#This Row],[gross_revenue]]*(1-scn_C_price_down))</f>
        <v>0.29150935452524152</v>
      </c>
      <c r="P383" s="43">
        <f>tbl_scenarios[[#This Row],[net_margin_C]]-tbl_scenarios[[#This Row],[net_margin_pct]]</f>
        <v>-3.5424532273738041E-2</v>
      </c>
      <c r="Q383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8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84" spans="1:18" x14ac:dyDescent="0.35">
      <c r="A384" s="17" t="str">
        <f>tbl_raw[[#This Row],[product_id]]</f>
        <v>7af541d714ea3db608971a40b8f507cb</v>
      </c>
      <c r="B384" t="str">
        <f>tbl_raw[[#This Row],[category]]</f>
        <v>baby</v>
      </c>
      <c r="C384" s="2">
        <f>tbl_profitability[[#This Row],[net_profit]]</f>
        <v>1903.85</v>
      </c>
      <c r="D384" s="42">
        <f>tbl_profitability[[#This Row],[net_margin_pct]]</f>
        <v>0.45776628997355129</v>
      </c>
      <c r="E384" s="49" t="str">
        <f>tbl_profitability[[#This Row],[decision]]</f>
        <v>OPTIMIZE</v>
      </c>
      <c r="F384" s="2">
        <f>tbl_raw[[#This Row],[gross_revenue]]-tbl_raw[[#This Row],[return_loss]]-tbl_raw[[#This Row],[cogs]]*(1+scn_A_cogs_up)-(tbl_raw[[#This Row],[storage_cost]]+tbl_raw[[#This Row],[fulfillment_cost]]+tbl_raw[[#This Row],[freight_cost]])</f>
        <v>1729.1719999999996</v>
      </c>
      <c r="G384" s="42">
        <f>tbl_scenarios[[#This Row],[net_profit_A]]/tbl_raw[[#This Row],[gross_revenue]]</f>
        <v>0.41576628997355125</v>
      </c>
      <c r="H384" s="43">
        <f>tbl_scenarios[[#This Row],[net_margin_A]]-tbl_scenarios[[#This Row],[net_margin_pct]]</f>
        <v>-4.2000000000000037E-2</v>
      </c>
      <c r="I384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84" s="2">
        <f>tbl_raw[[#This Row],[gross_revenue]]-tbl_raw[[#This Row],[return_loss]]*(1+scn_B_returns_up/0.05)-tbl_raw[[#This Row],[cogs]]-(tbl_raw[[#This Row],[storage_cost]]+tbl_raw[[#This Row],[fulfillment_cost]]+tbl_raw[[#This Row],[freight_cost]])</f>
        <v>1900.2500000000005</v>
      </c>
      <c r="K384" s="42">
        <f>tbl_scenarios[[#This Row],[net_profit_B]]/tbl_raw[[#This Row],[gross_revenue]]</f>
        <v>0.45690069728300081</v>
      </c>
      <c r="L384" s="43">
        <f>tbl_scenarios[[#This Row],[net_margin_B]]-tbl_scenarios[[#This Row],[net_margin_pct]]</f>
        <v>-8.6559269055047627E-4</v>
      </c>
      <c r="M384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84" s="2">
        <f>tbl_raw[[#This Row],[gross_revenue]]*(1-scn_C_price_down)-tbl_raw[[#This Row],[return_loss]]-tbl_raw[[#This Row],[cogs]]-(tbl_raw[[#This Row],[storage_cost]]+tbl_raw[[#This Row],[fulfillment_cost]]+tbl_raw[[#This Row],[freight_cost]])</f>
        <v>1695.9</v>
      </c>
      <c r="O384" s="42">
        <f>tbl_scenarios[[#This Row],[net_profit_C]]/(tbl_raw[[#This Row],[gross_revenue]]*(1-scn_C_price_down))</f>
        <v>0.42922767365636988</v>
      </c>
      <c r="P384" s="43">
        <f>tbl_scenarios[[#This Row],[net_margin_C]]-tbl_scenarios[[#This Row],[net_margin_pct]]</f>
        <v>-2.8538616317181409E-2</v>
      </c>
      <c r="Q384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8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85" spans="1:18" x14ac:dyDescent="0.35">
      <c r="A385" s="17" t="str">
        <f>tbl_raw[[#This Row],[product_id]]</f>
        <v>6e1b14d3cbb5fb3a2c00351007127dfd</v>
      </c>
      <c r="B385" t="str">
        <f>tbl_raw[[#This Row],[category]]</f>
        <v>cool_stuff</v>
      </c>
      <c r="C385" s="2">
        <f>tbl_profitability[[#This Row],[net_profit]]</f>
        <v>1851.75</v>
      </c>
      <c r="D385" s="42">
        <f>tbl_profitability[[#This Row],[net_margin_pct]]</f>
        <v>0.4462241735786131</v>
      </c>
      <c r="E385" s="49" t="str">
        <f>tbl_profitability[[#This Row],[decision]]</f>
        <v>SCALE</v>
      </c>
      <c r="F385" s="2">
        <f>tbl_raw[[#This Row],[gross_revenue]]-tbl_raw[[#This Row],[return_loss]]-tbl_raw[[#This Row],[cogs]]*(1+scn_A_cogs_up)-(tbl_raw[[#This Row],[storage_cost]]+tbl_raw[[#This Row],[fulfillment_cost]]+tbl_raw[[#This Row],[freight_cost]])</f>
        <v>1665.0079999999998</v>
      </c>
      <c r="G385" s="42">
        <f>tbl_scenarios[[#This Row],[net_profit_A]]/tbl_raw[[#This Row],[gross_revenue]]</f>
        <v>0.40122414948118229</v>
      </c>
      <c r="H385" s="43">
        <f>tbl_scenarios[[#This Row],[net_margin_A]]-tbl_scenarios[[#This Row],[net_margin_pct]]</f>
        <v>-4.5000024097430813E-2</v>
      </c>
      <c r="I38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85" s="2">
        <f>tbl_raw[[#This Row],[gross_revenue]]-tbl_raw[[#This Row],[return_loss]]*(1+scn_B_returns_up/0.05)-tbl_raw[[#This Row],[cogs]]-(tbl_raw[[#This Row],[storage_cost]]+tbl_raw[[#This Row],[fulfillment_cost]]+tbl_raw[[#This Row],[freight_cost]])</f>
        <v>1845.2699999999995</v>
      </c>
      <c r="K385" s="42">
        <f>tbl_scenarios[[#This Row],[net_profit_B]]/tbl_raw[[#This Row],[gross_revenue]]</f>
        <v>0.44466266006718358</v>
      </c>
      <c r="L385" s="43">
        <f>tbl_scenarios[[#This Row],[net_margin_B]]-tbl_scenarios[[#This Row],[net_margin_pct]]</f>
        <v>-1.5615135114295242E-3</v>
      </c>
      <c r="M38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85" s="2">
        <f>tbl_raw[[#This Row],[gross_revenue]]*(1-scn_C_price_down)-tbl_raw[[#This Row],[return_loss]]-tbl_raw[[#This Row],[cogs]]-(tbl_raw[[#This Row],[storage_cost]]+tbl_raw[[#This Row],[fulfillment_cost]]+tbl_raw[[#This Row],[freight_cost]])</f>
        <v>1644.2589999999996</v>
      </c>
      <c r="O385" s="42">
        <f>tbl_scenarios[[#This Row],[net_profit_C]]/(tbl_raw[[#This Row],[gross_revenue]]*(1-scn_C_price_down))</f>
        <v>0.41707807745117154</v>
      </c>
      <c r="P385" s="43">
        <f>tbl_scenarios[[#This Row],[net_margin_C]]-tbl_scenarios[[#This Row],[net_margin_pct]]</f>
        <v>-2.9146096127441568E-2</v>
      </c>
      <c r="Q38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8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86" spans="1:18" x14ac:dyDescent="0.35">
      <c r="A386" s="17" t="str">
        <f>tbl_raw[[#This Row],[product_id]]</f>
        <v>864413ca56c2bcea359a213956a922c0</v>
      </c>
      <c r="B386" t="str">
        <f>tbl_raw[[#This Row],[category]]</f>
        <v>auto</v>
      </c>
      <c r="C386" s="2">
        <f>tbl_profitability[[#This Row],[net_profit]]</f>
        <v>2127.4499999999998</v>
      </c>
      <c r="D386" s="42">
        <f>tbl_profitability[[#This Row],[net_margin_pct]]</f>
        <v>0.51267561510470638</v>
      </c>
      <c r="E386" s="49" t="str">
        <f>tbl_profitability[[#This Row],[decision]]</f>
        <v>SCALE</v>
      </c>
      <c r="F386" s="2">
        <f>tbl_raw[[#This Row],[gross_revenue]]-tbl_raw[[#This Row],[return_loss]]-tbl_raw[[#This Row],[cogs]]*(1+scn_A_cogs_up)-(tbl_raw[[#This Row],[storage_cost]]+tbl_raw[[#This Row],[fulfillment_cost]]+tbl_raw[[#This Row],[freight_cost]])</f>
        <v>1940.713</v>
      </c>
      <c r="G386" s="42">
        <f>tbl_scenarios[[#This Row],[net_profit_A]]/tbl_raw[[#This Row],[gross_revenue]]</f>
        <v>0.46767549461406849</v>
      </c>
      <c r="H386" s="43">
        <f>tbl_scenarios[[#This Row],[net_margin_A]]-tbl_scenarios[[#This Row],[net_margin_pct]]</f>
        <v>-4.5000120490637896E-2</v>
      </c>
      <c r="I386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86" s="2">
        <f>tbl_raw[[#This Row],[gross_revenue]]-tbl_raw[[#This Row],[return_loss]]*(1+scn_B_returns_up/0.05)-tbl_raw[[#This Row],[cogs]]-(tbl_raw[[#This Row],[storage_cost]]+tbl_raw[[#This Row],[fulfillment_cost]]+tbl_raw[[#This Row],[freight_cost]])</f>
        <v>2126.37</v>
      </c>
      <c r="K386" s="42">
        <f>tbl_scenarios[[#This Row],[net_profit_B]]/tbl_raw[[#This Row],[gross_revenue]]</f>
        <v>0.51241535532689109</v>
      </c>
      <c r="L386" s="43">
        <f>tbl_scenarios[[#This Row],[net_margin_B]]-tbl_scenarios[[#This Row],[net_margin_pct]]</f>
        <v>-2.6025977781529708E-4</v>
      </c>
      <c r="M386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86" s="2">
        <f>tbl_raw[[#This Row],[gross_revenue]]*(1-scn_C_price_down)-tbl_raw[[#This Row],[return_loss]]-tbl_raw[[#This Row],[cogs]]-(tbl_raw[[#This Row],[storage_cost]]+tbl_raw[[#This Row],[fulfillment_cost]]+tbl_raw[[#This Row],[freight_cost]])</f>
        <v>1919.9649999999999</v>
      </c>
      <c r="O386" s="42">
        <f>tbl_scenarios[[#This Row],[net_profit_C]]/(tbl_raw[[#This Row],[gross_revenue]]*(1-scn_C_price_down))</f>
        <v>0.48702696326811196</v>
      </c>
      <c r="P386" s="43">
        <f>tbl_scenarios[[#This Row],[net_margin_C]]-tbl_scenarios[[#This Row],[net_margin_pct]]</f>
        <v>-2.5648651836594427E-2</v>
      </c>
      <c r="Q386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8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87" spans="1:18" x14ac:dyDescent="0.35">
      <c r="A387" s="17" t="str">
        <f>tbl_raw[[#This Row],[product_id]]</f>
        <v>6d426dd1336e5a7d34470ae65bc68abf</v>
      </c>
      <c r="B387" t="str">
        <f>tbl_raw[[#This Row],[category]]</f>
        <v>fixed_telephony</v>
      </c>
      <c r="C387" s="2">
        <f>tbl_profitability[[#This Row],[net_profit]]</f>
        <v>1645.19</v>
      </c>
      <c r="D387" s="42">
        <f>tbl_profitability[[#This Row],[net_margin_pct]]</f>
        <v>0.3973888888888889</v>
      </c>
      <c r="E387" s="49" t="str">
        <f>tbl_profitability[[#This Row],[decision]]</f>
        <v>SCALE</v>
      </c>
      <c r="F387" s="2">
        <f>tbl_raw[[#This Row],[gross_revenue]]-tbl_raw[[#This Row],[return_loss]]-tbl_raw[[#This Row],[cogs]]*(1+scn_A_cogs_up)-(tbl_raw[[#This Row],[storage_cost]]+tbl_raw[[#This Row],[fulfillment_cost]]+tbl_raw[[#This Row],[freight_cost]])</f>
        <v>1409.21</v>
      </c>
      <c r="G387" s="42">
        <f>tbl_scenarios[[#This Row],[net_profit_A]]/tbl_raw[[#This Row],[gross_revenue]]</f>
        <v>0.34038888888888891</v>
      </c>
      <c r="H387" s="43">
        <f>tbl_scenarios[[#This Row],[net_margin_A]]-tbl_scenarios[[#This Row],[net_margin_pct]]</f>
        <v>-5.6999999999999995E-2</v>
      </c>
      <c r="I38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87" s="2">
        <f>tbl_raw[[#This Row],[gross_revenue]]-tbl_raw[[#This Row],[return_loss]]*(1+scn_B_returns_up/0.05)-tbl_raw[[#This Row],[cogs]]-(tbl_raw[[#This Row],[storage_cost]]+tbl_raw[[#This Row],[fulfillment_cost]]+tbl_raw[[#This Row],[freight_cost]])</f>
        <v>1642.4900000000002</v>
      </c>
      <c r="K387" s="42">
        <f>tbl_scenarios[[#This Row],[net_profit_B]]/tbl_raw[[#This Row],[gross_revenue]]</f>
        <v>0.39673671497584545</v>
      </c>
      <c r="L387" s="43">
        <f>tbl_scenarios[[#This Row],[net_margin_B]]-tbl_scenarios[[#This Row],[net_margin_pct]]</f>
        <v>-6.5217391304345229E-4</v>
      </c>
      <c r="M38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87" s="2">
        <f>tbl_raw[[#This Row],[gross_revenue]]*(1-scn_C_price_down)-tbl_raw[[#This Row],[return_loss]]-tbl_raw[[#This Row],[cogs]]-(tbl_raw[[#This Row],[storage_cost]]+tbl_raw[[#This Row],[fulfillment_cost]]+tbl_raw[[#This Row],[freight_cost]])</f>
        <v>1438.19</v>
      </c>
      <c r="O387" s="42">
        <f>tbl_scenarios[[#This Row],[net_profit_C]]/(tbl_raw[[#This Row],[gross_revenue]]*(1-scn_C_price_down))</f>
        <v>0.36567251461988304</v>
      </c>
      <c r="P387" s="43">
        <f>tbl_scenarios[[#This Row],[net_margin_C]]-tbl_scenarios[[#This Row],[net_margin_pct]]</f>
        <v>-3.1716374269005865E-2</v>
      </c>
      <c r="Q38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8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88" spans="1:18" x14ac:dyDescent="0.35">
      <c r="A388" s="17" t="str">
        <f>tbl_raw[[#This Row],[product_id]]</f>
        <v>bb3542bf40cc975720ee44d03fcf0cd8</v>
      </c>
      <c r="B388" t="str">
        <f>tbl_raw[[#This Row],[category]]</f>
        <v>home_appliances_2</v>
      </c>
      <c r="C388" s="2">
        <f>tbl_profitability[[#This Row],[net_profit]]</f>
        <v>1673.3399999999995</v>
      </c>
      <c r="D388" s="42">
        <f>tbl_profitability[[#This Row],[net_margin_pct]]</f>
        <v>0.4041884057971013</v>
      </c>
      <c r="E388" s="49" t="str">
        <f>tbl_profitability[[#This Row],[decision]]</f>
        <v>SCALE</v>
      </c>
      <c r="F388" s="2">
        <f>tbl_raw[[#This Row],[gross_revenue]]-tbl_raw[[#This Row],[return_loss]]-tbl_raw[[#This Row],[cogs]]*(1+scn_A_cogs_up)-(tbl_raw[[#This Row],[storage_cost]]+tbl_raw[[#This Row],[fulfillment_cost]]+tbl_raw[[#This Row],[freight_cost]])</f>
        <v>1437.3599999999994</v>
      </c>
      <c r="G388" s="42">
        <f>tbl_scenarios[[#This Row],[net_profit_A]]/tbl_raw[[#This Row],[gross_revenue]]</f>
        <v>0.34718840579710131</v>
      </c>
      <c r="H388" s="43">
        <f>tbl_scenarios[[#This Row],[net_margin_A]]-tbl_scenarios[[#This Row],[net_margin_pct]]</f>
        <v>-5.6999999999999995E-2</v>
      </c>
      <c r="I38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88" s="2">
        <f>tbl_raw[[#This Row],[gross_revenue]]-tbl_raw[[#This Row],[return_loss]]*(1+scn_B_returns_up/0.05)-tbl_raw[[#This Row],[cogs]]-(tbl_raw[[#This Row],[storage_cost]]+tbl_raw[[#This Row],[fulfillment_cost]]+tbl_raw[[#This Row],[freight_cost]])</f>
        <v>1672.6200000000001</v>
      </c>
      <c r="K388" s="42">
        <f>tbl_scenarios[[#This Row],[net_profit_B]]/tbl_raw[[#This Row],[gross_revenue]]</f>
        <v>0.40401449275362322</v>
      </c>
      <c r="L388" s="43">
        <f>tbl_scenarios[[#This Row],[net_margin_B]]-tbl_scenarios[[#This Row],[net_margin_pct]]</f>
        <v>-1.7391304347808001E-4</v>
      </c>
      <c r="M38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88" s="2">
        <f>tbl_raw[[#This Row],[gross_revenue]]*(1-scn_C_price_down)-tbl_raw[[#This Row],[return_loss]]-tbl_raw[[#This Row],[cogs]]-(tbl_raw[[#This Row],[storage_cost]]+tbl_raw[[#This Row],[fulfillment_cost]]+tbl_raw[[#This Row],[freight_cost]])</f>
        <v>1466.34</v>
      </c>
      <c r="O388" s="42">
        <f>tbl_scenarios[[#This Row],[net_profit_C]]/(tbl_raw[[#This Row],[gross_revenue]]*(1-scn_C_price_down))</f>
        <v>0.37282990083905415</v>
      </c>
      <c r="P388" s="43">
        <f>tbl_scenarios[[#This Row],[net_margin_C]]-tbl_scenarios[[#This Row],[net_margin_pct]]</f>
        <v>-3.1358504958047151E-2</v>
      </c>
      <c r="Q38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8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89" spans="1:18" x14ac:dyDescent="0.35">
      <c r="A389" s="17" t="str">
        <f>tbl_raw[[#This Row],[product_id]]</f>
        <v>4cce3fa9fee9eb2361e0b9bd32516958</v>
      </c>
      <c r="B389" t="str">
        <f>tbl_raw[[#This Row],[category]]</f>
        <v>construction_tools_construction</v>
      </c>
      <c r="C389" s="2">
        <f>tbl_profitability[[#This Row],[net_profit]]</f>
        <v>2117.9900000000007</v>
      </c>
      <c r="D389" s="42">
        <f>tbl_profitability[[#This Row],[net_margin_pct]]</f>
        <v>0.51432491500728528</v>
      </c>
      <c r="E389" s="49" t="str">
        <f>tbl_profitability[[#This Row],[decision]]</f>
        <v>OPTIMIZE</v>
      </c>
      <c r="F389" s="2">
        <f>tbl_raw[[#This Row],[gross_revenue]]-tbl_raw[[#This Row],[return_loss]]-tbl_raw[[#This Row],[cogs]]*(1+scn_A_cogs_up)-(tbl_raw[[#This Row],[storage_cost]]+tbl_raw[[#This Row],[fulfillment_cost]]+tbl_raw[[#This Row],[freight_cost]])</f>
        <v>1932.6800000000005</v>
      </c>
      <c r="G389" s="42">
        <f>tbl_scenarios[[#This Row],[net_profit_A]]/tbl_raw[[#This Row],[gross_revenue]]</f>
        <v>0.46932491500728524</v>
      </c>
      <c r="H389" s="43">
        <f>tbl_scenarios[[#This Row],[net_margin_A]]-tbl_scenarios[[#This Row],[net_margin_pct]]</f>
        <v>-4.500000000000004E-2</v>
      </c>
      <c r="I389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89" s="2">
        <f>tbl_raw[[#This Row],[gross_revenue]]-tbl_raw[[#This Row],[return_loss]]*(1+scn_B_returns_up/0.05)-tbl_raw[[#This Row],[cogs]]-(tbl_raw[[#This Row],[storage_cost]]+tbl_raw[[#This Row],[fulfillment_cost]]+tbl_raw[[#This Row],[freight_cost]])</f>
        <v>2116.5500000000002</v>
      </c>
      <c r="K389" s="42">
        <f>tbl_scenarios[[#This Row],[net_profit_B]]/tbl_raw[[#This Row],[gross_revenue]]</f>
        <v>0.5139752306945119</v>
      </c>
      <c r="L389" s="43">
        <f>tbl_scenarios[[#This Row],[net_margin_B]]-tbl_scenarios[[#This Row],[net_margin_pct]]</f>
        <v>-3.4968431277337952E-4</v>
      </c>
      <c r="M389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89" s="2">
        <f>tbl_raw[[#This Row],[gross_revenue]]*(1-scn_C_price_down)-tbl_raw[[#This Row],[return_loss]]-tbl_raw[[#This Row],[cogs]]-(tbl_raw[[#This Row],[storage_cost]]+tbl_raw[[#This Row],[fulfillment_cost]]+tbl_raw[[#This Row],[freight_cost]])</f>
        <v>1912.09</v>
      </c>
      <c r="O389" s="42">
        <f>tbl_scenarios[[#This Row],[net_profit_C]]/(tbl_raw[[#This Row],[gross_revenue]]*(1-scn_C_price_down))</f>
        <v>0.48876306842872114</v>
      </c>
      <c r="P389" s="43">
        <f>tbl_scenarios[[#This Row],[net_margin_C]]-tbl_scenarios[[#This Row],[net_margin_pct]]</f>
        <v>-2.556184657856414E-2</v>
      </c>
      <c r="Q389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8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90" spans="1:18" x14ac:dyDescent="0.35">
      <c r="A390" s="17" t="str">
        <f>tbl_raw[[#This Row],[product_id]]</f>
        <v>b8b426747049f2d3d6e00b486d47dedb</v>
      </c>
      <c r="B390" t="str">
        <f>tbl_raw[[#This Row],[category]]</f>
        <v>health_beauty</v>
      </c>
      <c r="C390" s="2">
        <f>tbl_profitability[[#This Row],[net_profit]]</f>
        <v>1373.0899999999997</v>
      </c>
      <c r="D390" s="42">
        <f>tbl_profitability[[#This Row],[net_margin_pct]]</f>
        <v>0.33395433905453092</v>
      </c>
      <c r="E390" s="49" t="str">
        <f>tbl_profitability[[#This Row],[decision]]</f>
        <v>SCALE</v>
      </c>
      <c r="F390" s="2">
        <f>tbl_raw[[#This Row],[gross_revenue]]-tbl_raw[[#This Row],[return_loss]]-tbl_raw[[#This Row],[cogs]]*(1+scn_A_cogs_up)-(tbl_raw[[#This Row],[storage_cost]]+tbl_raw[[#This Row],[fulfillment_cost]]+tbl_raw[[#This Row],[freight_cost]])</f>
        <v>1200.4019999999996</v>
      </c>
      <c r="G390" s="42">
        <f>tbl_scenarios[[#This Row],[net_profit_A]]/tbl_raw[[#This Row],[gross_revenue]]</f>
        <v>0.29195424663331387</v>
      </c>
      <c r="H390" s="43">
        <f>tbl_scenarios[[#This Row],[net_margin_A]]-tbl_scenarios[[#This Row],[net_margin_pct]]</f>
        <v>-4.200009242121705E-2</v>
      </c>
      <c r="I390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90" s="2">
        <f>tbl_raw[[#This Row],[gross_revenue]]-tbl_raw[[#This Row],[return_loss]]*(1+scn_B_returns_up/0.05)-tbl_raw[[#This Row],[cogs]]-(tbl_raw[[#This Row],[storage_cost]]+tbl_raw[[#This Row],[fulfillment_cost]]+tbl_raw[[#This Row],[freight_cost]])</f>
        <v>1357.9699999999998</v>
      </c>
      <c r="K390" s="42">
        <f>tbl_scenarios[[#This Row],[net_profit_B]]/tbl_raw[[#This Row],[gross_revenue]]</f>
        <v>0.33027694747313097</v>
      </c>
      <c r="L390" s="43">
        <f>tbl_scenarios[[#This Row],[net_margin_B]]-tbl_scenarios[[#This Row],[net_margin_pct]]</f>
        <v>-3.677391581399958E-3</v>
      </c>
      <c r="M390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90" s="2">
        <f>tbl_raw[[#This Row],[gross_revenue]]*(1-scn_C_price_down)-tbl_raw[[#This Row],[return_loss]]-tbl_raw[[#This Row],[cogs]]-(tbl_raw[[#This Row],[storage_cost]]+tbl_raw[[#This Row],[fulfillment_cost]]+tbl_raw[[#This Row],[freight_cost]])</f>
        <v>1167.5094999999997</v>
      </c>
      <c r="O390" s="42">
        <f>tbl_scenarios[[#This Row],[net_profit_C]]/(tbl_raw[[#This Row],[gross_revenue]]*(1-scn_C_price_down))</f>
        <v>0.29889930426792727</v>
      </c>
      <c r="P390" s="43">
        <f>tbl_scenarios[[#This Row],[net_margin_C]]-tbl_scenarios[[#This Row],[net_margin_pct]]</f>
        <v>-3.5055034786603656E-2</v>
      </c>
      <c r="Q390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9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91" spans="1:18" x14ac:dyDescent="0.35">
      <c r="A391" s="17" t="str">
        <f>tbl_raw[[#This Row],[product_id]]</f>
        <v>c6336fa91fbd87c359e44f5dca5a90ed</v>
      </c>
      <c r="B391" t="str">
        <f>tbl_raw[[#This Row],[category]]</f>
        <v>sports_leisure</v>
      </c>
      <c r="C391" s="2">
        <f>tbl_profitability[[#This Row],[net_profit]]</f>
        <v>431.7199999999998</v>
      </c>
      <c r="D391" s="42">
        <f>tbl_profitability[[#This Row],[net_margin_pct]]</f>
        <v>0.10501070247129787</v>
      </c>
      <c r="E391" s="49" t="str">
        <f>tbl_profitability[[#This Row],[decision]]</f>
        <v>OPTIMIZE</v>
      </c>
      <c r="F391" s="2">
        <f>tbl_raw[[#This Row],[gross_revenue]]-tbl_raw[[#This Row],[return_loss]]-tbl_raw[[#This Row],[cogs]]*(1+scn_A_cogs_up)-(tbl_raw[[#This Row],[storage_cost]]+tbl_raw[[#This Row],[fulfillment_cost]]+tbl_raw[[#This Row],[freight_cost]])</f>
        <v>259.04999999999973</v>
      </c>
      <c r="G391" s="42">
        <f>tbl_scenarios[[#This Row],[net_profit_A]]/tbl_raw[[#This Row],[gross_revenue]]</f>
        <v>6.3010799766491474E-2</v>
      </c>
      <c r="H391" s="43">
        <f>tbl_scenarios[[#This Row],[net_margin_A]]-tbl_scenarios[[#This Row],[net_margin_pct]]</f>
        <v>-4.1999902704806399E-2</v>
      </c>
      <c r="I391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91" s="2">
        <f>tbl_raw[[#This Row],[gross_revenue]]-tbl_raw[[#This Row],[return_loss]]*(1+scn_B_returns_up/0.05)-tbl_raw[[#This Row],[cogs]]-(tbl_raw[[#This Row],[storage_cost]]+tbl_raw[[#This Row],[fulfillment_cost]]+tbl_raw[[#This Row],[freight_cost]])</f>
        <v>397.87999999999965</v>
      </c>
      <c r="K391" s="42">
        <f>tbl_scenarios[[#This Row],[net_profit_B]]/tbl_raw[[#This Row],[gross_revenue]]</f>
        <v>9.6779529091262806E-2</v>
      </c>
      <c r="L391" s="43">
        <f>tbl_scenarios[[#This Row],[net_margin_B]]-tbl_scenarios[[#This Row],[net_margin_pct]]</f>
        <v>-8.2311733800350673E-3</v>
      </c>
      <c r="M391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91" s="2">
        <f>tbl_raw[[#This Row],[gross_revenue]]*(1-scn_C_price_down)-tbl_raw[[#This Row],[return_loss]]-tbl_raw[[#This Row],[cogs]]-(tbl_raw[[#This Row],[storage_cost]]+tbl_raw[[#This Row],[fulfillment_cost]]+tbl_raw[[#This Row],[freight_cost]])</f>
        <v>226.1599999999994</v>
      </c>
      <c r="O391" s="42">
        <f>tbl_scenarios[[#This Row],[net_profit_C]]/(tbl_raw[[#This Row],[gross_revenue]]*(1-scn_C_price_down))</f>
        <v>5.7906002601366087E-2</v>
      </c>
      <c r="P391" s="43">
        <f>tbl_scenarios[[#This Row],[net_margin_C]]-tbl_scenarios[[#This Row],[net_margin_pct]]</f>
        <v>-4.7104699869931786E-2</v>
      </c>
      <c r="Q391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9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Decision changes</v>
      </c>
    </row>
    <row r="392" spans="1:18" x14ac:dyDescent="0.35">
      <c r="A392" s="17" t="str">
        <f>tbl_raw[[#This Row],[product_id]]</f>
        <v>6cdf8fc1d741c76586d8b6b15e9eef30</v>
      </c>
      <c r="B392" t="str">
        <f>tbl_raw[[#This Row],[category]]</f>
        <v>consoles_games</v>
      </c>
      <c r="C392" s="2">
        <f>tbl_profitability[[#This Row],[net_profit]]</f>
        <v>1682.3700000000003</v>
      </c>
      <c r="D392" s="42">
        <f>tbl_profitability[[#This Row],[net_margin_pct]]</f>
        <v>0.41033514715889563</v>
      </c>
      <c r="E392" s="49" t="str">
        <f>tbl_profitability[[#This Row],[decision]]</f>
        <v>SCALE</v>
      </c>
      <c r="F392" s="2">
        <f>tbl_raw[[#This Row],[gross_revenue]]-tbl_raw[[#This Row],[return_loss]]-tbl_raw[[#This Row],[cogs]]*(1+scn_A_cogs_up)-(tbl_raw[[#This Row],[storage_cost]]+tbl_raw[[#This Row],[fulfillment_cost]]+tbl_raw[[#This Row],[freight_cost]])</f>
        <v>1448.6710000000003</v>
      </c>
      <c r="G392" s="42">
        <f>tbl_scenarios[[#This Row],[net_profit_A]]/tbl_raw[[#This Row],[gross_revenue]]</f>
        <v>0.35333525203720018</v>
      </c>
      <c r="H392" s="43">
        <f>tbl_scenarios[[#This Row],[net_margin_A]]-tbl_scenarios[[#This Row],[net_margin_pct]]</f>
        <v>-5.6999895121695454E-2</v>
      </c>
      <c r="I392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92" s="2">
        <f>tbl_raw[[#This Row],[gross_revenue]]-tbl_raw[[#This Row],[return_loss]]*(1+scn_B_returns_up/0.05)-tbl_raw[[#This Row],[cogs]]-(tbl_raw[[#This Row],[storage_cost]]+tbl_raw[[#This Row],[fulfillment_cost]]+tbl_raw[[#This Row],[freight_cost]])</f>
        <v>1682.0099999999998</v>
      </c>
      <c r="K392" s="42">
        <f>tbl_scenarios[[#This Row],[net_profit_B]]/tbl_raw[[#This Row],[gross_revenue]]</f>
        <v>0.41024734206668795</v>
      </c>
      <c r="L392" s="43">
        <f>tbl_scenarios[[#This Row],[net_margin_B]]-tbl_scenarios[[#This Row],[net_margin_pct]]</f>
        <v>-8.7805092207682289E-5</v>
      </c>
      <c r="M392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92" s="2">
        <f>tbl_raw[[#This Row],[gross_revenue]]*(1-scn_C_price_down)-tbl_raw[[#This Row],[return_loss]]-tbl_raw[[#This Row],[cogs]]-(tbl_raw[[#This Row],[storage_cost]]+tbl_raw[[#This Row],[fulfillment_cost]]+tbl_raw[[#This Row],[freight_cost]])</f>
        <v>1477.3704999999995</v>
      </c>
      <c r="O392" s="42">
        <f>tbl_scenarios[[#This Row],[net_profit_C]]/(tbl_raw[[#This Row],[gross_revenue]]*(1-scn_C_price_down))</f>
        <v>0.37930015490410046</v>
      </c>
      <c r="P392" s="43">
        <f>tbl_scenarios[[#This Row],[net_margin_C]]-tbl_scenarios[[#This Row],[net_margin_pct]]</f>
        <v>-3.1034992254795168E-2</v>
      </c>
      <c r="Q392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92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93" spans="1:18" x14ac:dyDescent="0.35">
      <c r="A393" s="17" t="str">
        <f>tbl_raw[[#This Row],[product_id]]</f>
        <v>e0cf79767c5b016251fe139915c59a26</v>
      </c>
      <c r="B393" t="str">
        <f>tbl_raw[[#This Row],[category]]</f>
        <v>health_beauty</v>
      </c>
      <c r="C393" s="2">
        <f>tbl_profitability[[#This Row],[net_profit]]</f>
        <v>276.85999999999967</v>
      </c>
      <c r="D393" s="42">
        <f>tbl_profitability[[#This Row],[net_margin_pct]]</f>
        <v>6.7587823157483504E-2</v>
      </c>
      <c r="E393" s="49" t="str">
        <f>tbl_profitability[[#This Row],[decision]]</f>
        <v>EXIT</v>
      </c>
      <c r="F393" s="2">
        <f>tbl_raw[[#This Row],[gross_revenue]]-tbl_raw[[#This Row],[return_loss]]-tbl_raw[[#This Row],[cogs]]*(1+scn_A_cogs_up)-(tbl_raw[[#This Row],[storage_cost]]+tbl_raw[[#This Row],[fulfillment_cost]]+tbl_raw[[#This Row],[freight_cost]])</f>
        <v>104.8149999999996</v>
      </c>
      <c r="G393" s="42">
        <f>tbl_scenarios[[#This Row],[net_profit_A]]/tbl_raw[[#This Row],[gross_revenue]]</f>
        <v>2.5587725508385516E-2</v>
      </c>
      <c r="H393" s="43">
        <f>tbl_scenarios[[#This Row],[net_margin_A]]-tbl_scenarios[[#This Row],[net_margin_pct]]</f>
        <v>-4.2000097649097984E-2</v>
      </c>
      <c r="I393" s="49" t="str">
        <f>IF(OR(tbl_scenarios[[#This Row],[net_margin_A]]&lt;0.1,tbl_raw[[#This Row],[avg_review_score]]&lt;3),"EXIT",IF(AND(tbl_scenarios[[#This Row],[net_margin_A]]&gt;=0.25,tbl_raw[[#This Row],[avg_review_score]]&gt;=4),"SCALE","OPTIMIZE"))</f>
        <v>EXIT</v>
      </c>
      <c r="J393" s="2">
        <f>tbl_raw[[#This Row],[gross_revenue]]-tbl_raw[[#This Row],[return_loss]]*(1+scn_B_returns_up/0.05)-tbl_raw[[#This Row],[cogs]]-(tbl_raw[[#This Row],[storage_cost]]+tbl_raw[[#This Row],[fulfillment_cost]]+tbl_raw[[#This Row],[freight_cost]])</f>
        <v>227.53999999999996</v>
      </c>
      <c r="K393" s="42">
        <f>tbl_scenarios[[#This Row],[net_profit_B]]/tbl_raw[[#This Row],[gross_revenue]]</f>
        <v>5.5547689378219356E-2</v>
      </c>
      <c r="L393" s="43">
        <f>tbl_scenarios[[#This Row],[net_margin_B]]-tbl_scenarios[[#This Row],[net_margin_pct]]</f>
        <v>-1.2040133779264148E-2</v>
      </c>
      <c r="M393" s="49" t="str">
        <f>IF(OR(tbl_scenarios[[#This Row],[net_margin_B]]&lt;0.1,tbl_raw[[#This Row],[avg_review_score]]&lt;3),"EXIT",IF(AND(tbl_scenarios[[#This Row],[net_margin_B]]&gt;=0.25,tbl_raw[[#This Row],[avg_review_score]]&gt;=4),"SCALE","OPTIMIZE"))</f>
        <v>EXIT</v>
      </c>
      <c r="N393" s="2">
        <f>tbl_raw[[#This Row],[gross_revenue]]*(1-scn_C_price_down)-tbl_raw[[#This Row],[return_loss]]-tbl_raw[[#This Row],[cogs]]-(tbl_raw[[#This Row],[storage_cost]]+tbl_raw[[#This Row],[fulfillment_cost]]+tbl_raw[[#This Row],[freight_cost]])</f>
        <v>72.045000000000073</v>
      </c>
      <c r="O393" s="42">
        <f>tbl_scenarios[[#This Row],[net_profit_C]]/(tbl_raw[[#This Row],[gross_revenue]]*(1-scn_C_price_down))</f>
        <v>1.8513498060509052E-2</v>
      </c>
      <c r="P393" s="43">
        <f>tbl_scenarios[[#This Row],[net_margin_C]]-tbl_scenarios[[#This Row],[net_margin_pct]]</f>
        <v>-4.9074325096974451E-2</v>
      </c>
      <c r="Q393" s="49" t="str">
        <f>IF(OR(tbl_scenarios[[#This Row],[net_margin_C]]&lt;0.1,tbl_raw[[#This Row],[avg_review_score]]&lt;3),"EXIT",IF(AND(tbl_scenarios[[#This Row],[net_margin_C]]&gt;=0.25,tbl_raw[[#This Row],[avg_review_score]]&gt;=4),"SCALE","OPTIMIZE"))</f>
        <v>EXIT</v>
      </c>
      <c r="R393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94" spans="1:18" x14ac:dyDescent="0.35">
      <c r="A394" s="17" t="str">
        <f>tbl_raw[[#This Row],[product_id]]</f>
        <v>71f2ce4ae5dfdd3b55a51c7a2d3c4da8</v>
      </c>
      <c r="B394" t="str">
        <f>tbl_raw[[#This Row],[category]]</f>
        <v>construction_tools_construction</v>
      </c>
      <c r="C394" s="2">
        <f>tbl_profitability[[#This Row],[net_profit]]</f>
        <v>1915.3699999999997</v>
      </c>
      <c r="D394" s="42">
        <f>tbl_profitability[[#This Row],[net_margin_pct]]</f>
        <v>0.47177414388918026</v>
      </c>
      <c r="E394" s="49" t="str">
        <f>tbl_profitability[[#This Row],[decision]]</f>
        <v>SCALE</v>
      </c>
      <c r="F394" s="2">
        <f>tbl_raw[[#This Row],[gross_revenue]]-tbl_raw[[#This Row],[return_loss]]-tbl_raw[[#This Row],[cogs]]*(1+scn_A_cogs_up)-(tbl_raw[[#This Row],[storage_cost]]+tbl_raw[[#This Row],[fulfillment_cost]]+tbl_raw[[#This Row],[freight_cost]])</f>
        <v>1732.6729999999998</v>
      </c>
      <c r="G394" s="42">
        <f>tbl_scenarios[[#This Row],[net_profit_A]]/tbl_raw[[#This Row],[gross_revenue]]</f>
        <v>0.42677410694273049</v>
      </c>
      <c r="H394" s="43">
        <f>tbl_scenarios[[#This Row],[net_margin_A]]-tbl_scenarios[[#This Row],[net_margin_pct]]</f>
        <v>-4.5000036946449773E-2</v>
      </c>
      <c r="I394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94" s="2">
        <f>tbl_raw[[#This Row],[gross_revenue]]-tbl_raw[[#This Row],[return_loss]]*(1+scn_B_returns_up/0.05)-tbl_raw[[#This Row],[cogs]]-(tbl_raw[[#This Row],[storage_cost]]+tbl_raw[[#This Row],[fulfillment_cost]]+tbl_raw[[#This Row],[freight_cost]])</f>
        <v>1912.8500000000001</v>
      </c>
      <c r="K394" s="42">
        <f>tbl_scenarios[[#This Row],[net_profit_B]]/tbl_raw[[#This Row],[gross_revenue]]</f>
        <v>0.47115344353227773</v>
      </c>
      <c r="L394" s="43">
        <f>tbl_scenarios[[#This Row],[net_margin_B]]-tbl_scenarios[[#This Row],[net_margin_pct]]</f>
        <v>-6.2070035690253711E-4</v>
      </c>
      <c r="M394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94" s="2">
        <f>tbl_raw[[#This Row],[gross_revenue]]*(1-scn_C_price_down)-tbl_raw[[#This Row],[return_loss]]-tbl_raw[[#This Row],[cogs]]-(tbl_raw[[#This Row],[storage_cost]]+tbl_raw[[#This Row],[fulfillment_cost]]+tbl_raw[[#This Row],[freight_cost]])</f>
        <v>1712.3734999999997</v>
      </c>
      <c r="O394" s="42">
        <f>tbl_scenarios[[#This Row],[net_profit_C]]/(tbl_raw[[#This Row],[gross_revenue]]*(1-scn_C_price_down))</f>
        <v>0.44397278304124244</v>
      </c>
      <c r="P394" s="43">
        <f>tbl_scenarios[[#This Row],[net_margin_C]]-tbl_scenarios[[#This Row],[net_margin_pct]]</f>
        <v>-2.7801360847937828E-2</v>
      </c>
      <c r="Q394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94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95" spans="1:18" x14ac:dyDescent="0.35">
      <c r="A395" s="17" t="str">
        <f>tbl_raw[[#This Row],[product_id]]</f>
        <v>df480c7d3f979093ac4c2d1109e78289</v>
      </c>
      <c r="B395" t="str">
        <f>tbl_raw[[#This Row],[category]]</f>
        <v>watches_gifts</v>
      </c>
      <c r="C395" s="2">
        <f>tbl_profitability[[#This Row],[net_profit]]</f>
        <v>2191.37</v>
      </c>
      <c r="D395" s="42">
        <f>tbl_profitability[[#This Row],[net_margin_pct]]</f>
        <v>0.54029858106192286</v>
      </c>
      <c r="E395" s="49" t="str">
        <f>tbl_profitability[[#This Row],[decision]]</f>
        <v>SCALE</v>
      </c>
      <c r="F395" s="2">
        <f>tbl_raw[[#This Row],[gross_revenue]]-tbl_raw[[#This Row],[return_loss]]-tbl_raw[[#This Row],[cogs]]*(1+scn_A_cogs_up)-(tbl_raw[[#This Row],[storage_cost]]+tbl_raw[[#This Row],[fulfillment_cost]]+tbl_raw[[#This Row],[freight_cost]])</f>
        <v>2021.0239999999999</v>
      </c>
      <c r="G395" s="42">
        <f>tbl_scenarios[[#This Row],[net_profit_A]]/tbl_raw[[#This Row],[gross_revenue]]</f>
        <v>0.49829850709469037</v>
      </c>
      <c r="H395" s="43">
        <f>tbl_scenarios[[#This Row],[net_margin_A]]-tbl_scenarios[[#This Row],[net_margin_pct]]</f>
        <v>-4.2000073967232487E-2</v>
      </c>
      <c r="I395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95" s="2">
        <f>tbl_raw[[#This Row],[gross_revenue]]-tbl_raw[[#This Row],[return_loss]]*(1+scn_B_returns_up/0.05)-tbl_raw[[#This Row],[cogs]]-(tbl_raw[[#This Row],[storage_cost]]+tbl_raw[[#This Row],[fulfillment_cost]]+tbl_raw[[#This Row],[freight_cost]])</f>
        <v>2189.2099999999996</v>
      </c>
      <c r="K395" s="42">
        <f>tbl_scenarios[[#This Row],[net_profit_B]]/tbl_raw[[#This Row],[gross_revenue]]</f>
        <v>0.53976601698780768</v>
      </c>
      <c r="L395" s="43">
        <f>tbl_scenarios[[#This Row],[net_margin_B]]-tbl_scenarios[[#This Row],[net_margin_pct]]</f>
        <v>-5.3256407411517159E-4</v>
      </c>
      <c r="M395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95" s="2">
        <f>tbl_raw[[#This Row],[gross_revenue]]*(1-scn_C_price_down)-tbl_raw[[#This Row],[return_loss]]-tbl_raw[[#This Row],[cogs]]-(tbl_raw[[#This Row],[storage_cost]]+tbl_raw[[#This Row],[fulfillment_cost]]+tbl_raw[[#This Row],[freight_cost]])</f>
        <v>1988.5774999999999</v>
      </c>
      <c r="O395" s="42">
        <f>tbl_scenarios[[#This Row],[net_profit_C]]/(tbl_raw[[#This Row],[gross_revenue]]*(1-scn_C_price_down))</f>
        <v>0.51610376953886616</v>
      </c>
      <c r="P395" s="43">
        <f>tbl_scenarios[[#This Row],[net_margin_C]]-tbl_scenarios[[#This Row],[net_margin_pct]]</f>
        <v>-2.4194811523056692E-2</v>
      </c>
      <c r="Q395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95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96" spans="1:18" x14ac:dyDescent="0.35">
      <c r="A396" s="17" t="str">
        <f>tbl_raw[[#This Row],[product_id]]</f>
        <v>813e0977846de5206007de2bb18e44ba</v>
      </c>
      <c r="B396" t="str">
        <f>tbl_raw[[#This Row],[category]]</f>
        <v>toys</v>
      </c>
      <c r="C396" s="2">
        <f>tbl_profitability[[#This Row],[net_profit]]</f>
        <v>1933.44</v>
      </c>
      <c r="D396" s="42">
        <f>tbl_profitability[[#This Row],[net_margin_pct]]</f>
        <v>0.47739259259259259</v>
      </c>
      <c r="E396" s="49" t="str">
        <f>tbl_profitability[[#This Row],[decision]]</f>
        <v>OPTIMIZE</v>
      </c>
      <c r="F396" s="2">
        <f>tbl_raw[[#This Row],[gross_revenue]]-tbl_raw[[#This Row],[return_loss]]-tbl_raw[[#This Row],[cogs]]*(1+scn_A_cogs_up)-(tbl_raw[[#This Row],[storage_cost]]+tbl_raw[[#This Row],[fulfillment_cost]]+tbl_raw[[#This Row],[freight_cost]])</f>
        <v>1763.3399999999997</v>
      </c>
      <c r="G396" s="42">
        <f>tbl_scenarios[[#This Row],[net_profit_A]]/tbl_raw[[#This Row],[gross_revenue]]</f>
        <v>0.4353925925925925</v>
      </c>
      <c r="H396" s="43">
        <f>tbl_scenarios[[#This Row],[net_margin_A]]-tbl_scenarios[[#This Row],[net_margin_pct]]</f>
        <v>-4.2000000000000093E-2</v>
      </c>
      <c r="I396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396" s="2">
        <f>tbl_raw[[#This Row],[gross_revenue]]-tbl_raw[[#This Row],[return_loss]]*(1+scn_B_returns_up/0.05)-tbl_raw[[#This Row],[cogs]]-(tbl_raw[[#This Row],[storage_cost]]+tbl_raw[[#This Row],[fulfillment_cost]]+tbl_raw[[#This Row],[freight_cost]])</f>
        <v>1932.3600000000001</v>
      </c>
      <c r="K396" s="42">
        <f>tbl_scenarios[[#This Row],[net_profit_B]]/tbl_raw[[#This Row],[gross_revenue]]</f>
        <v>0.47712592592592595</v>
      </c>
      <c r="L396" s="43">
        <f>tbl_scenarios[[#This Row],[net_margin_B]]-tbl_scenarios[[#This Row],[net_margin_pct]]</f>
        <v>-2.666666666666373E-4</v>
      </c>
      <c r="M396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396" s="2">
        <f>tbl_raw[[#This Row],[gross_revenue]]*(1-scn_C_price_down)-tbl_raw[[#This Row],[return_loss]]-tbl_raw[[#This Row],[cogs]]-(tbl_raw[[#This Row],[storage_cost]]+tbl_raw[[#This Row],[fulfillment_cost]]+tbl_raw[[#This Row],[freight_cost]])</f>
        <v>1730.94</v>
      </c>
      <c r="O396" s="42">
        <f>tbl_scenarios[[#This Row],[net_profit_C]]/(tbl_raw[[#This Row],[gross_revenue]]*(1-scn_C_price_down))</f>
        <v>0.44988693957115011</v>
      </c>
      <c r="P396" s="43">
        <f>tbl_scenarios[[#This Row],[net_margin_C]]-tbl_scenarios[[#This Row],[net_margin_pct]]</f>
        <v>-2.7505653021442478E-2</v>
      </c>
      <c r="Q396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396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97" spans="1:18" x14ac:dyDescent="0.35">
      <c r="A397" s="17" t="str">
        <f>tbl_raw[[#This Row],[product_id]]</f>
        <v>e5841e5f87a255ec40d170b4177d03ce</v>
      </c>
      <c r="B397" t="str">
        <f>tbl_raw[[#This Row],[category]]</f>
        <v>watches_gifts</v>
      </c>
      <c r="C397" s="2">
        <f>tbl_profitability[[#This Row],[net_profit]]</f>
        <v>2216.0299999999997</v>
      </c>
      <c r="D397" s="42">
        <f>tbl_profitability[[#This Row],[net_margin_pct]]</f>
        <v>0.54793771990772211</v>
      </c>
      <c r="E397" s="49" t="str">
        <f>tbl_profitability[[#This Row],[decision]]</f>
        <v>SCALE</v>
      </c>
      <c r="F397" s="2">
        <f>tbl_raw[[#This Row],[gross_revenue]]-tbl_raw[[#This Row],[return_loss]]-tbl_raw[[#This Row],[cogs]]*(1+scn_A_cogs_up)-(tbl_raw[[#This Row],[storage_cost]]+tbl_raw[[#This Row],[fulfillment_cost]]+tbl_raw[[#This Row],[freight_cost]])</f>
        <v>2046.1690000000001</v>
      </c>
      <c r="G397" s="42">
        <f>tbl_scenarios[[#This Row],[net_profit_A]]/tbl_raw[[#This Row],[gross_revenue]]</f>
        <v>0.50593772485294153</v>
      </c>
      <c r="H397" s="43">
        <f>tbl_scenarios[[#This Row],[net_margin_A]]-tbl_scenarios[[#This Row],[net_margin_pct]]</f>
        <v>-4.1999995054780581E-2</v>
      </c>
      <c r="I397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97" s="2">
        <f>tbl_raw[[#This Row],[gross_revenue]]-tbl_raw[[#This Row],[return_loss]]*(1+scn_B_returns_up/0.05)-tbl_raw[[#This Row],[cogs]]-(tbl_raw[[#This Row],[storage_cost]]+tbl_raw[[#This Row],[fulfillment_cost]]+tbl_raw[[#This Row],[freight_cost]])</f>
        <v>2213.87</v>
      </c>
      <c r="K397" s="42">
        <f>tbl_scenarios[[#This Row],[net_profit_B]]/tbl_raw[[#This Row],[gross_revenue]]</f>
        <v>0.54740363621977539</v>
      </c>
      <c r="L397" s="43">
        <f>tbl_scenarios[[#This Row],[net_margin_B]]-tbl_scenarios[[#This Row],[net_margin_pct]]</f>
        <v>-5.3408368794671812E-4</v>
      </c>
      <c r="M397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97" s="2">
        <f>tbl_raw[[#This Row],[gross_revenue]]*(1-scn_C_price_down)-tbl_raw[[#This Row],[return_loss]]-tbl_raw[[#This Row],[cogs]]-(tbl_raw[[#This Row],[storage_cost]]+tbl_raw[[#This Row],[fulfillment_cost]]+tbl_raw[[#This Row],[freight_cost]])</f>
        <v>2013.8144999999997</v>
      </c>
      <c r="O397" s="42">
        <f>tbl_scenarios[[#This Row],[net_profit_C]]/(tbl_raw[[#This Row],[gross_revenue]]*(1-scn_C_price_down))</f>
        <v>0.5241449683239181</v>
      </c>
      <c r="P397" s="43">
        <f>tbl_scenarios[[#This Row],[net_margin_C]]-tbl_scenarios[[#This Row],[net_margin_pct]]</f>
        <v>-2.3792751583804006E-2</v>
      </c>
      <c r="Q397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97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98" spans="1:18" x14ac:dyDescent="0.35">
      <c r="A398" s="17" t="str">
        <f>tbl_raw[[#This Row],[product_id]]</f>
        <v>0296dd002a346e3bbdda4e0bc48a5073</v>
      </c>
      <c r="B398" t="str">
        <f>tbl_raw[[#This Row],[category]]</f>
        <v>furniture_bedroom</v>
      </c>
      <c r="C398" s="2">
        <f>tbl_profitability[[#This Row],[net_profit]]</f>
        <v>1717.98</v>
      </c>
      <c r="D398" s="42">
        <f>tbl_profitability[[#This Row],[net_margin_pct]]</f>
        <v>0.42524257425742573</v>
      </c>
      <c r="E398" s="49" t="str">
        <f>tbl_profitability[[#This Row],[decision]]</f>
        <v>SCALE</v>
      </c>
      <c r="F398" s="2">
        <f>tbl_raw[[#This Row],[gross_revenue]]-tbl_raw[[#This Row],[return_loss]]-tbl_raw[[#This Row],[cogs]]*(1+scn_A_cogs_up)-(tbl_raw[[#This Row],[storage_cost]]+tbl_raw[[#This Row],[fulfillment_cost]]+tbl_raw[[#This Row],[freight_cost]])</f>
        <v>1536.1799999999998</v>
      </c>
      <c r="G398" s="42">
        <f>tbl_scenarios[[#This Row],[net_profit_A]]/tbl_raw[[#This Row],[gross_revenue]]</f>
        <v>0.38024257425742569</v>
      </c>
      <c r="H398" s="43">
        <f>tbl_scenarios[[#This Row],[net_margin_A]]-tbl_scenarios[[#This Row],[net_margin_pct]]</f>
        <v>-4.500000000000004E-2</v>
      </c>
      <c r="I398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98" s="2">
        <f>tbl_raw[[#This Row],[gross_revenue]]-tbl_raw[[#This Row],[return_loss]]*(1+scn_B_returns_up/0.05)-tbl_raw[[#This Row],[cogs]]-(tbl_raw[[#This Row],[storage_cost]]+tbl_raw[[#This Row],[fulfillment_cost]]+tbl_raw[[#This Row],[freight_cost]])</f>
        <v>1715.1</v>
      </c>
      <c r="K398" s="42">
        <f>tbl_scenarios[[#This Row],[net_profit_B]]/tbl_raw[[#This Row],[gross_revenue]]</f>
        <v>0.42452970297029702</v>
      </c>
      <c r="L398" s="43">
        <f>tbl_scenarios[[#This Row],[net_margin_B]]-tbl_scenarios[[#This Row],[net_margin_pct]]</f>
        <v>-7.128712871287135E-4</v>
      </c>
      <c r="M398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98" s="2">
        <f>tbl_raw[[#This Row],[gross_revenue]]*(1-scn_C_price_down)-tbl_raw[[#This Row],[return_loss]]-tbl_raw[[#This Row],[cogs]]-(tbl_raw[[#This Row],[storage_cost]]+tbl_raw[[#This Row],[fulfillment_cost]]+tbl_raw[[#This Row],[freight_cost]])</f>
        <v>1515.98</v>
      </c>
      <c r="O398" s="42">
        <f>tbl_scenarios[[#This Row],[net_profit_C]]/(tbl_raw[[#This Row],[gross_revenue]]*(1-scn_C_price_down))</f>
        <v>0.39499218342886921</v>
      </c>
      <c r="P398" s="43">
        <f>tbl_scenarios[[#This Row],[net_margin_C]]-tbl_scenarios[[#This Row],[net_margin_pct]]</f>
        <v>-3.0250390828556517E-2</v>
      </c>
      <c r="Q398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98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399" spans="1:18" x14ac:dyDescent="0.35">
      <c r="A399" s="17" t="str">
        <f>tbl_raw[[#This Row],[product_id]]</f>
        <v>91c82ace62e0ca1b69b1a45bcc214b45</v>
      </c>
      <c r="B399" t="str">
        <f>tbl_raw[[#This Row],[category]]</f>
        <v>watches_gifts</v>
      </c>
      <c r="C399" s="2">
        <f>tbl_profitability[[#This Row],[net_profit]]</f>
        <v>1780.8200000000002</v>
      </c>
      <c r="D399" s="42">
        <f>tbl_profitability[[#This Row],[net_margin_pct]]</f>
        <v>0.44139466059243582</v>
      </c>
      <c r="E399" s="49" t="str">
        <f>tbl_profitability[[#This Row],[decision]]</f>
        <v>SCALE</v>
      </c>
      <c r="F399" s="2">
        <f>tbl_raw[[#This Row],[gross_revenue]]-tbl_raw[[#This Row],[return_loss]]-tbl_raw[[#This Row],[cogs]]*(1+scn_A_cogs_up)-(tbl_raw[[#This Row],[storage_cost]]+tbl_raw[[#This Row],[fulfillment_cost]]+tbl_raw[[#This Row],[freight_cost]])</f>
        <v>1611.37</v>
      </c>
      <c r="G399" s="42">
        <f>tbl_scenarios[[#This Row],[net_profit_A]]/tbl_raw[[#This Row],[gross_revenue]]</f>
        <v>0.39939472503612561</v>
      </c>
      <c r="H399" s="43">
        <f>tbl_scenarios[[#This Row],[net_margin_A]]-tbl_scenarios[[#This Row],[net_margin_pct]]</f>
        <v>-4.1999935556310208E-2</v>
      </c>
      <c r="I399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399" s="2">
        <f>tbl_raw[[#This Row],[gross_revenue]]-tbl_raw[[#This Row],[return_loss]]*(1+scn_B_returns_up/0.05)-tbl_raw[[#This Row],[cogs]]-(tbl_raw[[#This Row],[storage_cost]]+tbl_raw[[#This Row],[fulfillment_cost]]+tbl_raw[[#This Row],[freight_cost]])</f>
        <v>1772.9</v>
      </c>
      <c r="K399" s="42">
        <f>tbl_scenarios[[#This Row],[net_profit_B]]/tbl_raw[[#This Row],[gross_revenue]]</f>
        <v>0.43943160665554598</v>
      </c>
      <c r="L399" s="43">
        <f>tbl_scenarios[[#This Row],[net_margin_B]]-tbl_scenarios[[#This Row],[net_margin_pct]]</f>
        <v>-1.9630539368898359E-3</v>
      </c>
      <c r="M399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399" s="2">
        <f>tbl_raw[[#This Row],[gross_revenue]]*(1-scn_C_price_down)-tbl_raw[[#This Row],[return_loss]]-tbl_raw[[#This Row],[cogs]]-(tbl_raw[[#This Row],[storage_cost]]+tbl_raw[[#This Row],[fulfillment_cost]]+tbl_raw[[#This Row],[freight_cost]])</f>
        <v>1579.0934999999999</v>
      </c>
      <c r="O399" s="42">
        <f>tbl_scenarios[[#This Row],[net_profit_C]]/(tbl_raw[[#This Row],[gross_revenue]]*(1-scn_C_price_down))</f>
        <v>0.41199437957098506</v>
      </c>
      <c r="P399" s="43">
        <f>tbl_scenarios[[#This Row],[net_margin_C]]-tbl_scenarios[[#This Row],[net_margin_pct]]</f>
        <v>-2.9400281021450758E-2</v>
      </c>
      <c r="Q399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399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400" spans="1:18" x14ac:dyDescent="0.35">
      <c r="A400" s="17" t="str">
        <f>tbl_raw[[#This Row],[product_id]]</f>
        <v>33fca9d59532dd4c191217a979346ab9</v>
      </c>
      <c r="B400" t="str">
        <f>tbl_raw[[#This Row],[category]]</f>
        <v>perfumery</v>
      </c>
      <c r="C400" s="2">
        <f>tbl_profitability[[#This Row],[net_profit]]</f>
        <v>2021.3699999999994</v>
      </c>
      <c r="D400" s="42">
        <f>tbl_profitability[[#This Row],[net_margin_pct]]</f>
        <v>0.5030423389053551</v>
      </c>
      <c r="E400" s="49" t="str">
        <f>tbl_profitability[[#This Row],[decision]]</f>
        <v>OPTIMIZE</v>
      </c>
      <c r="F400" s="2">
        <f>tbl_raw[[#This Row],[gross_revenue]]-tbl_raw[[#This Row],[return_loss]]-tbl_raw[[#This Row],[cogs]]*(1+scn_A_cogs_up)-(tbl_raw[[#This Row],[storage_cost]]+tbl_raw[[#This Row],[fulfillment_cost]]+tbl_raw[[#This Row],[freight_cost]])</f>
        <v>1852.6019999999994</v>
      </c>
      <c r="G400" s="42">
        <f>tbl_scenarios[[#This Row],[net_profit_A]]/tbl_raw[[#This Row],[gross_revenue]]</f>
        <v>0.46104238370052919</v>
      </c>
      <c r="H400" s="43">
        <f>tbl_scenarios[[#This Row],[net_margin_A]]-tbl_scenarios[[#This Row],[net_margin_pct]]</f>
        <v>-4.1999955204825912E-2</v>
      </c>
      <c r="I400" s="49" t="str">
        <f>IF(OR(tbl_scenarios[[#This Row],[net_margin_A]]&lt;0.1,tbl_raw[[#This Row],[avg_review_score]]&lt;3),"EXIT",IF(AND(tbl_scenarios[[#This Row],[net_margin_A]]&gt;=0.25,tbl_raw[[#This Row],[avg_review_score]]&gt;=4),"SCALE","OPTIMIZE"))</f>
        <v>OPTIMIZE</v>
      </c>
      <c r="J400" s="2">
        <f>tbl_raw[[#This Row],[gross_revenue]]-tbl_raw[[#This Row],[return_loss]]*(1+scn_B_returns_up/0.05)-tbl_raw[[#This Row],[cogs]]-(tbl_raw[[#This Row],[storage_cost]]+tbl_raw[[#This Row],[fulfillment_cost]]+tbl_raw[[#This Row],[freight_cost]])</f>
        <v>2015.6100000000001</v>
      </c>
      <c r="K400" s="42">
        <f>tbl_scenarios[[#This Row],[net_profit_B]]/tbl_raw[[#This Row],[gross_revenue]]</f>
        <v>0.50160889333522474</v>
      </c>
      <c r="L400" s="43">
        <f>tbl_scenarios[[#This Row],[net_margin_B]]-tbl_scenarios[[#This Row],[net_margin_pct]]</f>
        <v>-1.433445570130365E-3</v>
      </c>
      <c r="M400" s="49" t="str">
        <f>IF(OR(tbl_scenarios[[#This Row],[net_margin_B]]&lt;0.1,tbl_raw[[#This Row],[avg_review_score]]&lt;3),"EXIT",IF(AND(tbl_scenarios[[#This Row],[net_margin_B]]&gt;=0.25,tbl_raw[[#This Row],[avg_review_score]]&gt;=4),"SCALE","OPTIMIZE"))</f>
        <v>OPTIMIZE</v>
      </c>
      <c r="N400" s="2">
        <f>tbl_raw[[#This Row],[gross_revenue]]*(1-scn_C_price_down)-tbl_raw[[#This Row],[return_loss]]-tbl_raw[[#This Row],[cogs]]-(tbl_raw[[#This Row],[storage_cost]]+tbl_raw[[#This Row],[fulfillment_cost]]+tbl_raw[[#This Row],[freight_cost]])</f>
        <v>1820.4554999999996</v>
      </c>
      <c r="O400" s="42">
        <f>tbl_scenarios[[#This Row],[net_profit_C]]/(tbl_raw[[#This Row],[gross_revenue]]*(1-scn_C_price_down))</f>
        <v>0.47688667253195283</v>
      </c>
      <c r="P400" s="43">
        <f>tbl_scenarios[[#This Row],[net_margin_C]]-tbl_scenarios[[#This Row],[net_margin_pct]]</f>
        <v>-2.6155666373402275E-2</v>
      </c>
      <c r="Q400" s="49" t="str">
        <f>IF(OR(tbl_scenarios[[#This Row],[net_margin_C]]&lt;0.1,tbl_raw[[#This Row],[avg_review_score]]&lt;3),"EXIT",IF(AND(tbl_scenarios[[#This Row],[net_margin_C]]&gt;=0.25,tbl_raw[[#This Row],[avg_review_score]]&gt;=4),"SCALE","OPTIMIZE"))</f>
        <v>OPTIMIZE</v>
      </c>
      <c r="R400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401" spans="1:18" x14ac:dyDescent="0.35">
      <c r="A401" s="17" t="str">
        <f>tbl_raw[[#This Row],[product_id]]</f>
        <v>ca5c923962558430573f83661dbe36d6</v>
      </c>
      <c r="B401" t="str">
        <f>tbl_raw[[#This Row],[category]]</f>
        <v>pet_shop</v>
      </c>
      <c r="C401" s="2">
        <f>tbl_profitability[[#This Row],[net_profit]]</f>
        <v>1254.7800000000002</v>
      </c>
      <c r="D401" s="42">
        <f>tbl_profitability[[#This Row],[net_margin_pct]]</f>
        <v>0.31338161838161843</v>
      </c>
      <c r="E401" s="49" t="str">
        <f>tbl_profitability[[#This Row],[decision]]</f>
        <v>SCALE</v>
      </c>
      <c r="F401" s="2">
        <f>tbl_raw[[#This Row],[gross_revenue]]-tbl_raw[[#This Row],[return_loss]]-tbl_raw[[#This Row],[cogs]]*(1+scn_A_cogs_up)-(tbl_raw[[#This Row],[storage_cost]]+tbl_raw[[#This Row],[fulfillment_cost]]+tbl_raw[[#This Row],[freight_cost]])</f>
        <v>1074.5999999999999</v>
      </c>
      <c r="G401" s="42">
        <f>tbl_scenarios[[#This Row],[net_profit_A]]/tbl_raw[[#This Row],[gross_revenue]]</f>
        <v>0.26838161838161834</v>
      </c>
      <c r="H401" s="43">
        <f>tbl_scenarios[[#This Row],[net_margin_A]]-tbl_scenarios[[#This Row],[net_margin_pct]]</f>
        <v>-4.5000000000000095E-2</v>
      </c>
      <c r="I401" s="49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401" s="2">
        <f>tbl_raw[[#This Row],[gross_revenue]]-tbl_raw[[#This Row],[return_loss]]*(1+scn_B_returns_up/0.05)-tbl_raw[[#This Row],[cogs]]-(tbl_raw[[#This Row],[storage_cost]]+tbl_raw[[#This Row],[fulfillment_cost]]+tbl_raw[[#This Row],[freight_cost]])</f>
        <v>1241.4600000000005</v>
      </c>
      <c r="K401" s="42">
        <f>tbl_scenarios[[#This Row],[net_profit_B]]/tbl_raw[[#This Row],[gross_revenue]]</f>
        <v>0.31005494505494519</v>
      </c>
      <c r="L401" s="43">
        <f>tbl_scenarios[[#This Row],[net_margin_B]]-tbl_scenarios[[#This Row],[net_margin_pct]]</f>
        <v>-3.3266733266732462E-3</v>
      </c>
      <c r="M401" s="49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401" s="2">
        <f>tbl_raw[[#This Row],[gross_revenue]]*(1-scn_C_price_down)-tbl_raw[[#This Row],[return_loss]]-tbl_raw[[#This Row],[cogs]]-(tbl_raw[[#This Row],[storage_cost]]+tbl_raw[[#This Row],[fulfillment_cost]]+tbl_raw[[#This Row],[freight_cost]])</f>
        <v>1054.5799999999995</v>
      </c>
      <c r="O401" s="42">
        <f>tbl_scenarios[[#This Row],[net_profit_C]]/(tbl_raw[[#This Row],[gross_revenue]]*(1-scn_C_price_down))</f>
        <v>0.27724380882275607</v>
      </c>
      <c r="P401" s="43">
        <f>tbl_scenarios[[#This Row],[net_margin_C]]-tbl_scenarios[[#This Row],[net_margin_pct]]</f>
        <v>-3.6137809558862366E-2</v>
      </c>
      <c r="Q401" s="49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401" s="44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  <row r="402" spans="1:18" ht="15" thickBot="1" x14ac:dyDescent="0.4">
      <c r="A402" s="45" t="str">
        <f>tbl_raw[[#This Row],[product_id]]</f>
        <v>6902c1962dd19d540807d0ab8fade5c6</v>
      </c>
      <c r="B402" s="46" t="str">
        <f>tbl_raw[[#This Row],[category]]</f>
        <v>watches_gifts</v>
      </c>
      <c r="C402" s="54">
        <f>tbl_profitability[[#This Row],[net_profit]]</f>
        <v>2297.5699999999997</v>
      </c>
      <c r="D402" s="47">
        <f>tbl_profitability[[#This Row],[net_margin_pct]]</f>
        <v>0.57440686017150422</v>
      </c>
      <c r="E402" s="50" t="str">
        <f>tbl_profitability[[#This Row],[decision]]</f>
        <v>SCALE</v>
      </c>
      <c r="F402" s="54">
        <f>tbl_raw[[#This Row],[gross_revenue]]-tbl_raw[[#This Row],[return_loss]]-tbl_raw[[#This Row],[cogs]]*(1+scn_A_cogs_up)-(tbl_raw[[#This Row],[storage_cost]]+tbl_raw[[#This Row],[fulfillment_cost]]+tbl_raw[[#This Row],[freight_cost]])</f>
        <v>2129.5739999999996</v>
      </c>
      <c r="G402" s="47">
        <f>tbl_scenarios[[#This Row],[net_profit_A]]/tbl_raw[[#This Row],[gross_revenue]]</f>
        <v>0.53240681017025415</v>
      </c>
      <c r="H402" s="48">
        <f>tbl_scenarios[[#This Row],[net_margin_A]]-tbl_scenarios[[#This Row],[net_margin_pct]]</f>
        <v>-4.2000050001250067E-2</v>
      </c>
      <c r="I402" s="50" t="str">
        <f>IF(OR(tbl_scenarios[[#This Row],[net_margin_A]]&lt;0.1,tbl_raw[[#This Row],[avg_review_score]]&lt;3),"EXIT",IF(AND(tbl_scenarios[[#This Row],[net_margin_A]]&gt;=0.25,tbl_raw[[#This Row],[avg_review_score]]&gt;=4),"SCALE","OPTIMIZE"))</f>
        <v>SCALE</v>
      </c>
      <c r="J402" s="54">
        <f>tbl_raw[[#This Row],[gross_revenue]]-tbl_raw[[#This Row],[return_loss]]*(1+scn_B_returns_up/0.05)-tbl_raw[[#This Row],[cogs]]-(tbl_raw[[#This Row],[storage_cost]]+tbl_raw[[#This Row],[fulfillment_cost]]+tbl_raw[[#This Row],[freight_cost]])</f>
        <v>2297.21</v>
      </c>
      <c r="K402" s="47">
        <f>tbl_scenarios[[#This Row],[net_profit_B]]/tbl_raw[[#This Row],[gross_revenue]]</f>
        <v>0.57431685792144804</v>
      </c>
      <c r="L402" s="48">
        <f>tbl_scenarios[[#This Row],[net_margin_B]]-tbl_scenarios[[#This Row],[net_margin_pct]]</f>
        <v>-9.0002250056175903E-5</v>
      </c>
      <c r="M402" s="50" t="str">
        <f>IF(OR(tbl_scenarios[[#This Row],[net_margin_B]]&lt;0.1,tbl_raw[[#This Row],[avg_review_score]]&lt;3),"EXIT",IF(AND(tbl_scenarios[[#This Row],[net_margin_B]]&gt;=0.25,tbl_raw[[#This Row],[avg_review_score]]&gt;=4),"SCALE","OPTIMIZE"))</f>
        <v>SCALE</v>
      </c>
      <c r="N402" s="54">
        <f>tbl_raw[[#This Row],[gross_revenue]]*(1-scn_C_price_down)-tbl_raw[[#This Row],[return_loss]]-tbl_raw[[#This Row],[cogs]]-(tbl_raw[[#This Row],[storage_cost]]+tbl_raw[[#This Row],[fulfillment_cost]]+tbl_raw[[#This Row],[freight_cost]])</f>
        <v>2097.5749999999994</v>
      </c>
      <c r="O402" s="47">
        <f>tbl_scenarios[[#This Row],[net_profit_C]]/(tbl_raw[[#This Row],[gross_revenue]]*(1-scn_C_price_down))</f>
        <v>0.55200722123316226</v>
      </c>
      <c r="P402" s="48">
        <f>tbl_scenarios[[#This Row],[net_margin_C]]-tbl_scenarios[[#This Row],[net_margin_pct]]</f>
        <v>-2.2399638938341959E-2</v>
      </c>
      <c r="Q402" s="50" t="str">
        <f>IF(OR(tbl_scenarios[[#This Row],[net_margin_C]]&lt;0.1,tbl_raw[[#This Row],[avg_review_score]]&lt;3),"EXIT",IF(AND(tbl_scenarios[[#This Row],[net_margin_C]]&gt;=0.25,tbl_raw[[#This Row],[avg_review_score]]&gt;=4),"SCALE","OPTIMIZE"))</f>
        <v>SCALE</v>
      </c>
      <c r="R402" s="21" t="str">
        <f>IF(OR(tbl_scenarios[[#This Row],[decision_A]]&lt;&gt;tbl_scenarios[[#This Row],[decision]],tbl_scenarios[[#This Row],[decision_B]]&lt;&gt;tbl_scenarios[[#This Row],[decision]],tbl_scenarios[[#This Row],[decision_C]]&lt;&gt;tbl_scenarios[[#This Row],[decision]]),"Decision changes","Stable")</f>
        <v>Stable</v>
      </c>
    </row>
  </sheetData>
  <mergeCells count="6">
    <mergeCell ref="T6:Y8"/>
    <mergeCell ref="C1:E1"/>
    <mergeCell ref="F1:I1"/>
    <mergeCell ref="J1:M1"/>
    <mergeCell ref="N1:Q1"/>
    <mergeCell ref="U1:X1"/>
  </mergeCells>
  <conditionalFormatting sqref="E1:E1048576 I1:I1048576 M1:M1048576 Q1:R1048576">
    <cfRule type="cellIs" dxfId="15" priority="1" operator="equal">
      <formula>"Stable"</formula>
    </cfRule>
    <cfRule type="cellIs" dxfId="14" priority="2" operator="equal">
      <formula>"SCALE"</formula>
    </cfRule>
    <cfRule type="cellIs" dxfId="13" priority="3" operator="equal">
      <formula>"Decision Changes"</formula>
    </cfRule>
    <cfRule type="cellIs" dxfId="12" priority="4" operator="equal">
      <formula>"EXIT"</formula>
    </cfRule>
    <cfRule type="cellIs" dxfId="11" priority="5" operator="equal">
      <formula>"OPTIMIZE"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8192-2559-4B41-A2D9-04512612816F}">
  <dimension ref="A1:G14"/>
  <sheetViews>
    <sheetView zoomScale="78" workbookViewId="0">
      <selection activeCell="C5" sqref="C5:G9"/>
    </sheetView>
  </sheetViews>
  <sheetFormatPr defaultRowHeight="14.5" x14ac:dyDescent="0.35"/>
  <cols>
    <col min="2" max="2" width="14.36328125" customWidth="1"/>
    <col min="3" max="3" width="11.453125" bestFit="1" customWidth="1"/>
    <col min="4" max="4" width="14.08984375" bestFit="1" customWidth="1"/>
    <col min="5" max="5" width="13.453125" customWidth="1"/>
    <col min="6" max="6" width="22.54296875" customWidth="1"/>
    <col min="7" max="7" width="28.08984375" customWidth="1"/>
    <col min="8" max="8" width="9.36328125" customWidth="1"/>
  </cols>
  <sheetData>
    <row r="1" spans="1:7" ht="15.5" x14ac:dyDescent="0.35">
      <c r="A1" s="237" t="s">
        <v>503</v>
      </c>
      <c r="B1" s="237"/>
      <c r="C1" s="237"/>
      <c r="D1" s="237"/>
      <c r="E1" s="237"/>
      <c r="F1" s="237"/>
      <c r="G1" s="237"/>
    </row>
    <row r="2" spans="1:7" ht="29" customHeight="1" x14ac:dyDescent="0.35">
      <c r="A2" s="238" t="s">
        <v>504</v>
      </c>
      <c r="B2" s="238"/>
      <c r="C2" s="238"/>
      <c r="D2" s="238"/>
      <c r="E2" s="238"/>
      <c r="F2" s="238"/>
      <c r="G2" s="238"/>
    </row>
    <row r="3" spans="1:7" x14ac:dyDescent="0.35">
      <c r="C3" s="239" t="s">
        <v>505</v>
      </c>
      <c r="D3" s="239"/>
      <c r="E3" s="239"/>
      <c r="F3" s="239"/>
      <c r="G3" s="239"/>
    </row>
    <row r="4" spans="1:7" ht="26" x14ac:dyDescent="0.35">
      <c r="B4" s="31" t="s">
        <v>506</v>
      </c>
      <c r="C4" s="32">
        <v>0</v>
      </c>
      <c r="D4" s="32">
        <v>0.05</v>
      </c>
      <c r="E4" s="32">
        <v>0.1</v>
      </c>
      <c r="F4" s="32">
        <v>0.15</v>
      </c>
      <c r="G4" s="32">
        <v>0.2</v>
      </c>
    </row>
    <row r="5" spans="1:7" x14ac:dyDescent="0.35">
      <c r="B5" s="32">
        <v>0</v>
      </c>
      <c r="C5" s="33" cm="1">
        <f t="array" ref="C5">SUMPRODUCT(tbl_raw[gross_revenue]-tbl_raw[return_loss]*(1+$B5/0.05)-tbl_raw[cogs]*(1+C$4)-(tbl_raw[storage_cost]+tbl_raw[fulfillment_cost]+tbl_raw[freight_cost]))/SUM(tbl_raw[gross_revenue])</f>
        <v>0.35980984949944178</v>
      </c>
      <c r="D5" s="33" cm="1">
        <f t="array" ref="D5">SUMPRODUCT(tbl_raw[gross_revenue]-tbl_raw[return_loss]*(1+$B5/0.05)-tbl_raw[cogs]*(1+D$4)-(tbl_raw[storage_cost]+tbl_raw[fulfillment_cost]+tbl_raw[freight_cost]))/SUM(tbl_raw[gross_revenue])</f>
        <v>0.33648742435162243</v>
      </c>
      <c r="E5" s="33" cm="1">
        <f t="array" ref="E5">SUMPRODUCT(tbl_raw[gross_revenue]-tbl_raw[return_loss]*(1+$B5/0.05)-tbl_raw[cogs]*(1+E$4)-(tbl_raw[storage_cost]+tbl_raw[fulfillment_cost]+tbl_raw[freight_cost]))/SUM(tbl_raw[gross_revenue])</f>
        <v>0.31316499920380375</v>
      </c>
      <c r="F5" s="33" cm="1">
        <f t="array" ref="F5">SUMPRODUCT(tbl_raw[gross_revenue]-tbl_raw[return_loss]*(1+$B5/0.05)-tbl_raw[cogs]*(1+F$4)-(tbl_raw[storage_cost]+tbl_raw[fulfillment_cost]+tbl_raw[freight_cost]))/SUM(tbl_raw[gross_revenue])</f>
        <v>0.28984257405598496</v>
      </c>
      <c r="G5" s="33" cm="1">
        <f t="array" ref="G5">SUMPRODUCT(tbl_raw[gross_revenue]-tbl_raw[return_loss]*(1+$B5/0.05)-tbl_raw[cogs]*(1+G$4)-(tbl_raw[storage_cost]+tbl_raw[fulfillment_cost]+tbl_raw[freight_cost]))/SUM(tbl_raw[gross_revenue])</f>
        <v>0.26652014890816628</v>
      </c>
    </row>
    <row r="6" spans="1:7" x14ac:dyDescent="0.35">
      <c r="B6" s="32">
        <v>2.5000000000000001E-2</v>
      </c>
      <c r="C6" s="33" cm="1">
        <f t="array" ref="C6">SUMPRODUCT(tbl_raw[gross_revenue]-tbl_raw[return_loss]*(1+$B6/0.05)-tbl_raw[cogs]*(1+C$4)-(tbl_raw[storage_cost]+tbl_raw[fulfillment_cost]+tbl_raw[freight_cost]))/SUM(tbl_raw[gross_revenue])</f>
        <v>0.35860992393436297</v>
      </c>
      <c r="D6" s="33" cm="1">
        <f t="array" ref="D6">SUMPRODUCT(tbl_raw[gross_revenue]-tbl_raw[return_loss]*(1+$B6/0.05)-tbl_raw[cogs]*(1+D$4)-(tbl_raw[storage_cost]+tbl_raw[fulfillment_cost]+tbl_raw[freight_cost]))/SUM(tbl_raw[gross_revenue])</f>
        <v>0.33528749878654424</v>
      </c>
      <c r="E6" s="33" cm="1">
        <f t="array" ref="E6">SUMPRODUCT(tbl_raw[gross_revenue]-tbl_raw[return_loss]*(1+$B6/0.05)-tbl_raw[cogs]*(1+E$4)-(tbl_raw[storage_cost]+tbl_raw[fulfillment_cost]+tbl_raw[freight_cost]))/SUM(tbl_raw[gross_revenue])</f>
        <v>0.31196507363872517</v>
      </c>
      <c r="F6" s="33" cm="1">
        <f t="array" ref="F6">SUMPRODUCT(tbl_raw[gross_revenue]-tbl_raw[return_loss]*(1+$B6/0.05)-tbl_raw[cogs]*(1+F$4)-(tbl_raw[storage_cost]+tbl_raw[fulfillment_cost]+tbl_raw[freight_cost]))/SUM(tbl_raw[gross_revenue])</f>
        <v>0.28864264849090704</v>
      </c>
      <c r="G6" s="33" cm="1">
        <f t="array" ref="G6">SUMPRODUCT(tbl_raw[gross_revenue]-tbl_raw[return_loss]*(1+$B6/0.05)-tbl_raw[cogs]*(1+G$4)-(tbl_raw[storage_cost]+tbl_raw[fulfillment_cost]+tbl_raw[freight_cost]))/SUM(tbl_raw[gross_revenue])</f>
        <v>0.26532022334308825</v>
      </c>
    </row>
    <row r="7" spans="1:7" x14ac:dyDescent="0.35">
      <c r="B7" s="32">
        <v>0.05</v>
      </c>
      <c r="C7" s="33" cm="1">
        <f t="array" ref="C7">SUMPRODUCT(tbl_raw[gross_revenue]-tbl_raw[return_loss]*(1+$B7/0.05)-tbl_raw[cogs]*(1+C$4)-(tbl_raw[storage_cost]+tbl_raw[fulfillment_cost]+tbl_raw[freight_cost]))/SUM(tbl_raw[gross_revenue])</f>
        <v>0.35740999836928516</v>
      </c>
      <c r="D7" s="33" cm="1">
        <f t="array" ref="D7">SUMPRODUCT(tbl_raw[gross_revenue]-tbl_raw[return_loss]*(1+$B7/0.05)-tbl_raw[cogs]*(1+D$4)-(tbl_raw[storage_cost]+tbl_raw[fulfillment_cost]+tbl_raw[freight_cost]))/SUM(tbl_raw[gross_revenue])</f>
        <v>0.33408757322146632</v>
      </c>
      <c r="E7" s="33" cm="1">
        <f t="array" ref="E7">SUMPRODUCT(tbl_raw[gross_revenue]-tbl_raw[return_loss]*(1+$B7/0.05)-tbl_raw[cogs]*(1+E$4)-(tbl_raw[storage_cost]+tbl_raw[fulfillment_cost]+tbl_raw[freight_cost]))/SUM(tbl_raw[gross_revenue])</f>
        <v>0.31076514807364719</v>
      </c>
      <c r="F7" s="33" cm="1">
        <f t="array" ref="F7">SUMPRODUCT(tbl_raw[gross_revenue]-tbl_raw[return_loss]*(1+$B7/0.05)-tbl_raw[cogs]*(1+F$4)-(tbl_raw[storage_cost]+tbl_raw[fulfillment_cost]+tbl_raw[freight_cost]))/SUM(tbl_raw[gross_revenue])</f>
        <v>0.28744272292582879</v>
      </c>
      <c r="G7" s="33" cm="1">
        <f t="array" ref="G7">SUMPRODUCT(tbl_raw[gross_revenue]-tbl_raw[return_loss]*(1+$B7/0.05)-tbl_raw[cogs]*(1+G$4)-(tbl_raw[storage_cost]+tbl_raw[fulfillment_cost]+tbl_raw[freight_cost]))/SUM(tbl_raw[gross_revenue])</f>
        <v>0.26412029777801005</v>
      </c>
    </row>
    <row r="8" spans="1:7" x14ac:dyDescent="0.35">
      <c r="B8" s="32">
        <v>7.4999999999999997E-2</v>
      </c>
      <c r="C8" s="33" cm="1">
        <f t="array" ref="C8">SUMPRODUCT(tbl_raw[gross_revenue]-tbl_raw[return_loss]*(1+$B8/0.05)-tbl_raw[cogs]*(1+C$4)-(tbl_raw[storage_cost]+tbl_raw[fulfillment_cost]+tbl_raw[freight_cost]))/SUM(tbl_raw[gross_revenue])</f>
        <v>0.35621007280420702</v>
      </c>
      <c r="D8" s="33" cm="1">
        <f t="array" ref="D8">SUMPRODUCT(tbl_raw[gross_revenue]-tbl_raw[return_loss]*(1+$B8/0.05)-tbl_raw[cogs]*(1+D$4)-(tbl_raw[storage_cost]+tbl_raw[fulfillment_cost]+tbl_raw[freight_cost]))/SUM(tbl_raw[gross_revenue])</f>
        <v>0.33288764765638801</v>
      </c>
      <c r="E8" s="33" cm="1">
        <f t="array" ref="E8">SUMPRODUCT(tbl_raw[gross_revenue]-tbl_raw[return_loss]*(1+$B8/0.05)-tbl_raw[cogs]*(1+E$4)-(tbl_raw[storage_cost]+tbl_raw[fulfillment_cost]+tbl_raw[freight_cost]))/SUM(tbl_raw[gross_revenue])</f>
        <v>0.30956522250856966</v>
      </c>
      <c r="F8" s="33" cm="1">
        <f t="array" ref="F8">SUMPRODUCT(tbl_raw[gross_revenue]-tbl_raw[return_loss]*(1+$B8/0.05)-tbl_raw[cogs]*(1+F$4)-(tbl_raw[storage_cost]+tbl_raw[fulfillment_cost]+tbl_raw[freight_cost]))/SUM(tbl_raw[gross_revenue])</f>
        <v>0.28624279736075081</v>
      </c>
      <c r="G8" s="33" cm="1">
        <f t="array" ref="G8">SUMPRODUCT(tbl_raw[gross_revenue]-tbl_raw[return_loss]*(1+$B8/0.05)-tbl_raw[cogs]*(1+G$4)-(tbl_raw[storage_cost]+tbl_raw[fulfillment_cost]+tbl_raw[freight_cost]))/SUM(tbl_raw[gross_revenue])</f>
        <v>0.26292037221293174</v>
      </c>
    </row>
    <row r="9" spans="1:7" x14ac:dyDescent="0.35">
      <c r="B9" s="32">
        <v>0.1</v>
      </c>
      <c r="C9" s="33" cm="1">
        <f t="array" ref="C9">SUMPRODUCT(tbl_raw[gross_revenue]-tbl_raw[return_loss]*(1+$B9/0.05)-tbl_raw[cogs]*(1+C$4)-(tbl_raw[storage_cost]+tbl_raw[fulfillment_cost]+tbl_raw[freight_cost]))/SUM(tbl_raw[gross_revenue])</f>
        <v>0.35501014723912905</v>
      </c>
      <c r="D9" s="33" cm="1">
        <f t="array" ref="D9">SUMPRODUCT(tbl_raw[gross_revenue]-tbl_raw[return_loss]*(1+$B9/0.05)-tbl_raw[cogs]*(1+D$4)-(tbl_raw[storage_cost]+tbl_raw[fulfillment_cost]+tbl_raw[freight_cost]))/SUM(tbl_raw[gross_revenue])</f>
        <v>0.3316877220913102</v>
      </c>
      <c r="E9" s="33" cm="1">
        <f t="array" ref="E9">SUMPRODUCT(tbl_raw[gross_revenue]-tbl_raw[return_loss]*(1+$B9/0.05)-tbl_raw[cogs]*(1+E$4)-(tbl_raw[storage_cost]+tbl_raw[fulfillment_cost]+tbl_raw[freight_cost]))/SUM(tbl_raw[gross_revenue])</f>
        <v>0.30836529694349119</v>
      </c>
      <c r="F9" s="33" cm="1">
        <f t="array" ref="F9">SUMPRODUCT(tbl_raw[gross_revenue]-tbl_raw[return_loss]*(1+$B9/0.05)-tbl_raw[cogs]*(1+F$4)-(tbl_raw[storage_cost]+tbl_raw[fulfillment_cost]+tbl_raw[freight_cost]))/SUM(tbl_raw[gross_revenue])</f>
        <v>0.28504287179567256</v>
      </c>
      <c r="G9" s="33" cm="1">
        <f t="array" ref="G9">SUMPRODUCT(tbl_raw[gross_revenue]-tbl_raw[return_loss]*(1+$B9/0.05)-tbl_raw[cogs]*(1+G$4)-(tbl_raw[storage_cost]+tbl_raw[fulfillment_cost]+tbl_raw[freight_cost]))/SUM(tbl_raw[gross_revenue])</f>
        <v>0.26172044664785382</v>
      </c>
    </row>
    <row r="12" spans="1:7" ht="47" customHeight="1" x14ac:dyDescent="0.35">
      <c r="B12" s="240" t="s">
        <v>507</v>
      </c>
      <c r="C12" s="240"/>
      <c r="D12" s="240"/>
      <c r="E12" s="240"/>
      <c r="F12" s="240"/>
      <c r="G12" s="240"/>
    </row>
    <row r="14" spans="1:7" x14ac:dyDescent="0.35">
      <c r="B14" s="34" t="s">
        <v>508</v>
      </c>
      <c r="C14" s="35" t="s">
        <v>509</v>
      </c>
      <c r="D14" s="36" t="s">
        <v>510</v>
      </c>
      <c r="E14" s="37" t="s">
        <v>511</v>
      </c>
    </row>
  </sheetData>
  <mergeCells count="4">
    <mergeCell ref="A1:G1"/>
    <mergeCell ref="A2:G2"/>
    <mergeCell ref="C3:G3"/>
    <mergeCell ref="B12:G12"/>
  </mergeCells>
  <conditionalFormatting sqref="C5:G9">
    <cfRule type="cellIs" dxfId="10" priority="1" operator="greaterThanOrEqual">
      <formula>0.25</formula>
    </cfRule>
    <cfRule type="cellIs" dxfId="9" priority="2" operator="lessThan">
      <formula>0.1</formula>
    </cfRule>
    <cfRule type="cellIs" dxfId="8" priority="3" operator="between">
      <formula>0.1</formula>
      <formula>0.2499999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C49D-24BC-4C1C-BE15-51E77811B57C}">
  <dimension ref="A1:K403"/>
  <sheetViews>
    <sheetView zoomScale="7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3" sqref="G3"/>
    </sheetView>
  </sheetViews>
  <sheetFormatPr defaultRowHeight="14.5" x14ac:dyDescent="0.35"/>
  <cols>
    <col min="1" max="1" width="40.81640625" style="218" customWidth="1"/>
    <col min="2" max="2" width="26.08984375" customWidth="1"/>
    <col min="3" max="3" width="15.36328125" style="9" customWidth="1"/>
    <col min="4" max="4" width="16.36328125" style="8" customWidth="1"/>
    <col min="5" max="5" width="17.36328125" customWidth="1"/>
    <col min="6" max="6" width="18.36328125" style="11" customWidth="1"/>
    <col min="7" max="7" width="17.26953125" customWidth="1"/>
    <col min="8" max="8" width="18.26953125" style="11" customWidth="1"/>
    <col min="9" max="9" width="17.26953125" customWidth="1"/>
    <col min="10" max="10" width="18.26953125" style="11" customWidth="1"/>
    <col min="11" max="11" width="22.26953125" style="53" customWidth="1"/>
  </cols>
  <sheetData>
    <row r="1" spans="1:11" ht="15.5" x14ac:dyDescent="0.35">
      <c r="A1" s="237" t="s">
        <v>512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</row>
    <row r="2" spans="1:11" ht="15.5" x14ac:dyDescent="0.35">
      <c r="A2" s="216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s="58" customFormat="1" x14ac:dyDescent="0.35">
      <c r="A3" s="217" t="s">
        <v>1</v>
      </c>
      <c r="B3" s="55" t="s">
        <v>2</v>
      </c>
      <c r="C3" s="56" t="s">
        <v>513</v>
      </c>
      <c r="D3" s="57" t="s">
        <v>514</v>
      </c>
      <c r="E3" s="55" t="s">
        <v>515</v>
      </c>
      <c r="F3" s="55" t="s">
        <v>516</v>
      </c>
      <c r="G3" s="55" t="s">
        <v>517</v>
      </c>
      <c r="H3" s="55" t="s">
        <v>518</v>
      </c>
      <c r="I3" s="55" t="s">
        <v>519</v>
      </c>
      <c r="J3" s="55" t="s">
        <v>520</v>
      </c>
      <c r="K3" s="55" t="s">
        <v>498</v>
      </c>
    </row>
    <row r="4" spans="1:11" x14ac:dyDescent="0.35">
      <c r="A4" s="218" t="str">
        <f>Scenario_Analysis!A6</f>
        <v>d1c427060a0f73f6b889a5c7c61f2ac4</v>
      </c>
      <c r="B4" t="str">
        <f>Scenario_Analysis!B6</f>
        <v>computers_accessories</v>
      </c>
      <c r="C4" s="9">
        <f>Scenario_Analysis!D6</f>
        <v>4.7087262032065084E-2</v>
      </c>
      <c r="D4" s="11" t="str">
        <f>Scenario_Analysis!E6</f>
        <v>EXIT</v>
      </c>
      <c r="E4" s="5">
        <f>Scenario_Analysis!G6</f>
        <v>-9.9127364759228655E-3</v>
      </c>
      <c r="F4" s="11" t="str">
        <f>Scenario_Analysis!I6</f>
        <v>EXIT</v>
      </c>
      <c r="G4" s="9">
        <f>Scenario_Analysis!K6</f>
        <v>4.0545854753475913E-2</v>
      </c>
      <c r="H4" s="11" t="str">
        <f>Scenario_Analysis!M6</f>
        <v>EXIT</v>
      </c>
      <c r="I4" s="9">
        <f>Scenario_Analysis!O6</f>
        <v>-3.0660399662472563E-3</v>
      </c>
      <c r="J4" s="11" t="str">
        <f>Scenario_Analysis!Q6</f>
        <v>EXIT</v>
      </c>
      <c r="K4" s="53" t="str">
        <f>Scenario_Analysis!R6</f>
        <v>Stable</v>
      </c>
    </row>
    <row r="5" spans="1:11" x14ac:dyDescent="0.35">
      <c r="A5" s="218" t="str">
        <f>Scenario_Analysis!A9</f>
        <v>25c38557cf793876c5abdd5931f922db</v>
      </c>
      <c r="B5" t="str">
        <f>Scenario_Analysis!B9</f>
        <v>baby</v>
      </c>
      <c r="C5" s="9">
        <f>Scenario_Analysis!D9</f>
        <v>0.53866316158501792</v>
      </c>
      <c r="D5" s="11" t="str">
        <f>Scenario_Analysis!E9</f>
        <v>EXIT</v>
      </c>
      <c r="E5" s="5">
        <f>Scenario_Analysis!G9</f>
        <v>0.49666317289394385</v>
      </c>
      <c r="F5" s="11" t="str">
        <f>Scenario_Analysis!I9</f>
        <v>EXIT</v>
      </c>
      <c r="G5" s="9">
        <f>Scenario_Analysis!K9</f>
        <v>0.53831155679702425</v>
      </c>
      <c r="H5" s="11" t="str">
        <f>Scenario_Analysis!M9</f>
        <v>EXIT</v>
      </c>
      <c r="I5" s="9">
        <f>Scenario_Analysis!O9</f>
        <v>0.51438227535265035</v>
      </c>
      <c r="J5" s="11" t="str">
        <f>Scenario_Analysis!Q9</f>
        <v>EXIT</v>
      </c>
      <c r="K5" s="53" t="str">
        <f>Scenario_Analysis!R9</f>
        <v>Stable</v>
      </c>
    </row>
    <row r="6" spans="1:11" x14ac:dyDescent="0.35">
      <c r="A6" s="218" t="str">
        <f>Scenario_Analysis!A19</f>
        <v>422879e10f46682990de24d770e7f83d</v>
      </c>
      <c r="B6" t="str">
        <f>Scenario_Analysis!B19</f>
        <v>garden_tools</v>
      </c>
      <c r="C6" s="9">
        <f>Scenario_Analysis!D19</f>
        <v>3.3080585554094773E-2</v>
      </c>
      <c r="D6" s="11" t="str">
        <f>Scenario_Analysis!E19</f>
        <v>EXIT</v>
      </c>
      <c r="E6" s="5">
        <f>Scenario_Analysis!G19</f>
        <v>-1.191941820852601E-2</v>
      </c>
      <c r="F6" s="11" t="str">
        <f>Scenario_Analysis!I19</f>
        <v>EXIT</v>
      </c>
      <c r="G6" s="9">
        <f>Scenario_Analysis!K19</f>
        <v>2.6524595123191993E-2</v>
      </c>
      <c r="H6" s="11" t="str">
        <f>Scenario_Analysis!M19</f>
        <v>EXIT</v>
      </c>
      <c r="I6" s="9">
        <f>Scenario_Analysis!O19</f>
        <v>-1.7809909943058165E-2</v>
      </c>
      <c r="J6" s="11" t="str">
        <f>Scenario_Analysis!Q19</f>
        <v>EXIT</v>
      </c>
      <c r="K6" s="53" t="str">
        <f>Scenario_Analysis!R19</f>
        <v>Stable</v>
      </c>
    </row>
    <row r="7" spans="1:11" x14ac:dyDescent="0.35">
      <c r="A7" s="218" t="str">
        <f>Scenario_Analysis!A25</f>
        <v>389d119b48cf3043d311335e499d9c6b</v>
      </c>
      <c r="B7" t="str">
        <f>Scenario_Analysis!B25</f>
        <v>garden_tools</v>
      </c>
      <c r="C7" s="9">
        <f>Scenario_Analysis!D25</f>
        <v>-3.0638095358307704E-2</v>
      </c>
      <c r="D7" s="11" t="str">
        <f>Scenario_Analysis!E25</f>
        <v>EXIT</v>
      </c>
      <c r="E7" s="5">
        <f>Scenario_Analysis!G25</f>
        <v>-7.5638093020842206E-2</v>
      </c>
      <c r="F7" s="11" t="str">
        <f>Scenario_Analysis!I25</f>
        <v>EXIT</v>
      </c>
      <c r="G7" s="9">
        <f>Scenario_Analysis!K25</f>
        <v>-3.7218528247569438E-2</v>
      </c>
      <c r="H7" s="11" t="str">
        <f>Scenario_Analysis!M25</f>
        <v>EXIT</v>
      </c>
      <c r="I7" s="9">
        <f>Scenario_Analysis!O25</f>
        <v>-8.4882205640323991E-2</v>
      </c>
      <c r="J7" s="11" t="str">
        <f>Scenario_Analysis!Q25</f>
        <v>EXIT</v>
      </c>
      <c r="K7" s="53" t="str">
        <f>Scenario_Analysis!R25</f>
        <v>Stable</v>
      </c>
    </row>
    <row r="8" spans="1:11" x14ac:dyDescent="0.35">
      <c r="A8" s="218" t="str">
        <f>Scenario_Analysis!A26</f>
        <v>368c6c730842d78016ad823897a372db</v>
      </c>
      <c r="B8" t="str">
        <f>Scenario_Analysis!B26</f>
        <v>garden_tools</v>
      </c>
      <c r="C8" s="9">
        <f>Scenario_Analysis!D26</f>
        <v>-1.5958740169446491E-2</v>
      </c>
      <c r="D8" s="11" t="str">
        <f>Scenario_Analysis!E26</f>
        <v>EXIT</v>
      </c>
      <c r="E8" s="5">
        <f>Scenario_Analysis!G26</f>
        <v>-6.0958740169446517E-2</v>
      </c>
      <c r="F8" s="11" t="str">
        <f>Scenario_Analysis!I26</f>
        <v>EXIT</v>
      </c>
      <c r="G8" s="9">
        <f>Scenario_Analysis!K26</f>
        <v>-2.2592226739105714E-2</v>
      </c>
      <c r="H8" s="11" t="str">
        <f>Scenario_Analysis!M26</f>
        <v>EXIT</v>
      </c>
      <c r="I8" s="9">
        <f>Scenario_Analysis!O26</f>
        <v>-6.9430252809943679E-2</v>
      </c>
      <c r="J8" s="11" t="str">
        <f>Scenario_Analysis!Q26</f>
        <v>EXIT</v>
      </c>
      <c r="K8" s="53" t="str">
        <f>Scenario_Analysis!R26</f>
        <v>Stable</v>
      </c>
    </row>
    <row r="9" spans="1:11" x14ac:dyDescent="0.35">
      <c r="A9" s="218" t="str">
        <f>Scenario_Analysis!A29</f>
        <v>53759a2ecddad2bb87a079a1f1519f73</v>
      </c>
      <c r="B9" t="str">
        <f>Scenario_Analysis!B29</f>
        <v>garden_tools</v>
      </c>
      <c r="C9" s="9">
        <f>Scenario_Analysis!D29</f>
        <v>-2.6357224140637101E-2</v>
      </c>
      <c r="D9" s="11" t="str">
        <f>Scenario_Analysis!E29</f>
        <v>EXIT</v>
      </c>
      <c r="E9" s="5">
        <f>Scenario_Analysis!G29</f>
        <v>-7.1357224140637138E-2</v>
      </c>
      <c r="F9" s="11" t="str">
        <f>Scenario_Analysis!I29</f>
        <v>EXIT</v>
      </c>
      <c r="G9" s="9">
        <f>Scenario_Analysis!K29</f>
        <v>-3.2943709778684625E-2</v>
      </c>
      <c r="H9" s="11" t="str">
        <f>Scenario_Analysis!M29</f>
        <v>EXIT</v>
      </c>
      <c r="I9" s="9">
        <f>Scenario_Analysis!O29</f>
        <v>-8.0376025411196983E-2</v>
      </c>
      <c r="J9" s="11" t="str">
        <f>Scenario_Analysis!Q29</f>
        <v>EXIT</v>
      </c>
      <c r="K9" s="53" t="str">
        <f>Scenario_Analysis!R29</f>
        <v>Stable</v>
      </c>
    </row>
    <row r="10" spans="1:11" x14ac:dyDescent="0.35">
      <c r="A10" s="218" t="str">
        <f>Scenario_Analysis!A30</f>
        <v>fd0065af7f09af4b82a0ca8f3eed1852</v>
      </c>
      <c r="B10" t="str">
        <f>Scenario_Analysis!B30</f>
        <v>auto</v>
      </c>
      <c r="C10" s="9">
        <f>Scenario_Analysis!D30</f>
        <v>0.52837264186320942</v>
      </c>
      <c r="D10" s="11" t="str">
        <f>Scenario_Analysis!E30</f>
        <v>EXIT</v>
      </c>
      <c r="E10" s="5">
        <f>Scenario_Analysis!G30</f>
        <v>0.48337261686308441</v>
      </c>
      <c r="F10" s="11" t="str">
        <f>Scenario_Analysis!I30</f>
        <v>EXIT</v>
      </c>
      <c r="G10" s="9">
        <f>Scenario_Analysis!K30</f>
        <v>0.52819264096320484</v>
      </c>
      <c r="H10" s="11" t="str">
        <f>Scenario_Analysis!M30</f>
        <v>EXIT</v>
      </c>
      <c r="I10" s="9">
        <f>Scenario_Analysis!O30</f>
        <v>0.50355014932969411</v>
      </c>
      <c r="J10" s="11" t="str">
        <f>Scenario_Analysis!Q30</f>
        <v>EXIT</v>
      </c>
      <c r="K10" s="53" t="str">
        <f>Scenario_Analysis!R30</f>
        <v>Stable</v>
      </c>
    </row>
    <row r="11" spans="1:11" x14ac:dyDescent="0.35">
      <c r="A11" s="218" t="str">
        <f>Scenario_Analysis!A31</f>
        <v>1dec4c88c685d5a07bf01dcb0f8bf9f8</v>
      </c>
      <c r="B11" t="str">
        <f>Scenario_Analysis!B31</f>
        <v>auto</v>
      </c>
      <c r="C11" s="9">
        <f>Scenario_Analysis!D31</f>
        <v>0.42065564738292016</v>
      </c>
      <c r="D11" s="11" t="str">
        <f>Scenario_Analysis!E31</f>
        <v>EXIT</v>
      </c>
      <c r="E11" s="5">
        <f>Scenario_Analysis!G31</f>
        <v>0.37565564738292012</v>
      </c>
      <c r="F11" s="11" t="str">
        <f>Scenario_Analysis!I31</f>
        <v>EXIT</v>
      </c>
      <c r="G11" s="9">
        <f>Scenario_Analysis!K31</f>
        <v>0.42002454295016273</v>
      </c>
      <c r="H11" s="11" t="str">
        <f>Scenario_Analysis!M31</f>
        <v>EXIT</v>
      </c>
      <c r="I11" s="9">
        <f>Scenario_Analysis!O31</f>
        <v>0.3901638393504423</v>
      </c>
      <c r="J11" s="11" t="str">
        <f>Scenario_Analysis!Q31</f>
        <v>EXIT</v>
      </c>
      <c r="K11" s="53" t="str">
        <f>Scenario_Analysis!R31</f>
        <v>Stable</v>
      </c>
    </row>
    <row r="12" spans="1:11" x14ac:dyDescent="0.35">
      <c r="A12" s="218" t="str">
        <f>Scenario_Analysis!A36</f>
        <v>fb01a5fc09b9b9563c2ee41a22f07d54</v>
      </c>
      <c r="B12" t="str">
        <f>Scenario_Analysis!B36</f>
        <v>consoles_games</v>
      </c>
      <c r="C12" s="9">
        <f>Scenario_Analysis!D36</f>
        <v>0.37622155190807438</v>
      </c>
      <c r="D12" s="11" t="str">
        <f>Scenario_Analysis!E36</f>
        <v>EXIT</v>
      </c>
      <c r="E12" s="5">
        <f>Scenario_Analysis!G36</f>
        <v>0.31922155370106836</v>
      </c>
      <c r="F12" s="11" t="str">
        <f>Scenario_Analysis!I36</f>
        <v>EXIT</v>
      </c>
      <c r="G12" s="9">
        <f>Scenario_Analysis!K36</f>
        <v>0.37570516962022599</v>
      </c>
      <c r="H12" s="11" t="str">
        <f>Scenario_Analysis!M36</f>
        <v>EXIT</v>
      </c>
      <c r="I12" s="9">
        <f>Scenario_Analysis!O36</f>
        <v>0.34339110727165728</v>
      </c>
      <c r="J12" s="11" t="str">
        <f>Scenario_Analysis!Q36</f>
        <v>EXIT</v>
      </c>
      <c r="K12" s="53" t="str">
        <f>Scenario_Analysis!R36</f>
        <v>Stable</v>
      </c>
    </row>
    <row r="13" spans="1:11" x14ac:dyDescent="0.35">
      <c r="A13" s="218" t="str">
        <f>Scenario_Analysis!A39</f>
        <v>e53e557d5a159f5aa2c5e995dfdf244b</v>
      </c>
      <c r="B13" t="str">
        <f>Scenario_Analysis!B39</f>
        <v>computers_accessories</v>
      </c>
      <c r="C13" s="9">
        <f>Scenario_Analysis!D39</f>
        <v>9.9225027122431406E-2</v>
      </c>
      <c r="D13" s="11" t="str">
        <f>Scenario_Analysis!E39</f>
        <v>EXIT</v>
      </c>
      <c r="E13" s="5">
        <f>Scenario_Analysis!G39</f>
        <v>4.2225043314927789E-2</v>
      </c>
      <c r="F13" s="11" t="str">
        <f>Scenario_Analysis!I39</f>
        <v>EXIT</v>
      </c>
      <c r="G13" s="9">
        <f>Scenario_Analysis!K39</f>
        <v>8.855741049597618E-2</v>
      </c>
      <c r="H13" s="11" t="str">
        <f>Scenario_Analysis!M39</f>
        <v>EXIT</v>
      </c>
      <c r="I13" s="9">
        <f>Scenario_Analysis!O39</f>
        <v>5.1815818023611918E-2</v>
      </c>
      <c r="J13" s="11" t="str">
        <f>Scenario_Analysis!Q39</f>
        <v>EXIT</v>
      </c>
      <c r="K13" s="53" t="str">
        <f>Scenario_Analysis!R39</f>
        <v>Stable</v>
      </c>
    </row>
    <row r="14" spans="1:11" x14ac:dyDescent="0.35">
      <c r="A14" s="218" t="str">
        <f>Scenario_Analysis!A43</f>
        <v>c4baedd846ed09b85f78a781b522f126</v>
      </c>
      <c r="B14" t="str">
        <f>Scenario_Analysis!B43</f>
        <v>garden_tools</v>
      </c>
      <c r="C14" s="9">
        <f>Scenario_Analysis!D43</f>
        <v>3.652558371326138E-3</v>
      </c>
      <c r="D14" s="11" t="str">
        <f>Scenario_Analysis!E43</f>
        <v>EXIT</v>
      </c>
      <c r="E14" s="5">
        <f>Scenario_Analysis!G43</f>
        <v>-4.1347418089814951E-2</v>
      </c>
      <c r="F14" s="11" t="str">
        <f>Scenario_Analysis!I43</f>
        <v>EXIT</v>
      </c>
      <c r="G14" s="9">
        <f>Scenario_Analysis!K43</f>
        <v>6.9271499216872574E-5</v>
      </c>
      <c r="H14" s="11" t="str">
        <f>Scenario_Analysis!M43</f>
        <v>EXIT</v>
      </c>
      <c r="I14" s="9">
        <f>Scenario_Analysis!O43</f>
        <v>-4.8786780661762036E-2</v>
      </c>
      <c r="J14" s="11" t="str">
        <f>Scenario_Analysis!Q43</f>
        <v>EXIT</v>
      </c>
      <c r="K14" s="53" t="str">
        <f>Scenario_Analysis!R43</f>
        <v>Stable</v>
      </c>
    </row>
    <row r="15" spans="1:11" x14ac:dyDescent="0.35">
      <c r="A15" s="218" t="str">
        <f>Scenario_Analysis!A48</f>
        <v>8c591ab0ca519558779df02023177f44</v>
      </c>
      <c r="B15" t="str">
        <f>Scenario_Analysis!B48</f>
        <v>garden_tools</v>
      </c>
      <c r="C15" s="9">
        <f>Scenario_Analysis!D48</f>
        <v>2.8132491129674357E-2</v>
      </c>
      <c r="D15" s="11" t="str">
        <f>Scenario_Analysis!E48</f>
        <v>EXIT</v>
      </c>
      <c r="E15" s="5">
        <f>Scenario_Analysis!G48</f>
        <v>-1.6867488169449215E-2</v>
      </c>
      <c r="F15" s="11" t="str">
        <f>Scenario_Analysis!I48</f>
        <v>EXIT</v>
      </c>
      <c r="G15" s="9">
        <f>Scenario_Analysis!K48</f>
        <v>2.4629902830085735E-2</v>
      </c>
      <c r="H15" s="11" t="str">
        <f>Scenario_Analysis!M48</f>
        <v>EXIT</v>
      </c>
      <c r="I15" s="9">
        <f>Scenario_Analysis!O48</f>
        <v>-2.3018430389816467E-2</v>
      </c>
      <c r="J15" s="11" t="str">
        <f>Scenario_Analysis!Q48</f>
        <v>EXIT</v>
      </c>
      <c r="K15" s="53" t="str">
        <f>Scenario_Analysis!R48</f>
        <v>Stable</v>
      </c>
    </row>
    <row r="16" spans="1:11" x14ac:dyDescent="0.35">
      <c r="A16" s="218" t="str">
        <f>Scenario_Analysis!A56</f>
        <v>5769ef0a239114ac3a854af00df129e4</v>
      </c>
      <c r="B16" t="str">
        <f>Scenario_Analysis!B56</f>
        <v>fixed_telephony</v>
      </c>
      <c r="C16" s="9">
        <f>Scenario_Analysis!D56</f>
        <v>0.41189880952380947</v>
      </c>
      <c r="D16" s="11" t="str">
        <f>Scenario_Analysis!E56</f>
        <v>EXIT</v>
      </c>
      <c r="E16" s="5">
        <f>Scenario_Analysis!G56</f>
        <v>0.35489880952380942</v>
      </c>
      <c r="F16" s="11" t="str">
        <f>Scenario_Analysis!I56</f>
        <v>EXIT</v>
      </c>
      <c r="G16" s="9">
        <f>Scenario_Analysis!K56</f>
        <v>0.41136309523809528</v>
      </c>
      <c r="H16" s="11" t="str">
        <f>Scenario_Analysis!M56</f>
        <v>EXIT</v>
      </c>
      <c r="I16" s="9">
        <f>Scenario_Analysis!O56</f>
        <v>0.38094611528822048</v>
      </c>
      <c r="J16" s="11" t="str">
        <f>Scenario_Analysis!Q56</f>
        <v>EXIT</v>
      </c>
      <c r="K16" s="53" t="str">
        <f>Scenario_Analysis!R56</f>
        <v>Stable</v>
      </c>
    </row>
    <row r="17" spans="1:11" x14ac:dyDescent="0.35">
      <c r="A17" s="218" t="str">
        <f>Scenario_Analysis!A78</f>
        <v>42a2c92a0979a949ca4ea89ec5c7b934</v>
      </c>
      <c r="B17" t="str">
        <f>Scenario_Analysis!B78</f>
        <v>housewares</v>
      </c>
      <c r="C17" s="9">
        <f>Scenario_Analysis!D78</f>
        <v>9.8624667666350932E-2</v>
      </c>
      <c r="D17" s="11" t="str">
        <f>Scenario_Analysis!E78</f>
        <v>EXIT</v>
      </c>
      <c r="E17" s="5">
        <f>Scenario_Analysis!G78</f>
        <v>5.3624713664087803E-2</v>
      </c>
      <c r="F17" s="11" t="str">
        <f>Scenario_Analysis!I78</f>
        <v>EXIT</v>
      </c>
      <c r="G17" s="9">
        <f>Scenario_Analysis!K78</f>
        <v>9.2564005850912165E-2</v>
      </c>
      <c r="H17" s="11" t="str">
        <f>Scenario_Analysis!M78</f>
        <v>EXIT</v>
      </c>
      <c r="I17" s="9">
        <f>Scenario_Analysis!O78</f>
        <v>5.1183860701421946E-2</v>
      </c>
      <c r="J17" s="11" t="str">
        <f>Scenario_Analysis!Q78</f>
        <v>EXIT</v>
      </c>
      <c r="K17" s="53" t="str">
        <f>Scenario_Analysis!R78</f>
        <v>Stable</v>
      </c>
    </row>
    <row r="18" spans="1:11" x14ac:dyDescent="0.35">
      <c r="A18" s="218" t="str">
        <f>Scenario_Analysis!A83</f>
        <v>08574b074924071f4e201e151b152b4e</v>
      </c>
      <c r="B18" t="str">
        <f>Scenario_Analysis!B83</f>
        <v>garden_tools</v>
      </c>
      <c r="C18" s="9">
        <f>Scenario_Analysis!D83</f>
        <v>-1.1023021943806787E-2</v>
      </c>
      <c r="D18" s="11" t="str">
        <f>Scenario_Analysis!E83</f>
        <v>EXIT</v>
      </c>
      <c r="E18" s="5">
        <f>Scenario_Analysis!G83</f>
        <v>-5.6023068415231587E-2</v>
      </c>
      <c r="F18" s="11" t="str">
        <f>Scenario_Analysis!I83</f>
        <v>EXIT</v>
      </c>
      <c r="G18" s="9">
        <f>Scenario_Analysis!K83</f>
        <v>-1.4803937059102421E-2</v>
      </c>
      <c r="H18" s="11" t="str">
        <f>Scenario_Analysis!M83</f>
        <v>EXIT</v>
      </c>
      <c r="I18" s="9">
        <f>Scenario_Analysis!O83</f>
        <v>-6.4234759940849276E-2</v>
      </c>
      <c r="J18" s="11" t="str">
        <f>Scenario_Analysis!Q83</f>
        <v>EXIT</v>
      </c>
      <c r="K18" s="53" t="str">
        <f>Scenario_Analysis!R83</f>
        <v>Stable</v>
      </c>
    </row>
    <row r="19" spans="1:11" x14ac:dyDescent="0.35">
      <c r="A19" s="218" t="str">
        <f>Scenario_Analysis!A86</f>
        <v>19936fa4f614ee0590d3b77ac83fd648</v>
      </c>
      <c r="B19" t="str">
        <f>Scenario_Analysis!B86</f>
        <v>fixed_telephony</v>
      </c>
      <c r="C19" s="9">
        <f>Scenario_Analysis!D86</f>
        <v>0.4115946462715106</v>
      </c>
      <c r="D19" s="11" t="str">
        <f>Scenario_Analysis!E86</f>
        <v>EXIT</v>
      </c>
      <c r="E19" s="5">
        <f>Scenario_Analysis!G86</f>
        <v>0.35459464627151055</v>
      </c>
      <c r="F19" s="11" t="str">
        <f>Scenario_Analysis!I86</f>
        <v>EXIT</v>
      </c>
      <c r="G19" s="9">
        <f>Scenario_Analysis!K86</f>
        <v>0.41107839388145323</v>
      </c>
      <c r="H19" s="11" t="str">
        <f>Scenario_Analysis!M86</f>
        <v>EXIT</v>
      </c>
      <c r="I19" s="9">
        <f>Scenario_Analysis!O86</f>
        <v>0.38062594344369532</v>
      </c>
      <c r="J19" s="11" t="str">
        <f>Scenario_Analysis!Q86</f>
        <v>EXIT</v>
      </c>
      <c r="K19" s="53" t="str">
        <f>Scenario_Analysis!R86</f>
        <v>Stable</v>
      </c>
    </row>
    <row r="20" spans="1:11" x14ac:dyDescent="0.35">
      <c r="A20" s="218" t="str">
        <f>Scenario_Analysis!A103</f>
        <v>b4436da747c3a53ab07ac0e71de17dcd</v>
      </c>
      <c r="B20" t="str">
        <f>Scenario_Analysis!B103</f>
        <v>sports_leisure</v>
      </c>
      <c r="C20" s="9">
        <f>Scenario_Analysis!D103</f>
        <v>0.52649364185949554</v>
      </c>
      <c r="D20" s="11" t="str">
        <f>Scenario_Analysis!E103</f>
        <v>EXIT</v>
      </c>
      <c r="E20" s="5">
        <f>Scenario_Analysis!G103</f>
        <v>0.48449364185949539</v>
      </c>
      <c r="F20" s="11" t="str">
        <f>Scenario_Analysis!I103</f>
        <v>EXIT</v>
      </c>
      <c r="G20" s="9">
        <f>Scenario_Analysis!K103</f>
        <v>0.52626850114654999</v>
      </c>
      <c r="H20" s="11" t="str">
        <f>Scenario_Analysis!M103</f>
        <v>EXIT</v>
      </c>
      <c r="I20" s="9">
        <f>Scenario_Analysis!O103</f>
        <v>0.50157225458894261</v>
      </c>
      <c r="J20" s="11" t="str">
        <f>Scenario_Analysis!Q103</f>
        <v>EXIT</v>
      </c>
      <c r="K20" s="53" t="str">
        <f>Scenario_Analysis!R103</f>
        <v>Stable</v>
      </c>
    </row>
    <row r="21" spans="1:11" x14ac:dyDescent="0.35">
      <c r="A21" s="218" t="str">
        <f>Scenario_Analysis!A148</f>
        <v>b5e13c9a353102f79c6206ff5cb61a50</v>
      </c>
      <c r="B21" t="str">
        <f>Scenario_Analysis!B148</f>
        <v>toys</v>
      </c>
      <c r="C21" s="9">
        <f>Scenario_Analysis!D148</f>
        <v>0.32228296355093522</v>
      </c>
      <c r="D21" s="11" t="str">
        <f>Scenario_Analysis!E148</f>
        <v>EXIT</v>
      </c>
      <c r="E21" s="5">
        <f>Scenario_Analysis!G148</f>
        <v>0.28028293794569115</v>
      </c>
      <c r="F21" s="11" t="str">
        <f>Scenario_Analysis!I148</f>
        <v>EXIT</v>
      </c>
      <c r="G21" s="9">
        <f>Scenario_Analysis!K148</f>
        <v>0.31808882459127624</v>
      </c>
      <c r="H21" s="11" t="str">
        <f>Scenario_Analysis!M148</f>
        <v>EXIT</v>
      </c>
      <c r="I21" s="9">
        <f>Scenario_Analysis!O148</f>
        <v>0.28661364584308968</v>
      </c>
      <c r="J21" s="11" t="str">
        <f>Scenario_Analysis!Q148</f>
        <v>EXIT</v>
      </c>
      <c r="K21" s="53" t="str">
        <f>Scenario_Analysis!R148</f>
        <v>Stable</v>
      </c>
    </row>
    <row r="22" spans="1:11" x14ac:dyDescent="0.35">
      <c r="A22" s="218" t="str">
        <f>Scenario_Analysis!A151</f>
        <v>09481a6dfe9eb590dc8b265b54dc4c97</v>
      </c>
      <c r="B22" t="str">
        <f>Scenario_Analysis!B151</f>
        <v>computers_accessories</v>
      </c>
      <c r="C22" s="9">
        <f>Scenario_Analysis!D151</f>
        <v>0.35387403538857271</v>
      </c>
      <c r="D22" s="11" t="str">
        <f>Scenario_Analysis!E151</f>
        <v>EXIT</v>
      </c>
      <c r="E22" s="5">
        <f>Scenario_Analysis!G151</f>
        <v>0.29687400940577324</v>
      </c>
      <c r="F22" s="11" t="str">
        <f>Scenario_Analysis!I151</f>
        <v>EXIT</v>
      </c>
      <c r="G22" s="9">
        <f>Scenario_Analysis!K151</f>
        <v>0.35293865461064772</v>
      </c>
      <c r="H22" s="11" t="str">
        <f>Scenario_Analysis!M151</f>
        <v>EXIT</v>
      </c>
      <c r="I22" s="9">
        <f>Scenario_Analysis!O151</f>
        <v>0.3198674056721818</v>
      </c>
      <c r="J22" s="11" t="str">
        <f>Scenario_Analysis!Q151</f>
        <v>EXIT</v>
      </c>
      <c r="K22" s="53" t="str">
        <f>Scenario_Analysis!R151</f>
        <v>Stable</v>
      </c>
    </row>
    <row r="23" spans="1:11" x14ac:dyDescent="0.35">
      <c r="A23" s="218" t="str">
        <f>Scenario_Analysis!A155</f>
        <v>3f14d740544f37ece8a9e7bc8349797e</v>
      </c>
      <c r="B23" t="str">
        <f>Scenario_Analysis!B155</f>
        <v>computers_accessories</v>
      </c>
      <c r="C23" s="9">
        <f>Scenario_Analysis!D155</f>
        <v>8.5849263545361668E-2</v>
      </c>
      <c r="D23" s="11" t="str">
        <f>Scenario_Analysis!E155</f>
        <v>EXIT</v>
      </c>
      <c r="E23" s="5">
        <f>Scenario_Analysis!G155</f>
        <v>2.8849199342995777E-2</v>
      </c>
      <c r="F23" s="11" t="str">
        <f>Scenario_Analysis!I155</f>
        <v>EXIT</v>
      </c>
      <c r="G23" s="9">
        <f>Scenario_Analysis!K155</f>
        <v>7.5255873178926694E-2</v>
      </c>
      <c r="H23" s="11" t="str">
        <f>Scenario_Analysis!M155</f>
        <v>EXIT</v>
      </c>
      <c r="I23" s="9">
        <f>Scenario_Analysis!O155</f>
        <v>3.7736066889854356E-2</v>
      </c>
      <c r="J23" s="11" t="str">
        <f>Scenario_Analysis!Q155</f>
        <v>EXIT</v>
      </c>
      <c r="K23" s="53" t="str">
        <f>Scenario_Analysis!R155</f>
        <v>Stable</v>
      </c>
    </row>
    <row r="24" spans="1:11" x14ac:dyDescent="0.35">
      <c r="A24" s="218" t="str">
        <f>Scenario_Analysis!A157</f>
        <v>b0961721fd839e9982420e807758a2a6</v>
      </c>
      <c r="B24" t="str">
        <f>Scenario_Analysis!B157</f>
        <v>garden_tools</v>
      </c>
      <c r="C24" s="9">
        <f>Scenario_Analysis!D157</f>
        <v>-6.4376781160942059E-2</v>
      </c>
      <c r="D24" s="11" t="str">
        <f>Scenario_Analysis!E157</f>
        <v>EXIT</v>
      </c>
      <c r="E24" s="5">
        <f>Scenario_Analysis!G157</f>
        <v>-0.10937671298253282</v>
      </c>
      <c r="F24" s="11" t="str">
        <f>Scenario_Analysis!I157</f>
        <v>EXIT</v>
      </c>
      <c r="G24" s="9">
        <f>Scenario_Analysis!K157</f>
        <v>-7.0611014903800284E-2</v>
      </c>
      <c r="H24" s="11" t="str">
        <f>Scenario_Analysis!M157</f>
        <v>EXIT</v>
      </c>
      <c r="I24" s="9">
        <f>Scenario_Analysis!O157</f>
        <v>-0.12039661174836014</v>
      </c>
      <c r="J24" s="11" t="str">
        <f>Scenario_Analysis!Q157</f>
        <v>EXIT</v>
      </c>
      <c r="K24" s="53" t="str">
        <f>Scenario_Analysis!R157</f>
        <v>Stable</v>
      </c>
    </row>
    <row r="25" spans="1:11" x14ac:dyDescent="0.35">
      <c r="A25" s="218" t="str">
        <f>Scenario_Analysis!A170</f>
        <v>8b52d90d2e8716dad633486c6cc94ecf</v>
      </c>
      <c r="B25" t="str">
        <f>Scenario_Analysis!B170</f>
        <v>telephony</v>
      </c>
      <c r="C25" s="9">
        <f>Scenario_Analysis!D170</f>
        <v>0.40089556550628336</v>
      </c>
      <c r="D25" s="11" t="str">
        <f>Scenario_Analysis!E170</f>
        <v>EXIT</v>
      </c>
      <c r="E25" s="5">
        <f>Scenario_Analysis!G170</f>
        <v>0.34389556550628331</v>
      </c>
      <c r="F25" s="11" t="str">
        <f>Scenario_Analysis!I170</f>
        <v>EXIT</v>
      </c>
      <c r="G25" s="9">
        <f>Scenario_Analysis!K170</f>
        <v>0.39998555539505987</v>
      </c>
      <c r="H25" s="11" t="str">
        <f>Scenario_Analysis!M170</f>
        <v>EXIT</v>
      </c>
      <c r="I25" s="9">
        <f>Scenario_Analysis!O170</f>
        <v>0.36936375316450876</v>
      </c>
      <c r="J25" s="11" t="str">
        <f>Scenario_Analysis!Q170</f>
        <v>EXIT</v>
      </c>
      <c r="K25" s="53" t="str">
        <f>Scenario_Analysis!R170</f>
        <v>Stable</v>
      </c>
    </row>
    <row r="26" spans="1:11" x14ac:dyDescent="0.35">
      <c r="A26" s="218" t="str">
        <f>Scenario_Analysis!A208</f>
        <v>154e7e31ebfa092203795c972e5804a6</v>
      </c>
      <c r="B26" t="str">
        <f>Scenario_Analysis!B208</f>
        <v>health_beauty</v>
      </c>
      <c r="C26" s="9">
        <f>Scenario_Analysis!D208</f>
        <v>-0.24148997895715391</v>
      </c>
      <c r="D26" s="11" t="str">
        <f>Scenario_Analysis!E208</f>
        <v>EXIT</v>
      </c>
      <c r="E26" s="5">
        <f>Scenario_Analysis!G208</f>
        <v>-0.2834899821191143</v>
      </c>
      <c r="F26" s="11" t="str">
        <f>Scenario_Analysis!I208</f>
        <v>EXIT</v>
      </c>
      <c r="G26" s="9">
        <f>Scenario_Analysis!K208</f>
        <v>-0.25748317441847601</v>
      </c>
      <c r="H26" s="11" t="str">
        <f>Scenario_Analysis!M208</f>
        <v>EXIT</v>
      </c>
      <c r="I26" s="9">
        <f>Scenario_Analysis!O208</f>
        <v>-0.30683155679700413</v>
      </c>
      <c r="J26" s="11" t="str">
        <f>Scenario_Analysis!Q208</f>
        <v>EXIT</v>
      </c>
      <c r="K26" s="53" t="str">
        <f>Scenario_Analysis!R208</f>
        <v>Stable</v>
      </c>
    </row>
    <row r="27" spans="1:11" x14ac:dyDescent="0.35">
      <c r="A27" s="218" t="str">
        <f>Scenario_Analysis!A215</f>
        <v>0bcc3eeca39e1064258aa1e932269894</v>
      </c>
      <c r="B27" t="str">
        <f>Scenario_Analysis!B215</f>
        <v>garden_tools</v>
      </c>
      <c r="C27" s="9">
        <f>Scenario_Analysis!D215</f>
        <v>-4.4684852674050382E-2</v>
      </c>
      <c r="D27" s="11" t="str">
        <f>Scenario_Analysis!E215</f>
        <v>EXIT</v>
      </c>
      <c r="E27" s="5">
        <f>Scenario_Analysis!G215</f>
        <v>-8.9684772299828019E-2</v>
      </c>
      <c r="F27" s="11" t="str">
        <f>Scenario_Analysis!I215</f>
        <v>EXIT</v>
      </c>
      <c r="G27" s="9">
        <f>Scenario_Analysis!K215</f>
        <v>-5.1339838287064669E-2</v>
      </c>
      <c r="H27" s="11" t="str">
        <f>Scenario_Analysis!M215</f>
        <v>EXIT</v>
      </c>
      <c r="I27" s="9">
        <f>Scenario_Analysis!O215</f>
        <v>-9.9668265972684633E-2</v>
      </c>
      <c r="J27" s="11" t="str">
        <f>Scenario_Analysis!Q215</f>
        <v>EXIT</v>
      </c>
      <c r="K27" s="53" t="str">
        <f>Scenario_Analysis!R215</f>
        <v>Stable</v>
      </c>
    </row>
    <row r="28" spans="1:11" x14ac:dyDescent="0.35">
      <c r="A28" s="218" t="str">
        <f>Scenario_Analysis!A218</f>
        <v>b532349fe46b38fbc7bb3914c1bdae07</v>
      </c>
      <c r="B28" t="str">
        <f>Scenario_Analysis!B218</f>
        <v>furniture_decor</v>
      </c>
      <c r="C28" s="9">
        <f>Scenario_Analysis!D218</f>
        <v>-0.13398657278107667</v>
      </c>
      <c r="D28" s="11" t="str">
        <f>Scenario_Analysis!E218</f>
        <v>EXIT</v>
      </c>
      <c r="E28" s="5">
        <f>Scenario_Analysis!G218</f>
        <v>-0.17898658089518046</v>
      </c>
      <c r="F28" s="11" t="str">
        <f>Scenario_Analysis!I218</f>
        <v>EXIT</v>
      </c>
      <c r="G28" s="9">
        <f>Scenario_Analysis!K218</f>
        <v>-0.1438598142519365</v>
      </c>
      <c r="H28" s="11" t="str">
        <f>Scenario_Analysis!M218</f>
        <v>EXIT</v>
      </c>
      <c r="I28" s="9">
        <f>Scenario_Analysis!O218</f>
        <v>-0.19367007661165977</v>
      </c>
      <c r="J28" s="11" t="str">
        <f>Scenario_Analysis!Q218</f>
        <v>EXIT</v>
      </c>
      <c r="K28" s="53" t="str">
        <f>Scenario_Analysis!R218</f>
        <v>Stable</v>
      </c>
    </row>
    <row r="29" spans="1:11" x14ac:dyDescent="0.35">
      <c r="A29" s="218" t="str">
        <f>Scenario_Analysis!A230</f>
        <v>ec2d43cc59763ec91694573b31f1c29a</v>
      </c>
      <c r="B29" t="str">
        <f>Scenario_Analysis!B230</f>
        <v>bed_bath_table</v>
      </c>
      <c r="C29" s="9">
        <f>Scenario_Analysis!D230</f>
        <v>5.8781357237552352E-2</v>
      </c>
      <c r="D29" s="11" t="str">
        <f>Scenario_Analysis!E230</f>
        <v>EXIT</v>
      </c>
      <c r="E29" s="5">
        <f>Scenario_Analysis!G230</f>
        <v>1.3781299018425506E-2</v>
      </c>
      <c r="F29" s="11" t="str">
        <f>Scenario_Analysis!I230</f>
        <v>EXIT</v>
      </c>
      <c r="G29" s="9">
        <f>Scenario_Analysis!K230</f>
        <v>5.0936745750419635E-2</v>
      </c>
      <c r="H29" s="11" t="str">
        <f>Scenario_Analysis!M230</f>
        <v>EXIT</v>
      </c>
      <c r="I29" s="9">
        <f>Scenario_Analysis!O230</f>
        <v>9.2435339342656613E-3</v>
      </c>
      <c r="J29" s="11" t="str">
        <f>Scenario_Analysis!Q230</f>
        <v>EXIT</v>
      </c>
      <c r="K29" s="53" t="str">
        <f>Scenario_Analysis!R230</f>
        <v>Stable</v>
      </c>
    </row>
    <row r="30" spans="1:11" x14ac:dyDescent="0.35">
      <c r="A30" s="218" t="str">
        <f>Scenario_Analysis!A238</f>
        <v>c183fd5d2abf05873fa6e1014ed9e06c</v>
      </c>
      <c r="B30" t="str">
        <f>Scenario_Analysis!B238</f>
        <v>agro_industry_and_commerce</v>
      </c>
      <c r="C30" s="9">
        <f>Scenario_Analysis!D238</f>
        <v>0.52319111650321848</v>
      </c>
      <c r="D30" s="11" t="str">
        <f>Scenario_Analysis!E238</f>
        <v>EXIT</v>
      </c>
      <c r="E30" s="5">
        <f>Scenario_Analysis!G238</f>
        <v>0.47819111650321838</v>
      </c>
      <c r="F30" s="11" t="str">
        <f>Scenario_Analysis!I238</f>
        <v>EXIT</v>
      </c>
      <c r="G30" s="9">
        <f>Scenario_Analysis!K238</f>
        <v>0.5228271492602703</v>
      </c>
      <c r="H30" s="11" t="str">
        <f>Scenario_Analysis!M238</f>
        <v>EXIT</v>
      </c>
      <c r="I30" s="9">
        <f>Scenario_Analysis!O238</f>
        <v>0.49809591210865095</v>
      </c>
      <c r="J30" s="11" t="str">
        <f>Scenario_Analysis!Q238</f>
        <v>EXIT</v>
      </c>
      <c r="K30" s="53" t="str">
        <f>Scenario_Analysis!R238</f>
        <v>Stable</v>
      </c>
    </row>
    <row r="31" spans="1:11" x14ac:dyDescent="0.35">
      <c r="A31" s="218" t="str">
        <f>Scenario_Analysis!A239</f>
        <v>d04857e7b4b708ee8b8b9921163edba3</v>
      </c>
      <c r="B31" t="str">
        <f>Scenario_Analysis!B239</f>
        <v>computers_accessories</v>
      </c>
      <c r="C31" s="9">
        <f>Scenario_Analysis!D239</f>
        <v>2.0928765626159473E-2</v>
      </c>
      <c r="D31" s="11" t="str">
        <f>Scenario_Analysis!E239</f>
        <v>EXIT</v>
      </c>
      <c r="E31" s="5">
        <f>Scenario_Analysis!G239</f>
        <v>-3.6071214134886016E-2</v>
      </c>
      <c r="F31" s="11" t="str">
        <f>Scenario_Analysis!I239</f>
        <v>EXIT</v>
      </c>
      <c r="G31" s="9">
        <f>Scenario_Analysis!K239</f>
        <v>8.1782242341242664E-3</v>
      </c>
      <c r="H31" s="11" t="str">
        <f>Scenario_Analysis!M239</f>
        <v>EXIT</v>
      </c>
      <c r="I31" s="9">
        <f>Scenario_Analysis!O239</f>
        <v>-3.0601299340884867E-2</v>
      </c>
      <c r="J31" s="11" t="str">
        <f>Scenario_Analysis!Q239</f>
        <v>EXIT</v>
      </c>
      <c r="K31" s="53" t="str">
        <f>Scenario_Analysis!R239</f>
        <v>Stable</v>
      </c>
    </row>
    <row r="32" spans="1:11" x14ac:dyDescent="0.35">
      <c r="A32" s="218" t="str">
        <f>Scenario_Analysis!A242</f>
        <v>06edb72f1e0c64b14c5b79353f7abea3</v>
      </c>
      <c r="B32" t="str">
        <f>Scenario_Analysis!B242</f>
        <v>bed_bath_table</v>
      </c>
      <c r="C32" s="9">
        <f>Scenario_Analysis!D242</f>
        <v>-2.3546881992945409E-2</v>
      </c>
      <c r="D32" s="11" t="str">
        <f>Scenario_Analysis!E242</f>
        <v>EXIT</v>
      </c>
      <c r="E32" s="5">
        <f>Scenario_Analysis!G242</f>
        <v>-6.8546942009029763E-2</v>
      </c>
      <c r="F32" s="11" t="str">
        <f>Scenario_Analysis!I242</f>
        <v>EXIT</v>
      </c>
      <c r="G32" s="9">
        <f>Scenario_Analysis!K242</f>
        <v>-3.2374390622401043E-2</v>
      </c>
      <c r="H32" s="11" t="str">
        <f>Scenario_Analysis!M242</f>
        <v>EXIT</v>
      </c>
      <c r="I32" s="9">
        <f>Scenario_Analysis!O242</f>
        <v>-7.7417770518889872E-2</v>
      </c>
      <c r="J32" s="11" t="str">
        <f>Scenario_Analysis!Q242</f>
        <v>EXIT</v>
      </c>
      <c r="K32" s="53" t="str">
        <f>Scenario_Analysis!R242</f>
        <v>Stable</v>
      </c>
    </row>
    <row r="33" spans="1:11" x14ac:dyDescent="0.35">
      <c r="A33" s="218" t="str">
        <f>Scenario_Analysis!A252</f>
        <v>145028037adecb27b1a58cf9597676cc</v>
      </c>
      <c r="B33" t="str">
        <f>Scenario_Analysis!B252</f>
        <v>office_furniture</v>
      </c>
      <c r="C33" s="9">
        <f>Scenario_Analysis!D252</f>
        <v>0.40386860007160763</v>
      </c>
      <c r="D33" s="11" t="str">
        <f>Scenario_Analysis!E252</f>
        <v>EXIT</v>
      </c>
      <c r="E33" s="5">
        <f>Scenario_Analysis!G252</f>
        <v>0.35886860007160759</v>
      </c>
      <c r="F33" s="11" t="str">
        <f>Scenario_Analysis!I252</f>
        <v>EXIT</v>
      </c>
      <c r="G33" s="9">
        <f>Scenario_Analysis!K252</f>
        <v>0.40296634443250989</v>
      </c>
      <c r="H33" s="11" t="str">
        <f>Scenario_Analysis!M252</f>
        <v>EXIT</v>
      </c>
      <c r="I33" s="9">
        <f>Scenario_Analysis!O252</f>
        <v>0.37249326323327114</v>
      </c>
      <c r="J33" s="11" t="str">
        <f>Scenario_Analysis!Q252</f>
        <v>EXIT</v>
      </c>
      <c r="K33" s="53" t="str">
        <f>Scenario_Analysis!R252</f>
        <v>Stable</v>
      </c>
    </row>
    <row r="34" spans="1:11" x14ac:dyDescent="0.35">
      <c r="A34" s="218" t="str">
        <f>Scenario_Analysis!A265</f>
        <v>89b121bee266dcd25688a1ba72eefb61</v>
      </c>
      <c r="B34" t="str">
        <f>Scenario_Analysis!B265</f>
        <v>computers_accessories</v>
      </c>
      <c r="C34" s="9">
        <f>Scenario_Analysis!D265</f>
        <v>0.12382205698299345</v>
      </c>
      <c r="D34" s="11" t="str">
        <f>Scenario_Analysis!E265</f>
        <v>EXIT</v>
      </c>
      <c r="E34" s="5">
        <f>Scenario_Analysis!G265</f>
        <v>6.6822130604431929E-2</v>
      </c>
      <c r="F34" s="11" t="str">
        <f>Scenario_Analysis!I265</f>
        <v>EXIT</v>
      </c>
      <c r="G34" s="9">
        <f>Scenario_Analysis!K265</f>
        <v>0.11255797688286832</v>
      </c>
      <c r="H34" s="11" t="str">
        <f>Scenario_Analysis!M265</f>
        <v>EXIT</v>
      </c>
      <c r="I34" s="9">
        <f>Scenario_Analysis!O265</f>
        <v>7.7707428403151022E-2</v>
      </c>
      <c r="J34" s="11" t="str">
        <f>Scenario_Analysis!Q265</f>
        <v>EXIT</v>
      </c>
      <c r="K34" s="53" t="str">
        <f>Scenario_Analysis!R265</f>
        <v>Stable</v>
      </c>
    </row>
    <row r="35" spans="1:11" x14ac:dyDescent="0.35">
      <c r="A35" s="218" t="str">
        <f>Scenario_Analysis!A266</f>
        <v>5cd07c84a1c25575ac2fc3fa73f1d952</v>
      </c>
      <c r="B35" t="str">
        <f>Scenario_Analysis!B266</f>
        <v>toys</v>
      </c>
      <c r="C35" s="9">
        <f>Scenario_Analysis!D266</f>
        <v>0.5346788346788347</v>
      </c>
      <c r="D35" s="11" t="str">
        <f>Scenario_Analysis!E266</f>
        <v>EXIT</v>
      </c>
      <c r="E35" s="5">
        <f>Scenario_Analysis!G266</f>
        <v>0.49267887162624002</v>
      </c>
      <c r="F35" s="11" t="str">
        <f>Scenario_Analysis!I266</f>
        <v>EXIT</v>
      </c>
      <c r="G35" s="9">
        <f>Scenario_Analysis!K266</f>
        <v>0.53408028671186569</v>
      </c>
      <c r="H35" s="11" t="str">
        <f>Scenario_Analysis!M266</f>
        <v>EXIT</v>
      </c>
      <c r="I35" s="9">
        <f>Scenario_Analysis!O266</f>
        <v>0.51018824703035226</v>
      </c>
      <c r="J35" s="11" t="str">
        <f>Scenario_Analysis!Q266</f>
        <v>EXIT</v>
      </c>
      <c r="K35" s="53" t="str">
        <f>Scenario_Analysis!R266</f>
        <v>Stable</v>
      </c>
    </row>
    <row r="36" spans="1:11" x14ac:dyDescent="0.35">
      <c r="A36" s="218" t="str">
        <f>Scenario_Analysis!A283</f>
        <v>130482add9fd75ccb6c57ba007694a2d</v>
      </c>
      <c r="B36" t="str">
        <f>Scenario_Analysis!B283</f>
        <v>computers_accessories</v>
      </c>
      <c r="C36" s="9">
        <f>Scenario_Analysis!D283</f>
        <v>5.6750242954324501E-2</v>
      </c>
      <c r="D36" s="11" t="str">
        <f>Scenario_Analysis!E283</f>
        <v>EXIT</v>
      </c>
      <c r="E36" s="5">
        <f>Scenario_Analysis!G283</f>
        <v>-2.4975704567556151E-4</v>
      </c>
      <c r="F36" s="11" t="str">
        <f>Scenario_Analysis!I283</f>
        <v>EXIT</v>
      </c>
      <c r="G36" s="9">
        <f>Scenario_Analysis!K283</f>
        <v>4.8178814382896035E-2</v>
      </c>
      <c r="H36" s="11" t="str">
        <f>Scenario_Analysis!M283</f>
        <v>EXIT</v>
      </c>
      <c r="I36" s="9">
        <f>Scenario_Analysis!O283</f>
        <v>7.1055188992889496E-3</v>
      </c>
      <c r="J36" s="11" t="str">
        <f>Scenario_Analysis!Q283</f>
        <v>EXIT</v>
      </c>
      <c r="K36" s="53" t="str">
        <f>Scenario_Analysis!R283</f>
        <v>Stable</v>
      </c>
    </row>
    <row r="37" spans="1:11" x14ac:dyDescent="0.35">
      <c r="A37" s="218" t="str">
        <f>Scenario_Analysis!A286</f>
        <v>63085bb4366ded27bcb63cbb59b4103a</v>
      </c>
      <c r="B37" t="str">
        <f>Scenario_Analysis!B286</f>
        <v>baby</v>
      </c>
      <c r="C37" s="9">
        <f>Scenario_Analysis!D286</f>
        <v>0.4935436580073887</v>
      </c>
      <c r="D37" s="11" t="str">
        <f>Scenario_Analysis!E286</f>
        <v>EXIT</v>
      </c>
      <c r="E37" s="5">
        <f>Scenario_Analysis!G286</f>
        <v>0.45154361891358302</v>
      </c>
      <c r="F37" s="11" t="str">
        <f>Scenario_Analysis!I286</f>
        <v>EXIT</v>
      </c>
      <c r="G37" s="9">
        <f>Scenario_Analysis!K286</f>
        <v>0.49262886295666458</v>
      </c>
      <c r="H37" s="11" t="str">
        <f>Scenario_Analysis!M286</f>
        <v>EXIT</v>
      </c>
      <c r="I37" s="9">
        <f>Scenario_Analysis!O286</f>
        <v>0.46688806106040914</v>
      </c>
      <c r="J37" s="11" t="str">
        <f>Scenario_Analysis!Q286</f>
        <v>EXIT</v>
      </c>
      <c r="K37" s="53" t="str">
        <f>Scenario_Analysis!R286</f>
        <v>Stable</v>
      </c>
    </row>
    <row r="38" spans="1:11" x14ac:dyDescent="0.35">
      <c r="A38" s="218" t="str">
        <f>Scenario_Analysis!A295</f>
        <v>0d85c435fd60b277ffb9e9b0f88f927a</v>
      </c>
      <c r="B38" t="str">
        <f>Scenario_Analysis!B295</f>
        <v>computers_accessories</v>
      </c>
      <c r="C38" s="9">
        <f>Scenario_Analysis!D295</f>
        <v>2.4764489861088968E-2</v>
      </c>
      <c r="D38" s="11" t="str">
        <f>Scenario_Analysis!E295</f>
        <v>EXIT</v>
      </c>
      <c r="E38" s="5">
        <f>Scenario_Analysis!G295</f>
        <v>-3.2235550055883792E-2</v>
      </c>
      <c r="F38" s="11" t="str">
        <f>Scenario_Analysis!I295</f>
        <v>EXIT</v>
      </c>
      <c r="G38" s="9">
        <f>Scenario_Analysis!K295</f>
        <v>1.2011017084464237E-2</v>
      </c>
      <c r="H38" s="11" t="str">
        <f>Scenario_Analysis!M295</f>
        <v>EXIT</v>
      </c>
      <c r="I38" s="9">
        <f>Scenario_Analysis!O295</f>
        <v>-2.6563694883064343E-2</v>
      </c>
      <c r="J38" s="11" t="str">
        <f>Scenario_Analysis!Q295</f>
        <v>EXIT</v>
      </c>
      <c r="K38" s="53" t="str">
        <f>Scenario_Analysis!R295</f>
        <v>Stable</v>
      </c>
    </row>
    <row r="39" spans="1:11" x14ac:dyDescent="0.35">
      <c r="A39" s="218" t="str">
        <f>Scenario_Analysis!A297</f>
        <v>38dcb9ae53c258cfba73583f9454d721</v>
      </c>
      <c r="B39" t="str">
        <f>Scenario_Analysis!B297</f>
        <v>garden_tools</v>
      </c>
      <c r="C39" s="9">
        <f>Scenario_Analysis!D297</f>
        <v>0.5061500000000001</v>
      </c>
      <c r="D39" s="11" t="str">
        <f>Scenario_Analysis!E297</f>
        <v>EXIT</v>
      </c>
      <c r="E39" s="5">
        <f>Scenario_Analysis!G297</f>
        <v>0.46115000000000012</v>
      </c>
      <c r="F39" s="11" t="str">
        <f>Scenario_Analysis!I297</f>
        <v>EXIT</v>
      </c>
      <c r="G39" s="9">
        <f>Scenario_Analysis!K297</f>
        <v>0.50586200000000003</v>
      </c>
      <c r="H39" s="11" t="str">
        <f>Scenario_Analysis!M297</f>
        <v>EXIT</v>
      </c>
      <c r="I39" s="9">
        <f>Scenario_Analysis!O297</f>
        <v>0.48015789473684223</v>
      </c>
      <c r="J39" s="11" t="str">
        <f>Scenario_Analysis!Q297</f>
        <v>EXIT</v>
      </c>
      <c r="K39" s="53" t="str">
        <f>Scenario_Analysis!R297</f>
        <v>Stable</v>
      </c>
    </row>
    <row r="40" spans="1:11" x14ac:dyDescent="0.35">
      <c r="A40" s="218" t="str">
        <f>Scenario_Analysis!A305</f>
        <v>cb460986a447ed00da792526bf6189e4</v>
      </c>
      <c r="B40" t="str">
        <f>Scenario_Analysis!B305</f>
        <v>sports_leisure</v>
      </c>
      <c r="C40" s="9">
        <f>Scenario_Analysis!D305</f>
        <v>0.5535869344694665</v>
      </c>
      <c r="D40" s="11" t="str">
        <f>Scenario_Analysis!E305</f>
        <v>EXIT</v>
      </c>
      <c r="E40" s="5">
        <f>Scenario_Analysis!G305</f>
        <v>0.51158693446946646</v>
      </c>
      <c r="F40" s="11" t="str">
        <f>Scenario_Analysis!I305</f>
        <v>EXIT</v>
      </c>
      <c r="G40" s="9">
        <f>Scenario_Analysis!K305</f>
        <v>0.55336782308784749</v>
      </c>
      <c r="H40" s="11" t="str">
        <f>Scenario_Analysis!M305</f>
        <v>EXIT</v>
      </c>
      <c r="I40" s="9">
        <f>Scenario_Analysis!O305</f>
        <v>0.53009150996785948</v>
      </c>
      <c r="J40" s="11" t="str">
        <f>Scenario_Analysis!Q305</f>
        <v>EXIT</v>
      </c>
      <c r="K40" s="53" t="str">
        <f>Scenario_Analysis!R305</f>
        <v>Stable</v>
      </c>
    </row>
    <row r="41" spans="1:11" x14ac:dyDescent="0.35">
      <c r="A41" s="218" t="str">
        <f>Scenario_Analysis!A315</f>
        <v>038e3a669bb495e56d9d609d874fb668</v>
      </c>
      <c r="B41" t="str">
        <f>Scenario_Analysis!B315</f>
        <v>sports_leisure</v>
      </c>
      <c r="C41" s="9">
        <f>Scenario_Analysis!D315</f>
        <v>0.51161976235146966</v>
      </c>
      <c r="D41" s="11" t="str">
        <f>Scenario_Analysis!E315</f>
        <v>EXIT</v>
      </c>
      <c r="E41" s="5">
        <f>Scenario_Analysis!G315</f>
        <v>0.46961976235146957</v>
      </c>
      <c r="F41" s="11" t="str">
        <f>Scenario_Analysis!I315</f>
        <v>EXIT</v>
      </c>
      <c r="G41" s="9">
        <f>Scenario_Analysis!K315</f>
        <v>0.51139462163852412</v>
      </c>
      <c r="H41" s="11" t="str">
        <f>Scenario_Analysis!M315</f>
        <v>EXIT</v>
      </c>
      <c r="I41" s="9">
        <f>Scenario_Analysis!O315</f>
        <v>0.4859155393173365</v>
      </c>
      <c r="J41" s="11" t="str">
        <f>Scenario_Analysis!Q315</f>
        <v>EXIT</v>
      </c>
      <c r="K41" s="53" t="str">
        <f>Scenario_Analysis!R315</f>
        <v>Stable</v>
      </c>
    </row>
    <row r="42" spans="1:11" x14ac:dyDescent="0.35">
      <c r="A42" s="218" t="str">
        <f>Scenario_Analysis!A316</f>
        <v>e74384c9363e768848854356a37c73f4</v>
      </c>
      <c r="B42" t="str">
        <f>Scenario_Analysis!B316</f>
        <v>consoles_games</v>
      </c>
      <c r="C42" s="9">
        <f>Scenario_Analysis!D316</f>
        <v>0.40930164686262249</v>
      </c>
      <c r="D42" s="11" t="str">
        <f>Scenario_Analysis!E316</f>
        <v>EXIT</v>
      </c>
      <c r="E42" s="5">
        <f>Scenario_Analysis!G316</f>
        <v>0.35230164686262244</v>
      </c>
      <c r="F42" s="11" t="str">
        <f>Scenario_Analysis!I316</f>
        <v>EXIT</v>
      </c>
      <c r="G42" s="9">
        <f>Scenario_Analysis!K316</f>
        <v>0.40907650614967689</v>
      </c>
      <c r="H42" s="11" t="str">
        <f>Scenario_Analysis!M316</f>
        <v>EXIT</v>
      </c>
      <c r="I42" s="9">
        <f>Scenario_Analysis!O316</f>
        <v>0.37821225985539203</v>
      </c>
      <c r="J42" s="11" t="str">
        <f>Scenario_Analysis!Q316</f>
        <v>EXIT</v>
      </c>
      <c r="K42" s="53" t="str">
        <f>Scenario_Analysis!R316</f>
        <v>Stable</v>
      </c>
    </row>
    <row r="43" spans="1:11" x14ac:dyDescent="0.35">
      <c r="A43" s="218" t="str">
        <f>Scenario_Analysis!A325</f>
        <v>3eef0cb94ba82de806bb30ab743c7655</v>
      </c>
      <c r="B43" t="str">
        <f>Scenario_Analysis!B325</f>
        <v>office_furniture</v>
      </c>
      <c r="C43" s="9">
        <f>Scenario_Analysis!D325</f>
        <v>5.5730565618927273E-2</v>
      </c>
      <c r="D43" s="11" t="str">
        <f>Scenario_Analysis!E325</f>
        <v>EXIT</v>
      </c>
      <c r="E43" s="5">
        <f>Scenario_Analysis!G325</f>
        <v>1.0730660567454593E-2</v>
      </c>
      <c r="F43" s="11" t="str">
        <f>Scenario_Analysis!I325</f>
        <v>EXIT</v>
      </c>
      <c r="G43" s="9">
        <f>Scenario_Analysis!K325</f>
        <v>5.1248995128085631E-2</v>
      </c>
      <c r="H43" s="11" t="str">
        <f>Scenario_Analysis!M325</f>
        <v>EXIT</v>
      </c>
      <c r="I43" s="9">
        <f>Scenario_Analysis!O325</f>
        <v>6.0321743357128407E-3</v>
      </c>
      <c r="J43" s="11" t="str">
        <f>Scenario_Analysis!Q325</f>
        <v>EXIT</v>
      </c>
      <c r="K43" s="53" t="str">
        <f>Scenario_Analysis!R325</f>
        <v>Stable</v>
      </c>
    </row>
    <row r="44" spans="1:11" x14ac:dyDescent="0.35">
      <c r="A44" s="218" t="str">
        <f>Scenario_Analysis!A340</f>
        <v>cd48f265a63e13b762601f5f794c5fca</v>
      </c>
      <c r="B44" t="str">
        <f>Scenario_Analysis!B340</f>
        <v>drinks</v>
      </c>
      <c r="C44" s="9">
        <f>Scenario_Analysis!D340</f>
        <v>9.6161946854367908E-2</v>
      </c>
      <c r="D44" s="11" t="str">
        <f>Scenario_Analysis!E340</f>
        <v>EXIT</v>
      </c>
      <c r="E44" s="5">
        <f>Scenario_Analysis!G340</f>
        <v>5.1161892290063855E-2</v>
      </c>
      <c r="F44" s="11" t="str">
        <f>Scenario_Analysis!I340</f>
        <v>EXIT</v>
      </c>
      <c r="G44" s="9">
        <f>Scenario_Analysis!K340</f>
        <v>9.4132154744366231E-2</v>
      </c>
      <c r="H44" s="11" t="str">
        <f>Scenario_Analysis!M340</f>
        <v>EXIT</v>
      </c>
      <c r="I44" s="9">
        <f>Scenario_Analysis!O340</f>
        <v>4.8591523004597674E-2</v>
      </c>
      <c r="J44" s="11" t="str">
        <f>Scenario_Analysis!Q340</f>
        <v>EXIT</v>
      </c>
      <c r="K44" s="53" t="str">
        <f>Scenario_Analysis!R340</f>
        <v>Stable</v>
      </c>
    </row>
    <row r="45" spans="1:11" x14ac:dyDescent="0.35">
      <c r="A45" s="218" t="str">
        <f>Scenario_Analysis!A341</f>
        <v>ada6a9116c85d8e56232e0a4265d7db9</v>
      </c>
      <c r="B45" t="str">
        <f>Scenario_Analysis!B341</f>
        <v>home_appliances_2</v>
      </c>
      <c r="C45" s="9">
        <f>Scenario_Analysis!D341</f>
        <v>0.37748195143294683</v>
      </c>
      <c r="D45" s="11" t="str">
        <f>Scenario_Analysis!E341</f>
        <v>EXIT</v>
      </c>
      <c r="E45" s="5">
        <f>Scenario_Analysis!G341</f>
        <v>0.32048195143294683</v>
      </c>
      <c r="F45" s="11" t="str">
        <f>Scenario_Analysis!I341</f>
        <v>EXIT</v>
      </c>
      <c r="G45" s="9">
        <f>Scenario_Analysis!K341</f>
        <v>0.37732443666593757</v>
      </c>
      <c r="H45" s="11" t="str">
        <f>Scenario_Analysis!M341</f>
        <v>EXIT</v>
      </c>
      <c r="I45" s="9">
        <f>Scenario_Analysis!O341</f>
        <v>0.34471784361362823</v>
      </c>
      <c r="J45" s="11" t="str">
        <f>Scenario_Analysis!Q341</f>
        <v>EXIT</v>
      </c>
      <c r="K45" s="53" t="str">
        <f>Scenario_Analysis!R341</f>
        <v>Stable</v>
      </c>
    </row>
    <row r="46" spans="1:11" x14ac:dyDescent="0.35">
      <c r="A46" s="218" t="str">
        <f>Scenario_Analysis!A353</f>
        <v>9ad75bd7267e5c724cb42c71ac56ca72</v>
      </c>
      <c r="B46" t="str">
        <f>Scenario_Analysis!B353</f>
        <v>bed_bath_table</v>
      </c>
      <c r="C46" s="9">
        <f>Scenario_Analysis!D353</f>
        <v>0.29006874622119727</v>
      </c>
      <c r="D46" s="11" t="str">
        <f>Scenario_Analysis!E353</f>
        <v>EXIT</v>
      </c>
      <c r="E46" s="5">
        <f>Scenario_Analysis!G353</f>
        <v>0.24506863425666756</v>
      </c>
      <c r="F46" s="11" t="str">
        <f>Scenario_Analysis!I353</f>
        <v>EXIT</v>
      </c>
      <c r="G46" s="9">
        <f>Scenario_Analysis!K353</f>
        <v>0.28660232438363531</v>
      </c>
      <c r="H46" s="11" t="str">
        <f>Scenario_Analysis!M353</f>
        <v>EXIT</v>
      </c>
      <c r="I46" s="9">
        <f>Scenario_Analysis!O353</f>
        <v>0.25270394339073399</v>
      </c>
      <c r="J46" s="11" t="str">
        <f>Scenario_Analysis!Q353</f>
        <v>EXIT</v>
      </c>
      <c r="K46" s="53" t="str">
        <f>Scenario_Analysis!R353</f>
        <v>Stable</v>
      </c>
    </row>
    <row r="47" spans="1:11" x14ac:dyDescent="0.35">
      <c r="A47" s="218" t="str">
        <f>Scenario_Analysis!A376</f>
        <v>a56af7192032f295ac582a2d70e4caba</v>
      </c>
      <c r="B47" t="str">
        <f>Scenario_Analysis!B376</f>
        <v>telephony</v>
      </c>
      <c r="C47" s="9">
        <f>Scenario_Analysis!D376</f>
        <v>0.39932103146439568</v>
      </c>
      <c r="D47" s="11" t="str">
        <f>Scenario_Analysis!E376</f>
        <v>EXIT</v>
      </c>
      <c r="E47" s="5">
        <f>Scenario_Analysis!G376</f>
        <v>0.34232103146439558</v>
      </c>
      <c r="F47" s="11" t="str">
        <f>Scenario_Analysis!I376</f>
        <v>EXIT</v>
      </c>
      <c r="G47" s="9">
        <f>Scenario_Analysis!K376</f>
        <v>0.39804352969008755</v>
      </c>
      <c r="H47" s="11" t="str">
        <f>Scenario_Analysis!M376</f>
        <v>EXIT</v>
      </c>
      <c r="I47" s="9">
        <f>Scenario_Analysis!O376</f>
        <v>0.36770634890989001</v>
      </c>
      <c r="J47" s="11" t="str">
        <f>Scenario_Analysis!Q376</f>
        <v>EXIT</v>
      </c>
      <c r="K47" s="53" t="str">
        <f>Scenario_Analysis!R376</f>
        <v>Stable</v>
      </c>
    </row>
    <row r="48" spans="1:11" x14ac:dyDescent="0.35">
      <c r="A48" s="218" t="str">
        <f>Scenario_Analysis!A377</f>
        <v>cda8b19a05af621d957a97a979b6fa9a</v>
      </c>
      <c r="B48" t="str">
        <f>Scenario_Analysis!B377</f>
        <v>baby</v>
      </c>
      <c r="C48" s="9">
        <f>Scenario_Analysis!D377</f>
        <v>0.48141232227488145</v>
      </c>
      <c r="D48" s="11" t="str">
        <f>Scenario_Analysis!E377</f>
        <v>EXIT</v>
      </c>
      <c r="E48" s="5">
        <f>Scenario_Analysis!G377</f>
        <v>0.43941232227488142</v>
      </c>
      <c r="F48" s="11" t="str">
        <f>Scenario_Analysis!I377</f>
        <v>EXIT</v>
      </c>
      <c r="G48" s="9">
        <f>Scenario_Analysis!K377</f>
        <v>0.48124170616113754</v>
      </c>
      <c r="H48" s="11" t="str">
        <f>Scenario_Analysis!M377</f>
        <v>EXIT</v>
      </c>
      <c r="I48" s="9">
        <f>Scenario_Analysis!O377</f>
        <v>0.45411823397355955</v>
      </c>
      <c r="J48" s="11" t="str">
        <f>Scenario_Analysis!Q377</f>
        <v>EXIT</v>
      </c>
      <c r="K48" s="53" t="str">
        <f>Scenario_Analysis!R377</f>
        <v>Stable</v>
      </c>
    </row>
    <row r="49" spans="1:11" x14ac:dyDescent="0.35">
      <c r="A49" s="218" t="str">
        <f>Scenario_Analysis!A393</f>
        <v>e0cf79767c5b016251fe139915c59a26</v>
      </c>
      <c r="B49" t="str">
        <f>Scenario_Analysis!B393</f>
        <v>health_beauty</v>
      </c>
      <c r="C49" s="9">
        <f>Scenario_Analysis!D393</f>
        <v>6.7587823157483504E-2</v>
      </c>
      <c r="D49" s="11" t="str">
        <f>Scenario_Analysis!E393</f>
        <v>EXIT</v>
      </c>
      <c r="E49" s="5">
        <f>Scenario_Analysis!G393</f>
        <v>2.5587725508385516E-2</v>
      </c>
      <c r="F49" s="11" t="str">
        <f>Scenario_Analysis!I393</f>
        <v>EXIT</v>
      </c>
      <c r="G49" s="9">
        <f>Scenario_Analysis!K393</f>
        <v>5.5547689378219356E-2</v>
      </c>
      <c r="H49" s="11" t="str">
        <f>Scenario_Analysis!M393</f>
        <v>EXIT</v>
      </c>
      <c r="I49" s="9">
        <f>Scenario_Analysis!O393</f>
        <v>1.8513498060509052E-2</v>
      </c>
      <c r="J49" s="11" t="str">
        <f>Scenario_Analysis!Q393</f>
        <v>EXIT</v>
      </c>
      <c r="K49" s="53" t="str">
        <f>Scenario_Analysis!R393</f>
        <v>Stable</v>
      </c>
    </row>
    <row r="50" spans="1:11" x14ac:dyDescent="0.35">
      <c r="A50" s="218" t="str">
        <f>Scenario_Analysis!A7</f>
        <v>99a4788cb24856965c36a24e339b6058</v>
      </c>
      <c r="B50" t="str">
        <f>Scenario_Analysis!B7</f>
        <v>bed_bath_table</v>
      </c>
      <c r="C50" s="9">
        <f>Scenario_Analysis!D7</f>
        <v>0.26296232812109188</v>
      </c>
      <c r="D50" s="11" t="str">
        <f>Scenario_Analysis!E7</f>
        <v>OPTIMIZE</v>
      </c>
      <c r="E50" s="5">
        <f>Scenario_Analysis!G7</f>
        <v>0.21796232113438102</v>
      </c>
      <c r="F50" s="11" t="str">
        <f>Scenario_Analysis!I7</f>
        <v>OPTIMIZE</v>
      </c>
      <c r="G50" s="9">
        <f>Scenario_Analysis!K7</f>
        <v>0.25887929432357698</v>
      </c>
      <c r="H50" s="11" t="str">
        <f>Scenario_Analysis!M7</f>
        <v>OPTIMIZE</v>
      </c>
      <c r="I50" s="9">
        <f>Scenario_Analysis!O7</f>
        <v>0.22417087170641242</v>
      </c>
      <c r="J50" s="11" t="str">
        <f>Scenario_Analysis!Q7</f>
        <v>OPTIMIZE</v>
      </c>
      <c r="K50" s="53" t="str">
        <f>Scenario_Analysis!R7</f>
        <v>Stable</v>
      </c>
    </row>
    <row r="51" spans="1:11" x14ac:dyDescent="0.35">
      <c r="A51" s="218" t="str">
        <f>Scenario_Analysis!A8</f>
        <v>3dd2a17168ec895c781a9191c1e95ad7</v>
      </c>
      <c r="B51" t="str">
        <f>Scenario_Analysis!B8</f>
        <v>computers_accessories</v>
      </c>
      <c r="C51" s="9">
        <f>Scenario_Analysis!D8</f>
        <v>0.17337753696212022</v>
      </c>
      <c r="D51" s="11" t="str">
        <f>Scenario_Analysis!E8</f>
        <v>OPTIMIZE</v>
      </c>
      <c r="E51" s="5">
        <f>Scenario_Analysis!G8</f>
        <v>0.1163775418303612</v>
      </c>
      <c r="F51" s="11" t="str">
        <f>Scenario_Analysis!I8</f>
        <v>OPTIMIZE</v>
      </c>
      <c r="G51" s="9">
        <f>Scenario_Analysis!K8</f>
        <v>0.16737499574028911</v>
      </c>
      <c r="H51" s="11" t="str">
        <f>Scenario_Analysis!M8</f>
        <v>OPTIMIZE</v>
      </c>
      <c r="I51" s="9">
        <f>Scenario_Analysis!O8</f>
        <v>0.12987109153907381</v>
      </c>
      <c r="J51" s="11" t="str">
        <f>Scenario_Analysis!Q8</f>
        <v>OPTIMIZE</v>
      </c>
      <c r="K51" s="53" t="str">
        <f>Scenario_Analysis!R8</f>
        <v>Stable</v>
      </c>
    </row>
    <row r="52" spans="1:11" x14ac:dyDescent="0.35">
      <c r="A52" s="218" t="str">
        <f>Scenario_Analysis!A12</f>
        <v>aca2eb7d00ea1a7b8ebd4e68314663af</v>
      </c>
      <c r="B52" t="str">
        <f>Scenario_Analysis!B12</f>
        <v>furniture_decor</v>
      </c>
      <c r="C52" s="9">
        <f>Scenario_Analysis!D12</f>
        <v>0.16853218254189836</v>
      </c>
      <c r="D52" s="11" t="str">
        <f>Scenario_Analysis!E12</f>
        <v>OPTIMIZE</v>
      </c>
      <c r="E52" s="5">
        <f>Scenario_Analysis!G12</f>
        <v>0.12353216924717286</v>
      </c>
      <c r="F52" s="11" t="str">
        <f>Scenario_Analysis!I12</f>
        <v>OPTIMIZE</v>
      </c>
      <c r="G52" s="9">
        <f>Scenario_Analysis!K12</f>
        <v>0.16348763191691329</v>
      </c>
      <c r="H52" s="11" t="str">
        <f>Scenario_Analysis!M12</f>
        <v>OPTIMIZE</v>
      </c>
      <c r="I52" s="9">
        <f>Scenario_Analysis!O12</f>
        <v>0.12477071846515617</v>
      </c>
      <c r="J52" s="11" t="str">
        <f>Scenario_Analysis!Q12</f>
        <v>OPTIMIZE</v>
      </c>
      <c r="K52" s="53" t="str">
        <f>Scenario_Analysis!R12</f>
        <v>Stable</v>
      </c>
    </row>
    <row r="53" spans="1:11" x14ac:dyDescent="0.35">
      <c r="A53" s="218" t="str">
        <f>Scenario_Analysis!A13</f>
        <v>e0d64dcfaa3b6db5c54ca298ae101d05</v>
      </c>
      <c r="B53" t="str">
        <f>Scenario_Analysis!B13</f>
        <v>watches_gifts</v>
      </c>
      <c r="C53" s="9">
        <f>Scenario_Analysis!D13</f>
        <v>0.43537698958247473</v>
      </c>
      <c r="D53" s="11" t="str">
        <f>Scenario_Analysis!E13</f>
        <v>OPTIMIZE</v>
      </c>
      <c r="E53" s="5">
        <f>Scenario_Analysis!G13</f>
        <v>0.3933770034246899</v>
      </c>
      <c r="F53" s="11" t="str">
        <f>Scenario_Analysis!I13</f>
        <v>OPTIMIZE</v>
      </c>
      <c r="G53" s="9">
        <f>Scenario_Analysis!K13</f>
        <v>0.43317985253007379</v>
      </c>
      <c r="H53" s="11" t="str">
        <f>Scenario_Analysis!M13</f>
        <v>OPTIMIZE</v>
      </c>
      <c r="I53" s="9">
        <f>Scenario_Analysis!O13</f>
        <v>0.40565998903418393</v>
      </c>
      <c r="J53" s="11" t="str">
        <f>Scenario_Analysis!Q13</f>
        <v>OPTIMIZE</v>
      </c>
      <c r="K53" s="53" t="str">
        <f>Scenario_Analysis!R13</f>
        <v>Stable</v>
      </c>
    </row>
    <row r="54" spans="1:11" x14ac:dyDescent="0.35">
      <c r="A54" s="218" t="str">
        <f>Scenario_Analysis!A14</f>
        <v>d285360f29ac7fd97640bf0baef03de0</v>
      </c>
      <c r="B54" t="str">
        <f>Scenario_Analysis!B14</f>
        <v>watches_gifts</v>
      </c>
      <c r="C54" s="9">
        <f>Scenario_Analysis!D14</f>
        <v>0.49654896105181512</v>
      </c>
      <c r="D54" s="11" t="str">
        <f>Scenario_Analysis!E14</f>
        <v>OPTIMIZE</v>
      </c>
      <c r="E54" s="5">
        <f>Scenario_Analysis!G14</f>
        <v>0.45454896168424996</v>
      </c>
      <c r="F54" s="11" t="str">
        <f>Scenario_Analysis!I14</f>
        <v>OPTIMIZE</v>
      </c>
      <c r="G54" s="9">
        <f>Scenario_Analysis!K14</f>
        <v>0.49514875026127464</v>
      </c>
      <c r="H54" s="11" t="str">
        <f>Scenario_Analysis!M14</f>
        <v>OPTIMIZE</v>
      </c>
      <c r="I54" s="9">
        <f>Scenario_Analysis!O14</f>
        <v>0.47005153794927906</v>
      </c>
      <c r="J54" s="11" t="str">
        <f>Scenario_Analysis!Q14</f>
        <v>OPTIMIZE</v>
      </c>
      <c r="K54" s="53" t="str">
        <f>Scenario_Analysis!R14</f>
        <v>Stable</v>
      </c>
    </row>
    <row r="55" spans="1:11" x14ac:dyDescent="0.35">
      <c r="A55" s="218" t="str">
        <f>Scenario_Analysis!A21</f>
        <v>a62e25e09e05e6faf31d90c6ec1aa3d1</v>
      </c>
      <c r="B55" t="str">
        <f>Scenario_Analysis!B21</f>
        <v>watches_gifts</v>
      </c>
      <c r="C55" s="9">
        <f>Scenario_Analysis!D21</f>
        <v>0.374479388547801</v>
      </c>
      <c r="D55" s="11" t="str">
        <f>Scenario_Analysis!E21</f>
        <v>OPTIMIZE</v>
      </c>
      <c r="E55" s="5">
        <f>Scenario_Analysis!G21</f>
        <v>0.33247938854780096</v>
      </c>
      <c r="F55" s="11" t="str">
        <f>Scenario_Analysis!I21</f>
        <v>OPTIMIZE</v>
      </c>
      <c r="G55" s="9">
        <f>Scenario_Analysis!K21</f>
        <v>0.37109635384037087</v>
      </c>
      <c r="H55" s="11" t="str">
        <f>Scenario_Analysis!M21</f>
        <v>OPTIMIZE</v>
      </c>
      <c r="I55" s="9">
        <f>Scenario_Analysis!O21</f>
        <v>0.34155725110294838</v>
      </c>
      <c r="J55" s="11" t="str">
        <f>Scenario_Analysis!Q21</f>
        <v>OPTIMIZE</v>
      </c>
      <c r="K55" s="53" t="str">
        <f>Scenario_Analysis!R21</f>
        <v>Stable</v>
      </c>
    </row>
    <row r="56" spans="1:11" x14ac:dyDescent="0.35">
      <c r="A56" s="218" t="str">
        <f>Scenario_Analysis!A27</f>
        <v>461f43be3bdf8844e65b62d9ac2c7a5a</v>
      </c>
      <c r="B56" t="str">
        <f>Scenario_Analysis!B27</f>
        <v>watches_gifts</v>
      </c>
      <c r="C56" s="9">
        <f>Scenario_Analysis!D27</f>
        <v>0.4150346570376075</v>
      </c>
      <c r="D56" s="11" t="str">
        <f>Scenario_Analysis!E27</f>
        <v>OPTIMIZE</v>
      </c>
      <c r="E56" s="5">
        <f>Scenario_Analysis!G27</f>
        <v>0.37303466869192864</v>
      </c>
      <c r="F56" s="11" t="str">
        <f>Scenario_Analysis!I27</f>
        <v>OPTIMIZE</v>
      </c>
      <c r="G56" s="9">
        <f>Scenario_Analysis!K27</f>
        <v>0.41248236069929817</v>
      </c>
      <c r="H56" s="11" t="str">
        <f>Scenario_Analysis!M27</f>
        <v>OPTIMIZE</v>
      </c>
      <c r="I56" s="9">
        <f>Scenario_Analysis!O27</f>
        <v>0.38424700740800788</v>
      </c>
      <c r="J56" s="11" t="str">
        <f>Scenario_Analysis!Q27</f>
        <v>OPTIMIZE</v>
      </c>
      <c r="K56" s="53" t="str">
        <f>Scenario_Analysis!R27</f>
        <v>Stable</v>
      </c>
    </row>
    <row r="57" spans="1:11" x14ac:dyDescent="0.35">
      <c r="A57" s="218" t="str">
        <f>Scenario_Analysis!A28</f>
        <v>52c80cedd4e90108bf4fa6a206ef6b03</v>
      </c>
      <c r="B57" t="str">
        <f>Scenario_Analysis!B28</f>
        <v>garden_tools</v>
      </c>
      <c r="C57" s="9">
        <f>Scenario_Analysis!D28</f>
        <v>0.2005009865551369</v>
      </c>
      <c r="D57" s="11" t="str">
        <f>Scenario_Analysis!E28</f>
        <v>OPTIMIZE</v>
      </c>
      <c r="E57" s="5">
        <f>Scenario_Analysis!G28</f>
        <v>0.15550099631334791</v>
      </c>
      <c r="F57" s="11" t="str">
        <f>Scenario_Analysis!I28</f>
        <v>OPTIMIZE</v>
      </c>
      <c r="G57" s="9">
        <f>Scenario_Analysis!K28</f>
        <v>0.19842834252882097</v>
      </c>
      <c r="H57" s="11" t="str">
        <f>Scenario_Analysis!M28</f>
        <v>OPTIMIZE</v>
      </c>
      <c r="I57" s="9">
        <f>Scenario_Analysis!O28</f>
        <v>0.15842209111067035</v>
      </c>
      <c r="J57" s="11" t="str">
        <f>Scenario_Analysis!Q28</f>
        <v>OPTIMIZE</v>
      </c>
      <c r="K57" s="53" t="str">
        <f>Scenario_Analysis!R28</f>
        <v>Stable</v>
      </c>
    </row>
    <row r="58" spans="1:11" x14ac:dyDescent="0.35">
      <c r="A58" s="218" t="str">
        <f>Scenario_Analysis!A33</f>
        <v>19c91ef95d509ea33eda93495c4d3481</v>
      </c>
      <c r="B58" t="str">
        <f>Scenario_Analysis!B33</f>
        <v>health_beauty</v>
      </c>
      <c r="C58" s="9">
        <f>Scenario_Analysis!D33</f>
        <v>0.24812329004989017</v>
      </c>
      <c r="D58" s="11" t="str">
        <f>Scenario_Analysis!E33</f>
        <v>OPTIMIZE</v>
      </c>
      <c r="E58" s="5">
        <f>Scenario_Analysis!G33</f>
        <v>0.20612331546091348</v>
      </c>
      <c r="F58" s="11" t="str">
        <f>Scenario_Analysis!I33</f>
        <v>OPTIMIZE</v>
      </c>
      <c r="G58" s="9">
        <f>Scenario_Analysis!K33</f>
        <v>0.24515020032356691</v>
      </c>
      <c r="H58" s="11" t="str">
        <f>Scenario_Analysis!M33</f>
        <v>OPTIMIZE</v>
      </c>
      <c r="I58" s="9">
        <f>Scenario_Analysis!O33</f>
        <v>0.20855083163146326</v>
      </c>
      <c r="J58" s="11" t="str">
        <f>Scenario_Analysis!Q33</f>
        <v>OPTIMIZE</v>
      </c>
      <c r="K58" s="53" t="str">
        <f>Scenario_Analysis!R33</f>
        <v>Stable</v>
      </c>
    </row>
    <row r="59" spans="1:11" x14ac:dyDescent="0.35">
      <c r="A59" s="218" t="str">
        <f>Scenario_Analysis!A35</f>
        <v>165f86fe8b799a708a20ee4ba125c289</v>
      </c>
      <c r="B59" t="str">
        <f>Scenario_Analysis!B35</f>
        <v>cool_stuff</v>
      </c>
      <c r="C59" s="9">
        <f>Scenario_Analysis!D35</f>
        <v>0.37815009362998686</v>
      </c>
      <c r="D59" s="11" t="str">
        <f>Scenario_Analysis!E35</f>
        <v>OPTIMIZE</v>
      </c>
      <c r="E59" s="5">
        <f>Scenario_Analysis!G35</f>
        <v>0.33315011630068586</v>
      </c>
      <c r="F59" s="11" t="str">
        <f>Scenario_Analysis!I35</f>
        <v>OPTIMIZE</v>
      </c>
      <c r="G59" s="9">
        <f>Scenario_Analysis!K35</f>
        <v>0.375946501684433</v>
      </c>
      <c r="H59" s="11" t="str">
        <f>Scenario_Analysis!M35</f>
        <v>OPTIMIZE</v>
      </c>
      <c r="I59" s="9">
        <f>Scenario_Analysis!O35</f>
        <v>0.34542115118945987</v>
      </c>
      <c r="J59" s="11" t="str">
        <f>Scenario_Analysis!Q35</f>
        <v>OPTIMIZE</v>
      </c>
      <c r="K59" s="53" t="str">
        <f>Scenario_Analysis!R35</f>
        <v>Stable</v>
      </c>
    </row>
    <row r="60" spans="1:11" x14ac:dyDescent="0.35">
      <c r="A60" s="218" t="str">
        <f>Scenario_Analysis!A37</f>
        <v>e7cc48a9daff5436f63d3aad9426f28b</v>
      </c>
      <c r="B60" t="str">
        <f>Scenario_Analysis!B37</f>
        <v>telephony</v>
      </c>
      <c r="C60" s="9">
        <f>Scenario_Analysis!D37</f>
        <v>0.25986433152442029</v>
      </c>
      <c r="D60" s="11" t="str">
        <f>Scenario_Analysis!E37</f>
        <v>OPTIMIZE</v>
      </c>
      <c r="E60" s="5">
        <f>Scenario_Analysis!G37</f>
        <v>0.20286433152442013</v>
      </c>
      <c r="F60" s="11" t="str">
        <f>Scenario_Analysis!I37</f>
        <v>OPTIMIZE</v>
      </c>
      <c r="G60" s="9">
        <f>Scenario_Analysis!K37</f>
        <v>0.25470276270350273</v>
      </c>
      <c r="H60" s="11" t="str">
        <f>Scenario_Analysis!M37</f>
        <v>OPTIMIZE</v>
      </c>
      <c r="I60" s="9">
        <f>Scenario_Analysis!O37</f>
        <v>0.2209098226572844</v>
      </c>
      <c r="J60" s="11" t="str">
        <f>Scenario_Analysis!Q37</f>
        <v>OPTIMIZE</v>
      </c>
      <c r="K60" s="53" t="str">
        <f>Scenario_Analysis!R37</f>
        <v>Stable</v>
      </c>
    </row>
    <row r="61" spans="1:11" x14ac:dyDescent="0.35">
      <c r="A61" s="218" t="str">
        <f>Scenario_Analysis!A38</f>
        <v>a04087ab6a96ffa041f8a2701a72b616</v>
      </c>
      <c r="B61" t="str">
        <f>Scenario_Analysis!B38</f>
        <v>computers</v>
      </c>
      <c r="C61" s="9">
        <f>Scenario_Analysis!D38</f>
        <v>0.30875894836870443</v>
      </c>
      <c r="D61" s="11" t="str">
        <f>Scenario_Analysis!E38</f>
        <v>OPTIMIZE</v>
      </c>
      <c r="E61" s="5">
        <f>Scenario_Analysis!G38</f>
        <v>0.25175894836870438</v>
      </c>
      <c r="F61" s="11" t="str">
        <f>Scenario_Analysis!I38</f>
        <v>OPTIMIZE</v>
      </c>
      <c r="G61" s="9">
        <f>Scenario_Analysis!K38</f>
        <v>0.30733354450427619</v>
      </c>
      <c r="H61" s="11" t="str">
        <f>Scenario_Analysis!M38</f>
        <v>OPTIMIZE</v>
      </c>
      <c r="I61" s="9">
        <f>Scenario_Analysis!O38</f>
        <v>0.27237784038810992</v>
      </c>
      <c r="J61" s="11" t="str">
        <f>Scenario_Analysis!Q38</f>
        <v>OPTIMIZE</v>
      </c>
      <c r="K61" s="53" t="str">
        <f>Scenario_Analysis!R38</f>
        <v>Stable</v>
      </c>
    </row>
    <row r="62" spans="1:11" x14ac:dyDescent="0.35">
      <c r="A62" s="218" t="str">
        <f>Scenario_Analysis!A41</f>
        <v>d5991653e037ccb7af6ed7d94246b249</v>
      </c>
      <c r="B62" t="str">
        <f>Scenario_Analysis!B41</f>
        <v>computers_accessories</v>
      </c>
      <c r="C62" s="9">
        <f>Scenario_Analysis!D41</f>
        <v>0.17501796606894465</v>
      </c>
      <c r="D62" s="11" t="str">
        <f>Scenario_Analysis!E41</f>
        <v>OPTIMIZE</v>
      </c>
      <c r="E62" s="5">
        <f>Scenario_Analysis!G41</f>
        <v>0.11801794886386932</v>
      </c>
      <c r="F62" s="11" t="str">
        <f>Scenario_Analysis!I41</f>
        <v>OPTIMIZE</v>
      </c>
      <c r="G62" s="9">
        <f>Scenario_Analysis!K41</f>
        <v>0.16888369501489564</v>
      </c>
      <c r="H62" s="11" t="str">
        <f>Scenario_Analysis!M41</f>
        <v>OPTIMIZE</v>
      </c>
      <c r="I62" s="9">
        <f>Scenario_Analysis!O41</f>
        <v>0.13159785901994173</v>
      </c>
      <c r="J62" s="11" t="str">
        <f>Scenario_Analysis!Q41</f>
        <v>OPTIMIZE</v>
      </c>
      <c r="K62" s="53" t="str">
        <f>Scenario_Analysis!R41</f>
        <v>Stable</v>
      </c>
    </row>
    <row r="63" spans="1:11" x14ac:dyDescent="0.35">
      <c r="A63" s="218" t="str">
        <f>Scenario_Analysis!A45</f>
        <v>7814c273ab16783d73a9863ebfa8b141</v>
      </c>
      <c r="B63" t="str">
        <f>Scenario_Analysis!B45</f>
        <v>furniture_decor</v>
      </c>
      <c r="C63" s="9">
        <f>Scenario_Analysis!D45</f>
        <v>0.25123206065529385</v>
      </c>
      <c r="D63" s="11" t="str">
        <f>Scenario_Analysis!E45</f>
        <v>OPTIMIZE</v>
      </c>
      <c r="E63" s="5">
        <f>Scenario_Analysis!G45</f>
        <v>0.20623206065529381</v>
      </c>
      <c r="F63" s="11" t="str">
        <f>Scenario_Analysis!I45</f>
        <v>OPTIMIZE</v>
      </c>
      <c r="G63" s="9">
        <f>Scenario_Analysis!K45</f>
        <v>0.24972109396154896</v>
      </c>
      <c r="H63" s="11" t="str">
        <f>Scenario_Analysis!M45</f>
        <v>OPTIMIZE</v>
      </c>
      <c r="I63" s="9">
        <f>Scenario_Analysis!O45</f>
        <v>0.21182322174241455</v>
      </c>
      <c r="J63" s="11" t="str">
        <f>Scenario_Analysis!Q45</f>
        <v>OPTIMIZE</v>
      </c>
      <c r="K63" s="53" t="str">
        <f>Scenario_Analysis!R45</f>
        <v>Stable</v>
      </c>
    </row>
    <row r="64" spans="1:11" x14ac:dyDescent="0.35">
      <c r="A64" s="218" t="str">
        <f>Scenario_Analysis!A49</f>
        <v>35afc973633aaeb6b877ff57b2793310</v>
      </c>
      <c r="B64" t="str">
        <f>Scenario_Analysis!B49</f>
        <v>home_confort</v>
      </c>
      <c r="C64" s="9">
        <f>Scenario_Analysis!D49</f>
        <v>0.26926265922626957</v>
      </c>
      <c r="D64" s="11" t="str">
        <f>Scenario_Analysis!E49</f>
        <v>OPTIMIZE</v>
      </c>
      <c r="E64" s="5">
        <f>Scenario_Analysis!G49</f>
        <v>0.22426266267814249</v>
      </c>
      <c r="F64" s="11" t="str">
        <f>Scenario_Analysis!I49</f>
        <v>OPTIMIZE</v>
      </c>
      <c r="G64" s="9">
        <f>Scenario_Analysis!K49</f>
        <v>0.26516183415959665</v>
      </c>
      <c r="H64" s="11" t="str">
        <f>Scenario_Analysis!M49</f>
        <v>OPTIMIZE</v>
      </c>
      <c r="I64" s="9">
        <f>Scenario_Analysis!O49</f>
        <v>0.23080279918554689</v>
      </c>
      <c r="J64" s="11" t="str">
        <f>Scenario_Analysis!Q49</f>
        <v>OPTIMIZE</v>
      </c>
      <c r="K64" s="53" t="str">
        <f>Scenario_Analysis!R49</f>
        <v>Stable</v>
      </c>
    </row>
    <row r="65" spans="1:11" x14ac:dyDescent="0.35">
      <c r="A65" s="218" t="str">
        <f>Scenario_Analysis!A51</f>
        <v>7c1bd920dbdf22470b68bde975dd3ccf</v>
      </c>
      <c r="B65" t="str">
        <f>Scenario_Analysis!B51</f>
        <v>health_beauty</v>
      </c>
      <c r="C65" s="9">
        <f>Scenario_Analysis!D51</f>
        <v>0.2225282313226877</v>
      </c>
      <c r="D65" s="11" t="str">
        <f>Scenario_Analysis!E51</f>
        <v>OPTIMIZE</v>
      </c>
      <c r="E65" s="5">
        <f>Scenario_Analysis!G51</f>
        <v>0.18052822988038239</v>
      </c>
      <c r="F65" s="11" t="str">
        <f>Scenario_Analysis!I51</f>
        <v>OPTIMIZE</v>
      </c>
      <c r="G65" s="9">
        <f>Scenario_Analysis!K51</f>
        <v>0.21653112602935529</v>
      </c>
      <c r="H65" s="11" t="str">
        <f>Scenario_Analysis!M51</f>
        <v>OPTIMIZE</v>
      </c>
      <c r="I65" s="9">
        <f>Scenario_Analysis!O51</f>
        <v>0.18160866455019753</v>
      </c>
      <c r="J65" s="11" t="str">
        <f>Scenario_Analysis!Q51</f>
        <v>OPTIMIZE</v>
      </c>
      <c r="K65" s="53" t="str">
        <f>Scenario_Analysis!R51</f>
        <v>Stable</v>
      </c>
    </row>
    <row r="66" spans="1:11" x14ac:dyDescent="0.35">
      <c r="A66" s="218" t="str">
        <f>Scenario_Analysis!A59</f>
        <v>13db47eae724e2848e12b71a617a3a41</v>
      </c>
      <c r="B66" t="str">
        <f>Scenario_Analysis!B59</f>
        <v>audio</v>
      </c>
      <c r="C66" s="9">
        <f>Scenario_Analysis!D59</f>
        <v>0.37218735207982973</v>
      </c>
      <c r="D66" s="11" t="str">
        <f>Scenario_Analysis!E59</f>
        <v>OPTIMIZE</v>
      </c>
      <c r="E66" s="5">
        <f>Scenario_Analysis!G59</f>
        <v>0.31518735592815927</v>
      </c>
      <c r="F66" s="11" t="str">
        <f>Scenario_Analysis!I59</f>
        <v>OPTIMIZE</v>
      </c>
      <c r="G66" s="9">
        <f>Scenario_Analysis!K59</f>
        <v>0.37038633381180902</v>
      </c>
      <c r="H66" s="11" t="str">
        <f>Scenario_Analysis!M59</f>
        <v>OPTIMIZE</v>
      </c>
      <c r="I66" s="9">
        <f>Scenario_Analysis!O59</f>
        <v>0.3391445811366629</v>
      </c>
      <c r="J66" s="11" t="str">
        <f>Scenario_Analysis!Q59</f>
        <v>OPTIMIZE</v>
      </c>
      <c r="K66" s="53" t="str">
        <f>Scenario_Analysis!R59</f>
        <v>Stable</v>
      </c>
    </row>
    <row r="67" spans="1:11" x14ac:dyDescent="0.35">
      <c r="A67" s="218" t="str">
        <f>Scenario_Analysis!A60</f>
        <v>8ed094bfe076c568f6bb10feada3f75d</v>
      </c>
      <c r="B67" t="str">
        <f>Scenario_Analysis!B60</f>
        <v>office_furniture</v>
      </c>
      <c r="C67" s="9">
        <f>Scenario_Analysis!D60</f>
        <v>0.17230512802490749</v>
      </c>
      <c r="D67" s="11" t="str">
        <f>Scenario_Analysis!E60</f>
        <v>OPTIMIZE</v>
      </c>
      <c r="E67" s="5">
        <f>Scenario_Analysis!G60</f>
        <v>0.12730513188677911</v>
      </c>
      <c r="F67" s="11" t="str">
        <f>Scenario_Analysis!I60</f>
        <v>OPTIMIZE</v>
      </c>
      <c r="G67" s="9">
        <f>Scenario_Analysis!K60</f>
        <v>0.17035874470633947</v>
      </c>
      <c r="H67" s="11" t="str">
        <f>Scenario_Analysis!M60</f>
        <v>OPTIMIZE</v>
      </c>
      <c r="I67" s="9">
        <f>Scenario_Analysis!O60</f>
        <v>0.12874224002621831</v>
      </c>
      <c r="J67" s="11" t="str">
        <f>Scenario_Analysis!Q60</f>
        <v>OPTIMIZE</v>
      </c>
      <c r="K67" s="53" t="str">
        <f>Scenario_Analysis!R60</f>
        <v>Stable</v>
      </c>
    </row>
    <row r="68" spans="1:11" x14ac:dyDescent="0.35">
      <c r="A68" s="218" t="str">
        <f>Scenario_Analysis!A63</f>
        <v>44fc450365728c413fefc547592626be</v>
      </c>
      <c r="B68" t="str">
        <f>Scenario_Analysis!B63</f>
        <v>small_appliances</v>
      </c>
      <c r="C68" s="9">
        <f>Scenario_Analysis!D63</f>
        <v>0.39280262746324685</v>
      </c>
      <c r="D68" s="11" t="str">
        <f>Scenario_Analysis!E63</f>
        <v>OPTIMIZE</v>
      </c>
      <c r="E68" s="5">
        <f>Scenario_Analysis!G63</f>
        <v>0.33580262746324679</v>
      </c>
      <c r="F68" s="11" t="str">
        <f>Scenario_Analysis!I63</f>
        <v>OPTIMIZE</v>
      </c>
      <c r="G68" s="9">
        <f>Scenario_Analysis!K63</f>
        <v>0.39238035658429787</v>
      </c>
      <c r="H68" s="11" t="str">
        <f>Scenario_Analysis!M63</f>
        <v>OPTIMIZE</v>
      </c>
      <c r="I68" s="9">
        <f>Scenario_Analysis!O63</f>
        <v>0.36084487101394397</v>
      </c>
      <c r="J68" s="11" t="str">
        <f>Scenario_Analysis!Q63</f>
        <v>OPTIMIZE</v>
      </c>
      <c r="K68" s="53" t="str">
        <f>Scenario_Analysis!R63</f>
        <v>Stable</v>
      </c>
    </row>
    <row r="69" spans="1:11" x14ac:dyDescent="0.35">
      <c r="A69" s="218" t="str">
        <f>Scenario_Analysis!A66</f>
        <v>a92930c327948861c015c919a0bcb4a8</v>
      </c>
      <c r="B69" t="str">
        <f>Scenario_Analysis!B66</f>
        <v>watches_gifts</v>
      </c>
      <c r="C69" s="9">
        <f>Scenario_Analysis!D66</f>
        <v>0.3110517034068136</v>
      </c>
      <c r="D69" s="11" t="str">
        <f>Scenario_Analysis!E66</f>
        <v>OPTIMIZE</v>
      </c>
      <c r="E69" s="5">
        <f>Scenario_Analysis!G66</f>
        <v>0.2690517034068135</v>
      </c>
      <c r="F69" s="11" t="str">
        <f>Scenario_Analysis!I66</f>
        <v>OPTIMIZE</v>
      </c>
      <c r="G69" s="9">
        <f>Scenario_Analysis!K66</f>
        <v>0.30643446893787568</v>
      </c>
      <c r="H69" s="11" t="str">
        <f>Scenario_Analysis!M66</f>
        <v>OPTIMIZE</v>
      </c>
      <c r="I69" s="9">
        <f>Scenario_Analysis!O66</f>
        <v>0.27479126674401427</v>
      </c>
      <c r="J69" s="11" t="str">
        <f>Scenario_Analysis!Q66</f>
        <v>OPTIMIZE</v>
      </c>
      <c r="K69" s="53" t="str">
        <f>Scenario_Analysis!R66</f>
        <v>Stable</v>
      </c>
    </row>
    <row r="70" spans="1:11" x14ac:dyDescent="0.35">
      <c r="A70" s="218" t="str">
        <f>Scenario_Analysis!A67</f>
        <v>4298b7e67dc399c200662b569563a2b2</v>
      </c>
      <c r="B70" t="str">
        <f>Scenario_Analysis!B67</f>
        <v>computers_accessories</v>
      </c>
      <c r="C70" s="9">
        <f>Scenario_Analysis!D67</f>
        <v>0.21348440363996174</v>
      </c>
      <c r="D70" s="11" t="str">
        <f>Scenario_Analysis!E67</f>
        <v>OPTIMIZE</v>
      </c>
      <c r="E70" s="5">
        <f>Scenario_Analysis!G67</f>
        <v>0.15648437119823513</v>
      </c>
      <c r="F70" s="11" t="str">
        <f>Scenario_Analysis!I67</f>
        <v>OPTIMIZE</v>
      </c>
      <c r="G70" s="9">
        <f>Scenario_Analysis!K67</f>
        <v>0.20713393566805618</v>
      </c>
      <c r="H70" s="11" t="str">
        <f>Scenario_Analysis!M67</f>
        <v>OPTIMIZE</v>
      </c>
      <c r="I70" s="9">
        <f>Scenario_Analysis!O67</f>
        <v>0.17208884593680185</v>
      </c>
      <c r="J70" s="11" t="str">
        <f>Scenario_Analysis!Q67</f>
        <v>OPTIMIZE</v>
      </c>
      <c r="K70" s="53" t="str">
        <f>Scenario_Analysis!R67</f>
        <v>Stable</v>
      </c>
    </row>
    <row r="71" spans="1:11" x14ac:dyDescent="0.35">
      <c r="A71" s="218" t="str">
        <f>Scenario_Analysis!A68</f>
        <v>656e0eca68dcecf6a31b8ececfabe3e8</v>
      </c>
      <c r="B71" t="str">
        <f>Scenario_Analysis!B68</f>
        <v>computers_accessories</v>
      </c>
      <c r="C71" s="9">
        <f>Scenario_Analysis!D68</f>
        <v>0.13097870203570211</v>
      </c>
      <c r="D71" s="11" t="str">
        <f>Scenario_Analysis!E68</f>
        <v>OPTIMIZE</v>
      </c>
      <c r="E71" s="5">
        <f>Scenario_Analysis!G68</f>
        <v>7.3978715849192328E-2</v>
      </c>
      <c r="F71" s="11" t="str">
        <f>Scenario_Analysis!I68</f>
        <v>EXIT</v>
      </c>
      <c r="G71" s="9">
        <f>Scenario_Analysis!K68</f>
        <v>0.1208135983248298</v>
      </c>
      <c r="H71" s="11" t="str">
        <f>Scenario_Analysis!M68</f>
        <v>OPTIMIZE</v>
      </c>
      <c r="I71" s="9">
        <f>Scenario_Analysis!O68</f>
        <v>8.5240738984949563E-2</v>
      </c>
      <c r="J71" s="11" t="str">
        <f>Scenario_Analysis!Q68</f>
        <v>EXIT</v>
      </c>
      <c r="K71" s="53" t="str">
        <f>Scenario_Analysis!R68</f>
        <v>Decision changes</v>
      </c>
    </row>
    <row r="72" spans="1:11" x14ac:dyDescent="0.35">
      <c r="A72" s="218" t="str">
        <f>Scenario_Analysis!A70</f>
        <v>0a57f7d2c983bcf8188589a5fea4a8da</v>
      </c>
      <c r="B72" t="str">
        <f>Scenario_Analysis!B70</f>
        <v>watches_gifts</v>
      </c>
      <c r="C72" s="9">
        <f>Scenario_Analysis!D70</f>
        <v>0.40221966541252346</v>
      </c>
      <c r="D72" s="11" t="str">
        <f>Scenario_Analysis!E70</f>
        <v>OPTIMIZE</v>
      </c>
      <c r="E72" s="5">
        <f>Scenario_Analysis!G70</f>
        <v>0.36021969900564349</v>
      </c>
      <c r="F72" s="11" t="str">
        <f>Scenario_Analysis!I70</f>
        <v>OPTIMIZE</v>
      </c>
      <c r="G72" s="9">
        <f>Scenario_Analysis!K70</f>
        <v>0.39907534936844941</v>
      </c>
      <c r="H72" s="11" t="str">
        <f>Scenario_Analysis!M70</f>
        <v>OPTIMIZE</v>
      </c>
      <c r="I72" s="9">
        <f>Scenario_Analysis!O70</f>
        <v>0.37075754253949833</v>
      </c>
      <c r="J72" s="11" t="str">
        <f>Scenario_Analysis!Q70</f>
        <v>OPTIMIZE</v>
      </c>
      <c r="K72" s="53" t="str">
        <f>Scenario_Analysis!R70</f>
        <v>Stable</v>
      </c>
    </row>
    <row r="73" spans="1:11" x14ac:dyDescent="0.35">
      <c r="A73" s="218" t="str">
        <f>Scenario_Analysis!A71</f>
        <v>5237739bb5fee495dbd337755a138660</v>
      </c>
      <c r="B73" t="str">
        <f>Scenario_Analysis!B71</f>
        <v>watches_gifts</v>
      </c>
      <c r="C73" s="9">
        <f>Scenario_Analysis!D71</f>
        <v>0.54359804965061143</v>
      </c>
      <c r="D73" s="11" t="str">
        <f>Scenario_Analysis!E71</f>
        <v>OPTIMIZE</v>
      </c>
      <c r="E73" s="5">
        <f>Scenario_Analysis!G71</f>
        <v>0.50159805806454316</v>
      </c>
      <c r="F73" s="11" t="str">
        <f>Scenario_Analysis!I71</f>
        <v>OPTIMIZE</v>
      </c>
      <c r="G73" s="9">
        <f>Scenario_Analysis!K71</f>
        <v>0.54320427764292101</v>
      </c>
      <c r="H73" s="11" t="str">
        <f>Scenario_Analysis!M71</f>
        <v>OPTIMIZE</v>
      </c>
      <c r="I73" s="9">
        <f>Scenario_Analysis!O71</f>
        <v>0.51957689436906462</v>
      </c>
      <c r="J73" s="11" t="str">
        <f>Scenario_Analysis!Q71</f>
        <v>OPTIMIZE</v>
      </c>
      <c r="K73" s="53" t="str">
        <f>Scenario_Analysis!R71</f>
        <v>Stable</v>
      </c>
    </row>
    <row r="74" spans="1:11" x14ac:dyDescent="0.35">
      <c r="A74" s="218" t="str">
        <f>Scenario_Analysis!A73</f>
        <v>af0a99476d96dcc1a1baa7c0d9ff6b9d</v>
      </c>
      <c r="B74" t="str">
        <f>Scenario_Analysis!B73</f>
        <v>health_beauty</v>
      </c>
      <c r="C74" s="9">
        <f>Scenario_Analysis!D73</f>
        <v>0.51842014138155279</v>
      </c>
      <c r="D74" s="11" t="str">
        <f>Scenario_Analysis!E73</f>
        <v>OPTIMIZE</v>
      </c>
      <c r="E74" s="5">
        <f>Scenario_Analysis!G73</f>
        <v>0.47642010759862496</v>
      </c>
      <c r="F74" s="11" t="str">
        <f>Scenario_Analysis!I73</f>
        <v>OPTIMIZE</v>
      </c>
      <c r="G74" s="9">
        <f>Scenario_Analysis!K73</f>
        <v>0.51775123941116352</v>
      </c>
      <c r="H74" s="11" t="str">
        <f>Scenario_Analysis!M73</f>
        <v>OPTIMIZE</v>
      </c>
      <c r="I74" s="9">
        <f>Scenario_Analysis!O73</f>
        <v>0.49307383303321339</v>
      </c>
      <c r="J74" s="11" t="str">
        <f>Scenario_Analysis!Q73</f>
        <v>OPTIMIZE</v>
      </c>
      <c r="K74" s="53" t="str">
        <f>Scenario_Analysis!R73</f>
        <v>Stable</v>
      </c>
    </row>
    <row r="75" spans="1:11" x14ac:dyDescent="0.35">
      <c r="A75" s="218" t="str">
        <f>Scenario_Analysis!A76</f>
        <v>36f60d45225e60c7da4558b070ce4b60</v>
      </c>
      <c r="B75" t="str">
        <f>Scenario_Analysis!B76</f>
        <v>computers_accessories</v>
      </c>
      <c r="C75" s="9">
        <f>Scenario_Analysis!D76</f>
        <v>0.15535238983147343</v>
      </c>
      <c r="D75" s="11" t="str">
        <f>Scenario_Analysis!E76</f>
        <v>OPTIMIZE</v>
      </c>
      <c r="E75" s="5">
        <f>Scenario_Analysis!G76</f>
        <v>9.8352364922568797E-2</v>
      </c>
      <c r="F75" s="11" t="str">
        <f>Scenario_Analysis!I76</f>
        <v>EXIT</v>
      </c>
      <c r="G75" s="9">
        <f>Scenario_Analysis!K76</f>
        <v>0.14518421914142551</v>
      </c>
      <c r="H75" s="11" t="str">
        <f>Scenario_Analysis!M76</f>
        <v>OPTIMIZE</v>
      </c>
      <c r="I75" s="9">
        <f>Scenario_Analysis!O76</f>
        <v>0.1108972524541825</v>
      </c>
      <c r="J75" s="11" t="str">
        <f>Scenario_Analysis!Q76</f>
        <v>OPTIMIZE</v>
      </c>
      <c r="K75" s="53" t="str">
        <f>Scenario_Analysis!R76</f>
        <v>Decision changes</v>
      </c>
    </row>
    <row r="76" spans="1:11" x14ac:dyDescent="0.35">
      <c r="A76" s="218" t="str">
        <f>Scenario_Analysis!A77</f>
        <v>2ffdf10e724b958c0f7ea69e97d32f64</v>
      </c>
      <c r="B76" t="str">
        <f>Scenario_Analysis!B77</f>
        <v>watches_gifts</v>
      </c>
      <c r="C76" s="9">
        <f>Scenario_Analysis!D77</f>
        <v>0.46078724144880284</v>
      </c>
      <c r="D76" s="11" t="str">
        <f>Scenario_Analysis!E77</f>
        <v>OPTIMIZE</v>
      </c>
      <c r="E76" s="5">
        <f>Scenario_Analysis!G77</f>
        <v>0.4187872597695253</v>
      </c>
      <c r="F76" s="11" t="str">
        <f>Scenario_Analysis!I77</f>
        <v>OPTIMIZE</v>
      </c>
      <c r="G76" s="9">
        <f>Scenario_Analysis!K77</f>
        <v>0.45907242181631647</v>
      </c>
      <c r="H76" s="11" t="str">
        <f>Scenario_Analysis!M77</f>
        <v>OPTIMIZE</v>
      </c>
      <c r="I76" s="9">
        <f>Scenario_Analysis!O77</f>
        <v>0.43240762257768722</v>
      </c>
      <c r="J76" s="11" t="str">
        <f>Scenario_Analysis!Q77</f>
        <v>OPTIMIZE</v>
      </c>
      <c r="K76" s="53" t="str">
        <f>Scenario_Analysis!R77</f>
        <v>Stable</v>
      </c>
    </row>
    <row r="77" spans="1:11" x14ac:dyDescent="0.35">
      <c r="A77" s="218" t="str">
        <f>Scenario_Analysis!A81</f>
        <v>4fe644d766c7566dbc46fb851363cb3b</v>
      </c>
      <c r="B77" t="str">
        <f>Scenario_Analysis!B81</f>
        <v>art</v>
      </c>
      <c r="C77" s="9">
        <f>Scenario_Analysis!D81</f>
        <v>0.35767402339194271</v>
      </c>
      <c r="D77" s="11" t="str">
        <f>Scenario_Analysis!E81</f>
        <v>OPTIMIZE</v>
      </c>
      <c r="E77" s="5">
        <f>Scenario_Analysis!G81</f>
        <v>0.31767400487980058</v>
      </c>
      <c r="F77" s="11" t="str">
        <f>Scenario_Analysis!I81</f>
        <v>OPTIMIZE</v>
      </c>
      <c r="G77" s="9">
        <f>Scenario_Analysis!K81</f>
        <v>0.35410858482078383</v>
      </c>
      <c r="H77" s="11" t="str">
        <f>Scenario_Analysis!M81</f>
        <v>OPTIMIZE</v>
      </c>
      <c r="I77" s="9">
        <f>Scenario_Analysis!O81</f>
        <v>0.32386739304415024</v>
      </c>
      <c r="J77" s="11" t="str">
        <f>Scenario_Analysis!Q81</f>
        <v>OPTIMIZE</v>
      </c>
      <c r="K77" s="53" t="str">
        <f>Scenario_Analysis!R81</f>
        <v>Stable</v>
      </c>
    </row>
    <row r="78" spans="1:11" x14ac:dyDescent="0.35">
      <c r="A78" s="218" t="str">
        <f>Scenario_Analysis!A87</f>
        <v>4c2394abfbac7ff59ec7a420918562fa</v>
      </c>
      <c r="B78" t="str">
        <f>Scenario_Analysis!B87</f>
        <v>health_beauty</v>
      </c>
      <c r="C78" s="9">
        <f>Scenario_Analysis!D87</f>
        <v>0.32177556086636999</v>
      </c>
      <c r="D78" s="11" t="str">
        <f>Scenario_Analysis!E87</f>
        <v>OPTIMIZE</v>
      </c>
      <c r="E78" s="5">
        <f>Scenario_Analysis!G87</f>
        <v>0.27977553771996316</v>
      </c>
      <c r="F78" s="11" t="str">
        <f>Scenario_Analysis!I87</f>
        <v>OPTIMIZE</v>
      </c>
      <c r="G78" s="9">
        <f>Scenario_Analysis!K87</f>
        <v>0.31753976842019987</v>
      </c>
      <c r="H78" s="11" t="str">
        <f>Scenario_Analysis!M87</f>
        <v>OPTIMIZE</v>
      </c>
      <c r="I78" s="9">
        <f>Scenario_Analysis!O87</f>
        <v>0.28607953775407363</v>
      </c>
      <c r="J78" s="11" t="str">
        <f>Scenario_Analysis!Q87</f>
        <v>OPTIMIZE</v>
      </c>
      <c r="K78" s="53" t="str">
        <f>Scenario_Analysis!R87</f>
        <v>Stable</v>
      </c>
    </row>
    <row r="79" spans="1:11" x14ac:dyDescent="0.35">
      <c r="A79" s="218" t="str">
        <f>Scenario_Analysis!A88</f>
        <v>3225c54bb2785c33f49f50398fcdb88c</v>
      </c>
      <c r="B79" t="str">
        <f>Scenario_Analysis!B88</f>
        <v>watches_gifts</v>
      </c>
      <c r="C79" s="9">
        <f>Scenario_Analysis!D88</f>
        <v>0.50186384945168661</v>
      </c>
      <c r="D79" s="11" t="str">
        <f>Scenario_Analysis!E88</f>
        <v>OPTIMIZE</v>
      </c>
      <c r="E79" s="5">
        <f>Scenario_Analysis!G88</f>
        <v>0.45986388236307646</v>
      </c>
      <c r="F79" s="11" t="str">
        <f>Scenario_Analysis!I88</f>
        <v>OPTIMIZE</v>
      </c>
      <c r="G79" s="9">
        <f>Scenario_Analysis!K88</f>
        <v>0.50057449735111714</v>
      </c>
      <c r="H79" s="11" t="str">
        <f>Scenario_Analysis!M88</f>
        <v>OPTIMIZE</v>
      </c>
      <c r="I79" s="9">
        <f>Scenario_Analysis!O88</f>
        <v>0.47564615731756477</v>
      </c>
      <c r="J79" s="11" t="str">
        <f>Scenario_Analysis!Q88</f>
        <v>OPTIMIZE</v>
      </c>
      <c r="K79" s="53" t="str">
        <f>Scenario_Analysis!R88</f>
        <v>Stable</v>
      </c>
    </row>
    <row r="80" spans="1:11" x14ac:dyDescent="0.35">
      <c r="A80" s="218" t="str">
        <f>Scenario_Analysis!A89</f>
        <v>84f456958365164420cfc80fbe4c7fab</v>
      </c>
      <c r="B80" t="str">
        <f>Scenario_Analysis!B89</f>
        <v>bed_bath_table</v>
      </c>
      <c r="C80" s="9">
        <f>Scenario_Analysis!D89</f>
        <v>0.27496758842343888</v>
      </c>
      <c r="D80" s="11" t="str">
        <f>Scenario_Analysis!E89</f>
        <v>OPTIMIZE</v>
      </c>
      <c r="E80" s="5">
        <f>Scenario_Analysis!G89</f>
        <v>0.22996760783156858</v>
      </c>
      <c r="F80" s="11" t="str">
        <f>Scenario_Analysis!I89</f>
        <v>OPTIMIZE</v>
      </c>
      <c r="G80" s="9">
        <f>Scenario_Analysis!K89</f>
        <v>0.27108984411390241</v>
      </c>
      <c r="H80" s="11" t="str">
        <f>Scenario_Analysis!M89</f>
        <v>OPTIMIZE</v>
      </c>
      <c r="I80" s="9">
        <f>Scenario_Analysis!O89</f>
        <v>0.23680798781414625</v>
      </c>
      <c r="J80" s="11" t="str">
        <f>Scenario_Analysis!Q89</f>
        <v>OPTIMIZE</v>
      </c>
      <c r="K80" s="53" t="str">
        <f>Scenario_Analysis!R89</f>
        <v>Stable</v>
      </c>
    </row>
    <row r="81" spans="1:11" x14ac:dyDescent="0.35">
      <c r="A81" s="218" t="str">
        <f>Scenario_Analysis!A91</f>
        <v>53ea9da485f6aed8a6f03a85831fe021</v>
      </c>
      <c r="B81" t="str">
        <f>Scenario_Analysis!B91</f>
        <v>watches_gifts</v>
      </c>
      <c r="C81" s="9">
        <f>Scenario_Analysis!D91</f>
        <v>0.48724113071372072</v>
      </c>
      <c r="D81" s="11" t="str">
        <f>Scenario_Analysis!E91</f>
        <v>OPTIMIZE</v>
      </c>
      <c r="E81" s="5">
        <f>Scenario_Analysis!G91</f>
        <v>0.44524111276525075</v>
      </c>
      <c r="F81" s="11" t="str">
        <f>Scenario_Analysis!I91</f>
        <v>OPTIMIZE</v>
      </c>
      <c r="G81" s="9">
        <f>Scenario_Analysis!K91</f>
        <v>0.4858411500581829</v>
      </c>
      <c r="H81" s="11" t="str">
        <f>Scenario_Analysis!M91</f>
        <v>OPTIMIZE</v>
      </c>
      <c r="I81" s="9">
        <f>Scenario_Analysis!O91</f>
        <v>0.46025382180391661</v>
      </c>
      <c r="J81" s="11" t="str">
        <f>Scenario_Analysis!Q91</f>
        <v>OPTIMIZE</v>
      </c>
      <c r="K81" s="53" t="str">
        <f>Scenario_Analysis!R91</f>
        <v>Stable</v>
      </c>
    </row>
    <row r="82" spans="1:11" x14ac:dyDescent="0.35">
      <c r="A82" s="218" t="str">
        <f>Scenario_Analysis!A96</f>
        <v>3fbc0ef745950c7932d5f2a446189725</v>
      </c>
      <c r="B82" t="str">
        <f>Scenario_Analysis!B96</f>
        <v>health_beauty</v>
      </c>
      <c r="C82" s="9">
        <f>Scenario_Analysis!D96</f>
        <v>0.10444613434727507</v>
      </c>
      <c r="D82" s="11" t="str">
        <f>Scenario_Analysis!E96</f>
        <v>OPTIMIZE</v>
      </c>
      <c r="E82" s="5">
        <f>Scenario_Analysis!G96</f>
        <v>6.2446134347275029E-2</v>
      </c>
      <c r="F82" s="11" t="str">
        <f>Scenario_Analysis!I96</f>
        <v>EXIT</v>
      </c>
      <c r="G82" s="9">
        <f>Scenario_Analysis!K96</f>
        <v>9.897084917617241E-2</v>
      </c>
      <c r="H82" s="11" t="str">
        <f>Scenario_Analysis!M96</f>
        <v>EXIT</v>
      </c>
      <c r="I82" s="9">
        <f>Scenario_Analysis!O96</f>
        <v>5.7311720365552703E-2</v>
      </c>
      <c r="J82" s="11" t="str">
        <f>Scenario_Analysis!Q96</f>
        <v>EXIT</v>
      </c>
      <c r="K82" s="53" t="str">
        <f>Scenario_Analysis!R96</f>
        <v>Decision changes</v>
      </c>
    </row>
    <row r="83" spans="1:11" x14ac:dyDescent="0.35">
      <c r="A83" s="218" t="str">
        <f>Scenario_Analysis!A99</f>
        <v>933f4f76eae38d2a97ecfb7c6355f0bc</v>
      </c>
      <c r="B83" t="str">
        <f>Scenario_Analysis!B99</f>
        <v>health_beauty</v>
      </c>
      <c r="C83" s="9">
        <f>Scenario_Analysis!D99</f>
        <v>0.54306162446155504</v>
      </c>
      <c r="D83" s="11" t="str">
        <f>Scenario_Analysis!E99</f>
        <v>OPTIMIZE</v>
      </c>
      <c r="E83" s="5">
        <f>Scenario_Analysis!G99</f>
        <v>0.5010616348038327</v>
      </c>
      <c r="F83" s="11" t="str">
        <f>Scenario_Analysis!I99</f>
        <v>OPTIMIZE</v>
      </c>
      <c r="G83" s="9">
        <f>Scenario_Analysis!K99</f>
        <v>0.54280099906402368</v>
      </c>
      <c r="H83" s="11" t="str">
        <f>Scenario_Analysis!M99</f>
        <v>OPTIMIZE</v>
      </c>
      <c r="I83" s="9">
        <f>Scenario_Analysis!O99</f>
        <v>0.519012236275321</v>
      </c>
      <c r="J83" s="11" t="str">
        <f>Scenario_Analysis!Q99</f>
        <v>OPTIMIZE</v>
      </c>
      <c r="K83" s="53" t="str">
        <f>Scenario_Analysis!R99</f>
        <v>Stable</v>
      </c>
    </row>
    <row r="84" spans="1:11" x14ac:dyDescent="0.35">
      <c r="A84" s="218" t="str">
        <f>Scenario_Analysis!A101</f>
        <v>78efe838c04bbc568be034082200ac20</v>
      </c>
      <c r="B84" t="str">
        <f>Scenario_Analysis!B101</f>
        <v>furniture_decor</v>
      </c>
      <c r="C84" s="9">
        <f>Scenario_Analysis!D101</f>
        <v>0.14338599655823017</v>
      </c>
      <c r="D84" s="11" t="str">
        <f>Scenario_Analysis!E101</f>
        <v>OPTIMIZE</v>
      </c>
      <c r="E84" s="5">
        <f>Scenario_Analysis!G101</f>
        <v>9.8385996558230118E-2</v>
      </c>
      <c r="F84" s="11" t="str">
        <f>Scenario_Analysis!I101</f>
        <v>EXIT</v>
      </c>
      <c r="G84" s="9">
        <f>Scenario_Analysis!K101</f>
        <v>0.13961663660301479</v>
      </c>
      <c r="H84" s="11" t="str">
        <f>Scenario_Analysis!M101</f>
        <v>OPTIMIZE</v>
      </c>
      <c r="I84" s="9">
        <f>Scenario_Analysis!O101</f>
        <v>9.8301049008663224E-2</v>
      </c>
      <c r="J84" s="11" t="str">
        <f>Scenario_Analysis!Q101</f>
        <v>EXIT</v>
      </c>
      <c r="K84" s="53" t="str">
        <f>Scenario_Analysis!R101</f>
        <v>Decision changes</v>
      </c>
    </row>
    <row r="85" spans="1:11" x14ac:dyDescent="0.35">
      <c r="A85" s="218" t="str">
        <f>Scenario_Analysis!A107</f>
        <v>db5efde3ad0cc579b130d71c4b2db522</v>
      </c>
      <c r="B85" t="str">
        <f>Scenario_Analysis!B107</f>
        <v>audio</v>
      </c>
      <c r="C85" s="9">
        <f>Scenario_Analysis!D107</f>
        <v>0.30175539849222027</v>
      </c>
      <c r="D85" s="11" t="str">
        <f>Scenario_Analysis!E107</f>
        <v>OPTIMIZE</v>
      </c>
      <c r="E85" s="5">
        <f>Scenario_Analysis!G107</f>
        <v>0.24475544729454748</v>
      </c>
      <c r="F85" s="11" t="str">
        <f>Scenario_Analysis!I107</f>
        <v>OPTIMIZE</v>
      </c>
      <c r="G85" s="9">
        <f>Scenario_Analysis!K107</f>
        <v>0.29717222341281052</v>
      </c>
      <c r="H85" s="11" t="str">
        <f>Scenario_Analysis!M107</f>
        <v>OPTIMIZE</v>
      </c>
      <c r="I85" s="9">
        <f>Scenario_Analysis!O107</f>
        <v>0.26500568262338969</v>
      </c>
      <c r="J85" s="11" t="str">
        <f>Scenario_Analysis!Q107</f>
        <v>OPTIMIZE</v>
      </c>
      <c r="K85" s="53" t="str">
        <f>Scenario_Analysis!R107</f>
        <v>Stable</v>
      </c>
    </row>
    <row r="86" spans="1:11" x14ac:dyDescent="0.35">
      <c r="A86" s="218" t="str">
        <f>Scenario_Analysis!A108</f>
        <v>2a5806f10d0f00e5ad032dd2e3c8806e</v>
      </c>
      <c r="B86" t="str">
        <f>Scenario_Analysis!B108</f>
        <v>office_furniture</v>
      </c>
      <c r="C86" s="9">
        <f>Scenario_Analysis!D108</f>
        <v>0.20883728088563883</v>
      </c>
      <c r="D86" s="11" t="str">
        <f>Scenario_Analysis!E108</f>
        <v>OPTIMIZE</v>
      </c>
      <c r="E86" s="5">
        <f>Scenario_Analysis!G108</f>
        <v>0.16383730742083244</v>
      </c>
      <c r="F86" s="11" t="str">
        <f>Scenario_Analysis!I108</f>
        <v>OPTIMIZE</v>
      </c>
      <c r="G86" s="9">
        <f>Scenario_Analysis!K108</f>
        <v>0.20673569355035593</v>
      </c>
      <c r="H86" s="11" t="str">
        <f>Scenario_Analysis!M108</f>
        <v>OPTIMIZE</v>
      </c>
      <c r="I86" s="9">
        <f>Scenario_Analysis!O108</f>
        <v>0.16719713777435663</v>
      </c>
      <c r="J86" s="11" t="str">
        <f>Scenario_Analysis!Q108</f>
        <v>OPTIMIZE</v>
      </c>
      <c r="K86" s="53" t="str">
        <f>Scenario_Analysis!R108</f>
        <v>Stable</v>
      </c>
    </row>
    <row r="87" spans="1:11" x14ac:dyDescent="0.35">
      <c r="A87" s="218" t="str">
        <f>Scenario_Analysis!A112</f>
        <v>fe59a1e006df3ac42bf0ceb876d70969</v>
      </c>
      <c r="B87" t="str">
        <f>Scenario_Analysis!B112</f>
        <v>computers_accessories</v>
      </c>
      <c r="C87" s="9">
        <f>Scenario_Analysis!D112</f>
        <v>0.35286031430102477</v>
      </c>
      <c r="D87" s="11" t="str">
        <f>Scenario_Analysis!E112</f>
        <v>OPTIMIZE</v>
      </c>
      <c r="E87" s="5">
        <f>Scenario_Analysis!G112</f>
        <v>0.29586028149298449</v>
      </c>
      <c r="F87" s="11" t="str">
        <f>Scenario_Analysis!I112</f>
        <v>OPTIMIZE</v>
      </c>
      <c r="G87" s="9">
        <f>Scenario_Analysis!K112</f>
        <v>0.35167922485537118</v>
      </c>
      <c r="H87" s="11" t="str">
        <f>Scenario_Analysis!M112</f>
        <v>OPTIMIZE</v>
      </c>
      <c r="I87" s="9">
        <f>Scenario_Analysis!O112</f>
        <v>0.31880033084318399</v>
      </c>
      <c r="J87" s="11" t="str">
        <f>Scenario_Analysis!Q112</f>
        <v>OPTIMIZE</v>
      </c>
      <c r="K87" s="53" t="str">
        <f>Scenario_Analysis!R112</f>
        <v>Stable</v>
      </c>
    </row>
    <row r="88" spans="1:11" x14ac:dyDescent="0.35">
      <c r="A88" s="218" t="str">
        <f>Scenario_Analysis!A116</f>
        <v>e59dd207c69d86e890febadc796d1078</v>
      </c>
      <c r="B88" t="str">
        <f>Scenario_Analysis!B116</f>
        <v>cool_stuff</v>
      </c>
      <c r="C88" s="9">
        <f>Scenario_Analysis!D116</f>
        <v>0.40509234942283684</v>
      </c>
      <c r="D88" s="11" t="str">
        <f>Scenario_Analysis!E116</f>
        <v>OPTIMIZE</v>
      </c>
      <c r="E88" s="5">
        <f>Scenario_Analysis!G116</f>
        <v>0.36009231072045045</v>
      </c>
      <c r="F88" s="11" t="str">
        <f>Scenario_Analysis!I116</f>
        <v>OPTIMIZE</v>
      </c>
      <c r="G88" s="9">
        <f>Scenario_Analysis!K116</f>
        <v>0.40262424295367771</v>
      </c>
      <c r="H88" s="11" t="str">
        <f>Scenario_Analysis!M116</f>
        <v>OPTIMIZE</v>
      </c>
      <c r="I88" s="9">
        <f>Scenario_Analysis!O116</f>
        <v>0.37378142044509144</v>
      </c>
      <c r="J88" s="11" t="str">
        <f>Scenario_Analysis!Q116</f>
        <v>OPTIMIZE</v>
      </c>
      <c r="K88" s="53" t="str">
        <f>Scenario_Analysis!R116</f>
        <v>Stable</v>
      </c>
    </row>
    <row r="89" spans="1:11" x14ac:dyDescent="0.35">
      <c r="A89" s="218" t="str">
        <f>Scenario_Analysis!A118</f>
        <v>c1ad8ac66c91ad301cefc322ba2adf31</v>
      </c>
      <c r="B89" t="str">
        <f>Scenario_Analysis!B118</f>
        <v>watches_gifts</v>
      </c>
      <c r="C89" s="9">
        <f>Scenario_Analysis!D118</f>
        <v>0.53936518309756887</v>
      </c>
      <c r="D89" s="11" t="str">
        <f>Scenario_Analysis!E118</f>
        <v>OPTIMIZE</v>
      </c>
      <c r="E89" s="5">
        <f>Scenario_Analysis!G118</f>
        <v>0.49736517855927231</v>
      </c>
      <c r="F89" s="11" t="str">
        <f>Scenario_Analysis!I118</f>
        <v>OPTIMIZE</v>
      </c>
      <c r="G89" s="9">
        <f>Scenario_Analysis!K118</f>
        <v>0.53875251308163952</v>
      </c>
      <c r="H89" s="11" t="str">
        <f>Scenario_Analysis!M118</f>
        <v>OPTIMIZE</v>
      </c>
      <c r="I89" s="9">
        <f>Scenario_Analysis!O118</f>
        <v>0.51512124536586201</v>
      </c>
      <c r="J89" s="11" t="str">
        <f>Scenario_Analysis!Q118</f>
        <v>OPTIMIZE</v>
      </c>
      <c r="K89" s="53" t="str">
        <f>Scenario_Analysis!R118</f>
        <v>Stable</v>
      </c>
    </row>
    <row r="90" spans="1:11" x14ac:dyDescent="0.35">
      <c r="A90" s="218" t="str">
        <f>Scenario_Analysis!A122</f>
        <v>fbce4c4cb307679d89a3bf3d3bb353b9</v>
      </c>
      <c r="B90" t="str">
        <f>Scenario_Analysis!B122</f>
        <v>bed_bath_table</v>
      </c>
      <c r="C90" s="9">
        <f>Scenario_Analysis!D122</f>
        <v>0.22033802816901404</v>
      </c>
      <c r="D90" s="11" t="str">
        <f>Scenario_Analysis!E122</f>
        <v>OPTIMIZE</v>
      </c>
      <c r="E90" s="5">
        <f>Scenario_Analysis!G122</f>
        <v>0.175338028169014</v>
      </c>
      <c r="F90" s="11" t="str">
        <f>Scenario_Analysis!I122</f>
        <v>OPTIMIZE</v>
      </c>
      <c r="G90" s="9">
        <f>Scenario_Analysis!K122</f>
        <v>0.21780281690140837</v>
      </c>
      <c r="H90" s="11" t="str">
        <f>Scenario_Analysis!M122</f>
        <v>OPTIMIZE</v>
      </c>
      <c r="I90" s="9">
        <f>Scenario_Analysis!O122</f>
        <v>0.17930318754633059</v>
      </c>
      <c r="J90" s="11" t="str">
        <f>Scenario_Analysis!Q122</f>
        <v>OPTIMIZE</v>
      </c>
      <c r="K90" s="53" t="str">
        <f>Scenario_Analysis!R122</f>
        <v>Stable</v>
      </c>
    </row>
    <row r="91" spans="1:11" x14ac:dyDescent="0.35">
      <c r="A91" s="218" t="str">
        <f>Scenario_Analysis!A127</f>
        <v>b114bf337c0626166abe574eee9e3f32</v>
      </c>
      <c r="B91" t="str">
        <f>Scenario_Analysis!B127</f>
        <v>office_furniture</v>
      </c>
      <c r="C91" s="9">
        <f>Scenario_Analysis!D127</f>
        <v>0.25005150934355524</v>
      </c>
      <c r="D91" s="11" t="str">
        <f>Scenario_Analysis!E127</f>
        <v>OPTIMIZE</v>
      </c>
      <c r="E91" s="5">
        <f>Scenario_Analysis!G127</f>
        <v>0.20505150934355529</v>
      </c>
      <c r="F91" s="11" t="str">
        <f>Scenario_Analysis!I127</f>
        <v>OPTIMIZE</v>
      </c>
      <c r="G91" s="9">
        <f>Scenario_Analysis!K127</f>
        <v>0.24772280785816969</v>
      </c>
      <c r="H91" s="11" t="str">
        <f>Scenario_Analysis!M127</f>
        <v>OPTIMIZE</v>
      </c>
      <c r="I91" s="9">
        <f>Scenario_Analysis!O127</f>
        <v>0.21058053615111086</v>
      </c>
      <c r="J91" s="11" t="str">
        <f>Scenario_Analysis!Q127</f>
        <v>OPTIMIZE</v>
      </c>
      <c r="K91" s="53" t="str">
        <f>Scenario_Analysis!R127</f>
        <v>Stable</v>
      </c>
    </row>
    <row r="92" spans="1:11" x14ac:dyDescent="0.35">
      <c r="A92" s="218" t="str">
        <f>Scenario_Analysis!A131</f>
        <v>657247f6f60543b93e3cc708a8e6329c</v>
      </c>
      <c r="B92" t="str">
        <f>Scenario_Analysis!B131</f>
        <v>luggage_accessories</v>
      </c>
      <c r="C92" s="9">
        <f>Scenario_Analysis!D131</f>
        <v>0.31997358479571919</v>
      </c>
      <c r="D92" s="11" t="str">
        <f>Scenario_Analysis!E131</f>
        <v>OPTIMIZE</v>
      </c>
      <c r="E92" s="5">
        <f>Scenario_Analysis!G131</f>
        <v>0.27797353138262226</v>
      </c>
      <c r="F92" s="11" t="str">
        <f>Scenario_Analysis!I131</f>
        <v>OPTIMIZE</v>
      </c>
      <c r="G92" s="9">
        <f>Scenario_Analysis!K131</f>
        <v>0.31857513280438177</v>
      </c>
      <c r="H92" s="11" t="str">
        <f>Scenario_Analysis!M131</f>
        <v>OPTIMIZE</v>
      </c>
      <c r="I92" s="9">
        <f>Scenario_Analysis!O131</f>
        <v>0.28418272083759916</v>
      </c>
      <c r="J92" s="11" t="str">
        <f>Scenario_Analysis!Q131</f>
        <v>OPTIMIZE</v>
      </c>
      <c r="K92" s="53" t="str">
        <f>Scenario_Analysis!R131</f>
        <v>Stable</v>
      </c>
    </row>
    <row r="93" spans="1:11" x14ac:dyDescent="0.35">
      <c r="A93" s="218" t="str">
        <f>Scenario_Analysis!A132</f>
        <v>928e52a9ad53a294fdcc91bcf59d1751</v>
      </c>
      <c r="B93" t="str">
        <f>Scenario_Analysis!B132</f>
        <v>housewares</v>
      </c>
      <c r="C93" s="9">
        <f>Scenario_Analysis!D132</f>
        <v>0.36626993865030666</v>
      </c>
      <c r="D93" s="11" t="str">
        <f>Scenario_Analysis!E132</f>
        <v>OPTIMIZE</v>
      </c>
      <c r="E93" s="5">
        <f>Scenario_Analysis!G132</f>
        <v>0.32126993865030667</v>
      </c>
      <c r="F93" s="11" t="str">
        <f>Scenario_Analysis!I132</f>
        <v>OPTIMIZE</v>
      </c>
      <c r="G93" s="9">
        <f>Scenario_Analysis!K132</f>
        <v>0.36361963190184049</v>
      </c>
      <c r="H93" s="11" t="str">
        <f>Scenario_Analysis!M132</f>
        <v>OPTIMIZE</v>
      </c>
      <c r="I93" s="9">
        <f>Scenario_Analysis!O132</f>
        <v>0.33291572489505966</v>
      </c>
      <c r="J93" s="11" t="str">
        <f>Scenario_Analysis!Q132</f>
        <v>OPTIMIZE</v>
      </c>
      <c r="K93" s="53" t="str">
        <f>Scenario_Analysis!R132</f>
        <v>Stable</v>
      </c>
    </row>
    <row r="94" spans="1:11" x14ac:dyDescent="0.35">
      <c r="A94" s="218" t="str">
        <f>Scenario_Analysis!A135</f>
        <v>2948658cb6abc82847412be7201bfc4c</v>
      </c>
      <c r="B94" t="str">
        <f>Scenario_Analysis!B135</f>
        <v>health_beauty</v>
      </c>
      <c r="C94" s="9">
        <f>Scenario_Analysis!D135</f>
        <v>0.29293209876543203</v>
      </c>
      <c r="D94" s="11" t="str">
        <f>Scenario_Analysis!E135</f>
        <v>OPTIMIZE</v>
      </c>
      <c r="E94" s="5">
        <f>Scenario_Analysis!G135</f>
        <v>0.25093209876543204</v>
      </c>
      <c r="F94" s="11" t="str">
        <f>Scenario_Analysis!I135</f>
        <v>OPTIMIZE</v>
      </c>
      <c r="G94" s="9">
        <f>Scenario_Analysis!K135</f>
        <v>0.28977654320987656</v>
      </c>
      <c r="H94" s="11" t="str">
        <f>Scenario_Analysis!M135</f>
        <v>OPTIMIZE</v>
      </c>
      <c r="I94" s="9">
        <f>Scenario_Analysis!O135</f>
        <v>0.25571799870045481</v>
      </c>
      <c r="J94" s="11" t="str">
        <f>Scenario_Analysis!Q135</f>
        <v>OPTIMIZE</v>
      </c>
      <c r="K94" s="53" t="str">
        <f>Scenario_Analysis!R135</f>
        <v>Stable</v>
      </c>
    </row>
    <row r="95" spans="1:11" x14ac:dyDescent="0.35">
      <c r="A95" s="218" t="str">
        <f>Scenario_Analysis!A136</f>
        <v>4413a608a42bd21bbf9d5abbd58c249a</v>
      </c>
      <c r="B95" t="str">
        <f>Scenario_Analysis!B136</f>
        <v>cool_stuff</v>
      </c>
      <c r="C95" s="9">
        <f>Scenario_Analysis!D136</f>
        <v>0.38006351451080361</v>
      </c>
      <c r="D95" s="11" t="str">
        <f>Scenario_Analysis!E136</f>
        <v>OPTIMIZE</v>
      </c>
      <c r="E95" s="5">
        <f>Scenario_Analysis!G136</f>
        <v>0.33506352069166284</v>
      </c>
      <c r="F95" s="11" t="str">
        <f>Scenario_Analysis!I136</f>
        <v>OPTIMIZE</v>
      </c>
      <c r="G95" s="9">
        <f>Scenario_Analysis!K136</f>
        <v>0.37779390295309095</v>
      </c>
      <c r="H95" s="11" t="str">
        <f>Scenario_Analysis!M136</f>
        <v>OPTIMIZE</v>
      </c>
      <c r="I95" s="9">
        <f>Scenario_Analysis!O136</f>
        <v>0.34743527843242483</v>
      </c>
      <c r="J95" s="11" t="str">
        <f>Scenario_Analysis!Q136</f>
        <v>OPTIMIZE</v>
      </c>
      <c r="K95" s="53" t="str">
        <f>Scenario_Analysis!R136</f>
        <v>Stable</v>
      </c>
    </row>
    <row r="96" spans="1:11" x14ac:dyDescent="0.35">
      <c r="A96" s="218" t="str">
        <f>Scenario_Analysis!A138</f>
        <v>8b5227e28272123eefd613a10ffd7704</v>
      </c>
      <c r="B96" t="str">
        <f>Scenario_Analysis!B138</f>
        <v>watches_gifts</v>
      </c>
      <c r="C96" s="9">
        <f>Scenario_Analysis!D138</f>
        <v>0.53638616928987493</v>
      </c>
      <c r="D96" s="11" t="str">
        <f>Scenario_Analysis!E138</f>
        <v>OPTIMIZE</v>
      </c>
      <c r="E96" s="5">
        <f>Scenario_Analysis!G138</f>
        <v>0.49438616928987472</v>
      </c>
      <c r="F96" s="11" t="str">
        <f>Scenario_Analysis!I138</f>
        <v>OPTIMIZE</v>
      </c>
      <c r="G96" s="9">
        <f>Scenario_Analysis!K138</f>
        <v>0.53567232618664029</v>
      </c>
      <c r="H96" s="11" t="str">
        <f>Scenario_Analysis!M138</f>
        <v>OPTIMIZE</v>
      </c>
      <c r="I96" s="9">
        <f>Scenario_Analysis!O138</f>
        <v>0.51198544135776303</v>
      </c>
      <c r="J96" s="11" t="str">
        <f>Scenario_Analysis!Q138</f>
        <v>OPTIMIZE</v>
      </c>
      <c r="K96" s="53" t="str">
        <f>Scenario_Analysis!R138</f>
        <v>Stable</v>
      </c>
    </row>
    <row r="97" spans="1:11" x14ac:dyDescent="0.35">
      <c r="A97" s="218" t="str">
        <f>Scenario_Analysis!A141</f>
        <v>5183344b5357029cfd88c7f511ed876d</v>
      </c>
      <c r="B97" t="str">
        <f>Scenario_Analysis!B141</f>
        <v>musical_instruments</v>
      </c>
      <c r="C97" s="9">
        <f>Scenario_Analysis!D141</f>
        <v>0.57195847923961995</v>
      </c>
      <c r="D97" s="11" t="str">
        <f>Scenario_Analysis!E141</f>
        <v>OPTIMIZE</v>
      </c>
      <c r="E97" s="5">
        <f>Scenario_Analysis!G141</f>
        <v>0.53195847923961992</v>
      </c>
      <c r="F97" s="11" t="str">
        <f>Scenario_Analysis!I141</f>
        <v>OPTIMIZE</v>
      </c>
      <c r="G97" s="9">
        <f>Scenario_Analysis!K141</f>
        <v>0.57190845422711345</v>
      </c>
      <c r="H97" s="11" t="str">
        <f>Scenario_Analysis!M141</f>
        <v>OPTIMIZE</v>
      </c>
      <c r="I97" s="9">
        <f>Scenario_Analysis!O141</f>
        <v>0.54942997814696826</v>
      </c>
      <c r="J97" s="11" t="str">
        <f>Scenario_Analysis!Q141</f>
        <v>OPTIMIZE</v>
      </c>
      <c r="K97" s="53" t="str">
        <f>Scenario_Analysis!R141</f>
        <v>Stable</v>
      </c>
    </row>
    <row r="98" spans="1:11" x14ac:dyDescent="0.35">
      <c r="A98" s="218" t="str">
        <f>Scenario_Analysis!A146</f>
        <v>3ecf69ee1fe21cfd40b30cbea549e563</v>
      </c>
      <c r="B98" t="str">
        <f>Scenario_Analysis!B146</f>
        <v>small_appliances</v>
      </c>
      <c r="C98" s="9">
        <f>Scenario_Analysis!D146</f>
        <v>0.41465429588205388</v>
      </c>
      <c r="D98" s="11" t="str">
        <f>Scenario_Analysis!E146</f>
        <v>OPTIMIZE</v>
      </c>
      <c r="E98" s="5">
        <f>Scenario_Analysis!G146</f>
        <v>0.35765429588205383</v>
      </c>
      <c r="F98" s="11" t="str">
        <f>Scenario_Analysis!I146</f>
        <v>OPTIMIZE</v>
      </c>
      <c r="G98" s="9">
        <f>Scenario_Analysis!K146</f>
        <v>0.41451703101169296</v>
      </c>
      <c r="H98" s="11" t="str">
        <f>Scenario_Analysis!M146</f>
        <v>OPTIMIZE</v>
      </c>
      <c r="I98" s="9">
        <f>Scenario_Analysis!O146</f>
        <v>0.38384662724426721</v>
      </c>
      <c r="J98" s="11" t="str">
        <f>Scenario_Analysis!Q146</f>
        <v>OPTIMIZE</v>
      </c>
      <c r="K98" s="53" t="str">
        <f>Scenario_Analysis!R146</f>
        <v>Stable</v>
      </c>
    </row>
    <row r="99" spans="1:11" x14ac:dyDescent="0.35">
      <c r="A99" s="218" t="str">
        <f>Scenario_Analysis!A147</f>
        <v>679d1a26cc192f14e7e30ae397f8b089</v>
      </c>
      <c r="B99" t="str">
        <f>Scenario_Analysis!B147</f>
        <v>health_beauty</v>
      </c>
      <c r="C99" s="9">
        <f>Scenario_Analysis!D147</f>
        <v>0.54953596569353425</v>
      </c>
      <c r="D99" s="11" t="str">
        <f>Scenario_Analysis!E147</f>
        <v>OPTIMIZE</v>
      </c>
      <c r="E99" s="5">
        <f>Scenario_Analysis!G147</f>
        <v>0.50753597336035472</v>
      </c>
      <c r="F99" s="11" t="str">
        <f>Scenario_Analysis!I147</f>
        <v>OPTIMIZE</v>
      </c>
      <c r="G99" s="9">
        <f>Scenario_Analysis!K147</f>
        <v>0.54912195739036784</v>
      </c>
      <c r="H99" s="11" t="str">
        <f>Scenario_Analysis!M147</f>
        <v>OPTIMIZE</v>
      </c>
      <c r="I99" s="9">
        <f>Scenario_Analysis!O147</f>
        <v>0.52582733230898349</v>
      </c>
      <c r="J99" s="11" t="str">
        <f>Scenario_Analysis!Q147</f>
        <v>OPTIMIZE</v>
      </c>
      <c r="K99" s="53" t="str">
        <f>Scenario_Analysis!R147</f>
        <v>Stable</v>
      </c>
    </row>
    <row r="100" spans="1:11" x14ac:dyDescent="0.35">
      <c r="A100" s="218" t="str">
        <f>Scenario_Analysis!A149</f>
        <v>437c05a395e9e47f9762e677a7068ce7</v>
      </c>
      <c r="B100" t="str">
        <f>Scenario_Analysis!B149</f>
        <v>health_beauty</v>
      </c>
      <c r="C100" s="9">
        <f>Scenario_Analysis!D149</f>
        <v>0.24590514713369957</v>
      </c>
      <c r="D100" s="11" t="str">
        <f>Scenario_Analysis!E149</f>
        <v>OPTIMIZE</v>
      </c>
      <c r="E100" s="5">
        <f>Scenario_Analysis!G149</f>
        <v>0.20390517549185269</v>
      </c>
      <c r="F100" s="11" t="str">
        <f>Scenario_Analysis!I149</f>
        <v>OPTIMIZE</v>
      </c>
      <c r="G100" s="9">
        <f>Scenario_Analysis!K149</f>
        <v>0.23871248828614922</v>
      </c>
      <c r="H100" s="11" t="str">
        <f>Scenario_Analysis!M149</f>
        <v>OPTIMIZE</v>
      </c>
      <c r="I100" s="9">
        <f>Scenario_Analysis!O149</f>
        <v>0.2062159443512627</v>
      </c>
      <c r="J100" s="11" t="str">
        <f>Scenario_Analysis!Q149</f>
        <v>OPTIMIZE</v>
      </c>
      <c r="K100" s="53" t="str">
        <f>Scenario_Analysis!R149</f>
        <v>Stable</v>
      </c>
    </row>
    <row r="101" spans="1:11" x14ac:dyDescent="0.35">
      <c r="A101" s="218" t="str">
        <f>Scenario_Analysis!A152</f>
        <v>2028bf1b01cafb2d2b1901fca4083222</v>
      </c>
      <c r="B101" t="str">
        <f>Scenario_Analysis!B152</f>
        <v>perfumery</v>
      </c>
      <c r="C101" s="9">
        <f>Scenario_Analysis!D152</f>
        <v>0.24476198665384677</v>
      </c>
      <c r="D101" s="11" t="str">
        <f>Scenario_Analysis!E152</f>
        <v>OPTIMIZE</v>
      </c>
      <c r="E101" s="5">
        <f>Scenario_Analysis!G152</f>
        <v>0.20276199186515215</v>
      </c>
      <c r="F101" s="11" t="str">
        <f>Scenario_Analysis!I152</f>
        <v>OPTIMIZE</v>
      </c>
      <c r="G101" s="9">
        <f>Scenario_Analysis!K152</f>
        <v>0.23828954533965985</v>
      </c>
      <c r="H101" s="11" t="str">
        <f>Scenario_Analysis!M152</f>
        <v>OPTIMIZE</v>
      </c>
      <c r="I101" s="9">
        <f>Scenario_Analysis!O152</f>
        <v>0.20501261753036504</v>
      </c>
      <c r="J101" s="11" t="str">
        <f>Scenario_Analysis!Q152</f>
        <v>OPTIMIZE</v>
      </c>
      <c r="K101" s="53" t="str">
        <f>Scenario_Analysis!R152</f>
        <v>Stable</v>
      </c>
    </row>
    <row r="102" spans="1:11" x14ac:dyDescent="0.35">
      <c r="A102" s="218" t="str">
        <f>Scenario_Analysis!A156</f>
        <v>0abc19e41fdc9d6894b8cae651619253</v>
      </c>
      <c r="B102" t="str">
        <f>Scenario_Analysis!B156</f>
        <v>electronics</v>
      </c>
      <c r="C102" s="9">
        <f>Scenario_Analysis!D156</f>
        <v>0.36798063623789762</v>
      </c>
      <c r="D102" s="11" t="str">
        <f>Scenario_Analysis!E156</f>
        <v>OPTIMIZE</v>
      </c>
      <c r="E102" s="5">
        <f>Scenario_Analysis!G156</f>
        <v>0.3109806633580125</v>
      </c>
      <c r="F102" s="11" t="str">
        <f>Scenario_Analysis!I156</f>
        <v>OPTIMIZE</v>
      </c>
      <c r="G102" s="9">
        <f>Scenario_Analysis!K156</f>
        <v>0.36761451468554229</v>
      </c>
      <c r="H102" s="11" t="str">
        <f>Scenario_Analysis!M156</f>
        <v>OPTIMIZE</v>
      </c>
      <c r="I102" s="9">
        <f>Scenario_Analysis!O156</f>
        <v>0.33471645919778692</v>
      </c>
      <c r="J102" s="11" t="str">
        <f>Scenario_Analysis!Q156</f>
        <v>OPTIMIZE</v>
      </c>
      <c r="K102" s="53" t="str">
        <f>Scenario_Analysis!R156</f>
        <v>Stable</v>
      </c>
    </row>
    <row r="103" spans="1:11" x14ac:dyDescent="0.35">
      <c r="A103" s="218" t="str">
        <f>Scenario_Analysis!A161</f>
        <v>93c902b021a9e594f658ab1b0351602a</v>
      </c>
      <c r="B103" t="str">
        <f>Scenario_Analysis!B161</f>
        <v>electronics</v>
      </c>
      <c r="C103" s="9">
        <f>Scenario_Analysis!D161</f>
        <v>0.17840683827974527</v>
      </c>
      <c r="D103" s="11" t="str">
        <f>Scenario_Analysis!E161</f>
        <v>OPTIMIZE</v>
      </c>
      <c r="E103" s="5">
        <f>Scenario_Analysis!G161</f>
        <v>0.12140688045663514</v>
      </c>
      <c r="F103" s="11" t="str">
        <f>Scenario_Analysis!I161</f>
        <v>OPTIMIZE</v>
      </c>
      <c r="G103" s="9">
        <f>Scenario_Analysis!K161</f>
        <v>0.16942316073612726</v>
      </c>
      <c r="H103" s="11" t="str">
        <f>Scenario_Analysis!M161</f>
        <v>OPTIMIZE</v>
      </c>
      <c r="I103" s="9">
        <f>Scenario_Analysis!O161</f>
        <v>0.13516509292604759</v>
      </c>
      <c r="J103" s="11" t="str">
        <f>Scenario_Analysis!Q161</f>
        <v>OPTIMIZE</v>
      </c>
      <c r="K103" s="53" t="str">
        <f>Scenario_Analysis!R161</f>
        <v>Stable</v>
      </c>
    </row>
    <row r="104" spans="1:11" x14ac:dyDescent="0.35">
      <c r="A104" s="218" t="str">
        <f>Scenario_Analysis!A163</f>
        <v>a9516a079e37a9c9c36b9b78b10169e8</v>
      </c>
      <c r="B104" t="str">
        <f>Scenario_Analysis!B163</f>
        <v>office_furniture</v>
      </c>
      <c r="C104" s="9">
        <f>Scenario_Analysis!D163</f>
        <v>0.184033590773613</v>
      </c>
      <c r="D104" s="11" t="str">
        <f>Scenario_Analysis!E163</f>
        <v>OPTIMIZE</v>
      </c>
      <c r="E104" s="5">
        <f>Scenario_Analysis!G163</f>
        <v>0.13903365467219314</v>
      </c>
      <c r="F104" s="11" t="str">
        <f>Scenario_Analysis!I163</f>
        <v>OPTIMIZE</v>
      </c>
      <c r="G104" s="9">
        <f>Scenario_Analysis!K163</f>
        <v>0.18101757778942154</v>
      </c>
      <c r="H104" s="11" t="str">
        <f>Scenario_Analysis!M163</f>
        <v>OPTIMIZE</v>
      </c>
      <c r="I104" s="9">
        <f>Scenario_Analysis!O163</f>
        <v>0.14108799028801369</v>
      </c>
      <c r="J104" s="11" t="str">
        <f>Scenario_Analysis!Q163</f>
        <v>OPTIMIZE</v>
      </c>
      <c r="K104" s="53" t="str">
        <f>Scenario_Analysis!R163</f>
        <v>Stable</v>
      </c>
    </row>
    <row r="105" spans="1:11" x14ac:dyDescent="0.35">
      <c r="A105" s="218" t="str">
        <f>Scenario_Analysis!A167</f>
        <v>41cd333a4af5e36df81fc0b83ccf8e2d</v>
      </c>
      <c r="B105" t="str">
        <f>Scenario_Analysis!B167</f>
        <v>baby</v>
      </c>
      <c r="C105" s="9">
        <f>Scenario_Analysis!D167</f>
        <v>0.49867257271463183</v>
      </c>
      <c r="D105" s="11" t="str">
        <f>Scenario_Analysis!E167</f>
        <v>OPTIMIZE</v>
      </c>
      <c r="E105" s="5">
        <f>Scenario_Analysis!G167</f>
        <v>0.45667254404449603</v>
      </c>
      <c r="F105" s="11" t="str">
        <f>Scenario_Analysis!I167</f>
        <v>OPTIMIZE</v>
      </c>
      <c r="G105" s="9">
        <f>Scenario_Analysis!K167</f>
        <v>0.49774366031623157</v>
      </c>
      <c r="H105" s="11" t="str">
        <f>Scenario_Analysis!M167</f>
        <v>OPTIMIZE</v>
      </c>
      <c r="I105" s="9">
        <f>Scenario_Analysis!O167</f>
        <v>0.47228691864698086</v>
      </c>
      <c r="J105" s="11" t="str">
        <f>Scenario_Analysis!Q167</f>
        <v>OPTIMIZE</v>
      </c>
      <c r="K105" s="53" t="str">
        <f>Scenario_Analysis!R167</f>
        <v>Stable</v>
      </c>
    </row>
    <row r="106" spans="1:11" x14ac:dyDescent="0.35">
      <c r="A106" s="218" t="str">
        <f>Scenario_Analysis!A168</f>
        <v>dbb67791e405873b259e4656bf971246</v>
      </c>
      <c r="B106" t="str">
        <f>Scenario_Analysis!B168</f>
        <v>computers_accessories</v>
      </c>
      <c r="C106" s="9">
        <f>Scenario_Analysis!D168</f>
        <v>0.12854371882781848</v>
      </c>
      <c r="D106" s="11" t="str">
        <f>Scenario_Analysis!E168</f>
        <v>OPTIMIZE</v>
      </c>
      <c r="E106" s="5">
        <f>Scenario_Analysis!G168</f>
        <v>7.1543731730359772E-2</v>
      </c>
      <c r="F106" s="11" t="str">
        <f>Scenario_Analysis!I168</f>
        <v>EXIT</v>
      </c>
      <c r="G106" s="9">
        <f>Scenario_Analysis!K168</f>
        <v>0.11718948242172104</v>
      </c>
      <c r="H106" s="11" t="str">
        <f>Scenario_Analysis!M168</f>
        <v>OPTIMIZE</v>
      </c>
      <c r="I106" s="9">
        <f>Scenario_Analysis!O168</f>
        <v>8.2677598766124683E-2</v>
      </c>
      <c r="J106" s="11" t="str">
        <f>Scenario_Analysis!Q168</f>
        <v>EXIT</v>
      </c>
      <c r="K106" s="53" t="str">
        <f>Scenario_Analysis!R168</f>
        <v>Decision changes</v>
      </c>
    </row>
    <row r="107" spans="1:11" x14ac:dyDescent="0.35">
      <c r="A107" s="218" t="str">
        <f>Scenario_Analysis!A174</f>
        <v>d017a2151d543a9885604dc62a3d9dcc</v>
      </c>
      <c r="B107" t="str">
        <f>Scenario_Analysis!B174</f>
        <v>fashion_bags_accessories</v>
      </c>
      <c r="C107" s="9">
        <f>Scenario_Analysis!D174</f>
        <v>0.20442128279883381</v>
      </c>
      <c r="D107" s="11" t="str">
        <f>Scenario_Analysis!E174</f>
        <v>OPTIMIZE</v>
      </c>
      <c r="E107" s="5">
        <f>Scenario_Analysis!G174</f>
        <v>0.16242128279883375</v>
      </c>
      <c r="F107" s="11" t="str">
        <f>Scenario_Analysis!I174</f>
        <v>OPTIMIZE</v>
      </c>
      <c r="G107" s="9">
        <f>Scenario_Analysis!K174</f>
        <v>0.18605393586005831</v>
      </c>
      <c r="H107" s="11" t="str">
        <f>Scenario_Analysis!M174</f>
        <v>OPTIMIZE</v>
      </c>
      <c r="I107" s="9">
        <f>Scenario_Analysis!O174</f>
        <v>0.16254871873561452</v>
      </c>
      <c r="J107" s="11" t="str">
        <f>Scenario_Analysis!Q174</f>
        <v>OPTIMIZE</v>
      </c>
      <c r="K107" s="53" t="str">
        <f>Scenario_Analysis!R174</f>
        <v>Stable</v>
      </c>
    </row>
    <row r="108" spans="1:11" x14ac:dyDescent="0.35">
      <c r="A108" s="218" t="str">
        <f>Scenario_Analysis!A176</f>
        <v>64fb265487de2238627ce43fe8a67efc</v>
      </c>
      <c r="B108" t="str">
        <f>Scenario_Analysis!B176</f>
        <v>bed_bath_table</v>
      </c>
      <c r="C108" s="9">
        <f>Scenario_Analysis!D176</f>
        <v>0.2077433980564089</v>
      </c>
      <c r="D108" s="11" t="str">
        <f>Scenario_Analysis!E176</f>
        <v>OPTIMIZE</v>
      </c>
      <c r="E108" s="5">
        <f>Scenario_Analysis!G176</f>
        <v>0.1627434053598478</v>
      </c>
      <c r="F108" s="11" t="str">
        <f>Scenario_Analysis!I176</f>
        <v>OPTIMIZE</v>
      </c>
      <c r="G108" s="9">
        <f>Scenario_Analysis!K176</f>
        <v>0.20379954105189976</v>
      </c>
      <c r="H108" s="11" t="str">
        <f>Scenario_Analysis!M176</f>
        <v>OPTIMIZE</v>
      </c>
      <c r="I108" s="9">
        <f>Scenario_Analysis!O176</f>
        <v>0.16604568216464094</v>
      </c>
      <c r="J108" s="11" t="str">
        <f>Scenario_Analysis!Q176</f>
        <v>OPTIMIZE</v>
      </c>
      <c r="K108" s="53" t="str">
        <f>Scenario_Analysis!R176</f>
        <v>Stable</v>
      </c>
    </row>
    <row r="109" spans="1:11" x14ac:dyDescent="0.35">
      <c r="A109" s="218" t="str">
        <f>Scenario_Analysis!A177</f>
        <v>aba86c093ccdbac75b09111d57e50004</v>
      </c>
      <c r="B109" t="str">
        <f>Scenario_Analysis!B177</f>
        <v>office_furniture</v>
      </c>
      <c r="C109" s="9">
        <f>Scenario_Analysis!D177</f>
        <v>0.2562749296105114</v>
      </c>
      <c r="D109" s="11" t="str">
        <f>Scenario_Analysis!E177</f>
        <v>OPTIMIZE</v>
      </c>
      <c r="E109" s="5">
        <f>Scenario_Analysis!G177</f>
        <v>0.21127492961051142</v>
      </c>
      <c r="F109" s="11" t="str">
        <f>Scenario_Analysis!I177</f>
        <v>OPTIMIZE</v>
      </c>
      <c r="G109" s="9">
        <f>Scenario_Analysis!K177</f>
        <v>0.25326577897700608</v>
      </c>
      <c r="H109" s="11" t="str">
        <f>Scenario_Analysis!M177</f>
        <v>OPTIMIZE</v>
      </c>
      <c r="I109" s="9">
        <f>Scenario_Analysis!O177</f>
        <v>0.21713150485316993</v>
      </c>
      <c r="J109" s="11" t="str">
        <f>Scenario_Analysis!Q177</f>
        <v>OPTIMIZE</v>
      </c>
      <c r="K109" s="53" t="str">
        <f>Scenario_Analysis!R177</f>
        <v>Stable</v>
      </c>
    </row>
    <row r="110" spans="1:11" x14ac:dyDescent="0.35">
      <c r="A110" s="218" t="str">
        <f>Scenario_Analysis!A183</f>
        <v>69c590f7ffc7bf8db97190b6cb6ed62e</v>
      </c>
      <c r="B110" t="str">
        <f>Scenario_Analysis!B183</f>
        <v>computers</v>
      </c>
      <c r="C110" s="9">
        <f>Scenario_Analysis!D183</f>
        <v>0.39933273889136572</v>
      </c>
      <c r="D110" s="11" t="str">
        <f>Scenario_Analysis!E183</f>
        <v>OPTIMIZE</v>
      </c>
      <c r="E110" s="5">
        <f>Scenario_Analysis!G183</f>
        <v>0.34233273889136567</v>
      </c>
      <c r="F110" s="11" t="str">
        <f>Scenario_Analysis!I183</f>
        <v>EXIT</v>
      </c>
      <c r="G110" s="9">
        <f>Scenario_Analysis!K183</f>
        <v>0.39919898944865501</v>
      </c>
      <c r="H110" s="11" t="str">
        <f>Scenario_Analysis!M183</f>
        <v>EXIT</v>
      </c>
      <c r="I110" s="9">
        <f>Scenario_Analysis!O183</f>
        <v>0.36771867251722701</v>
      </c>
      <c r="J110" s="11" t="str">
        <f>Scenario_Analysis!Q183</f>
        <v>EXIT</v>
      </c>
      <c r="K110" s="53" t="str">
        <f>Scenario_Analysis!R183</f>
        <v>Decision changes</v>
      </c>
    </row>
    <row r="111" spans="1:11" x14ac:dyDescent="0.35">
      <c r="A111" s="218" t="str">
        <f>Scenario_Analysis!A187</f>
        <v>f71973c922ccaab05514a36a8bc741b8</v>
      </c>
      <c r="B111" t="str">
        <f>Scenario_Analysis!B187</f>
        <v>luggage_accessories</v>
      </c>
      <c r="C111" s="9">
        <f>Scenario_Analysis!D187</f>
        <v>0.14067399466773536</v>
      </c>
      <c r="D111" s="11" t="str">
        <f>Scenario_Analysis!E187</f>
        <v>OPTIMIZE</v>
      </c>
      <c r="E111" s="5">
        <f>Scenario_Analysis!G187</f>
        <v>9.8673961770981783E-2</v>
      </c>
      <c r="F111" s="11" t="str">
        <f>Scenario_Analysis!I187</f>
        <v>EXIT</v>
      </c>
      <c r="G111" s="9">
        <f>Scenario_Analysis!K187</f>
        <v>0.13717497633676703</v>
      </c>
      <c r="H111" s="11" t="str">
        <f>Scenario_Analysis!M187</f>
        <v>OPTIMIZE</v>
      </c>
      <c r="I111" s="9">
        <f>Scenario_Analysis!O187</f>
        <v>9.5446310176563548E-2</v>
      </c>
      <c r="J111" s="11" t="str">
        <f>Scenario_Analysis!Q187</f>
        <v>EXIT</v>
      </c>
      <c r="K111" s="53" t="str">
        <f>Scenario_Analysis!R187</f>
        <v>Decision changes</v>
      </c>
    </row>
    <row r="112" spans="1:11" x14ac:dyDescent="0.35">
      <c r="A112" s="218" t="str">
        <f>Scenario_Analysis!A191</f>
        <v>777d2e438a1b645f3aec9bd57e92672c</v>
      </c>
      <c r="B112" t="str">
        <f>Scenario_Analysis!B191</f>
        <v>bed_bath_table</v>
      </c>
      <c r="C112" s="9">
        <f>Scenario_Analysis!D191</f>
        <v>0.18746612259813022</v>
      </c>
      <c r="D112" s="11" t="str">
        <f>Scenario_Analysis!E191</f>
        <v>OPTIMIZE</v>
      </c>
      <c r="E112" s="5">
        <f>Scenario_Analysis!G191</f>
        <v>0.14246612259813018</v>
      </c>
      <c r="F112" s="11" t="str">
        <f>Scenario_Analysis!I191</f>
        <v>OPTIMIZE</v>
      </c>
      <c r="G112" s="9">
        <f>Scenario_Analysis!K191</f>
        <v>0.18231371235421293</v>
      </c>
      <c r="H112" s="11" t="str">
        <f>Scenario_Analysis!M191</f>
        <v>OPTIMIZE</v>
      </c>
      <c r="I112" s="9">
        <f>Scenario_Analysis!O191</f>
        <v>0.1447011816822423</v>
      </c>
      <c r="J112" s="11" t="str">
        <f>Scenario_Analysis!Q191</f>
        <v>OPTIMIZE</v>
      </c>
      <c r="K112" s="53" t="str">
        <f>Scenario_Analysis!R191</f>
        <v>Stable</v>
      </c>
    </row>
    <row r="113" spans="1:11" x14ac:dyDescent="0.35">
      <c r="A113" s="218" t="str">
        <f>Scenario_Analysis!A193</f>
        <v>d2e131d6f19ae0d665fc1a6c420b4f4c</v>
      </c>
      <c r="B113" t="str">
        <f>Scenario_Analysis!B193</f>
        <v>watches_gifts</v>
      </c>
      <c r="C113" s="9">
        <f>Scenario_Analysis!D193</f>
        <v>0.5472858053188222</v>
      </c>
      <c r="D113" s="11" t="str">
        <f>Scenario_Analysis!E193</f>
        <v>OPTIMIZE</v>
      </c>
      <c r="E113" s="5">
        <f>Scenario_Analysis!G193</f>
        <v>0.50528581448762444</v>
      </c>
      <c r="F113" s="11" t="str">
        <f>Scenario_Analysis!I193</f>
        <v>OPTIMIZE</v>
      </c>
      <c r="G113" s="9">
        <f>Scenario_Analysis!K193</f>
        <v>0.54679068999821223</v>
      </c>
      <c r="H113" s="11" t="str">
        <f>Scenario_Analysis!M193</f>
        <v>OPTIMIZE</v>
      </c>
      <c r="I113" s="9">
        <f>Scenario_Analysis!O193</f>
        <v>0.52345874244086554</v>
      </c>
      <c r="J113" s="11" t="str">
        <f>Scenario_Analysis!Q193</f>
        <v>OPTIMIZE</v>
      </c>
      <c r="K113" s="53" t="str">
        <f>Scenario_Analysis!R193</f>
        <v>Stable</v>
      </c>
    </row>
    <row r="114" spans="1:11" x14ac:dyDescent="0.35">
      <c r="A114" s="218" t="str">
        <f>Scenario_Analysis!A194</f>
        <v>b192be433004cc1f10b467c0e9ea309b</v>
      </c>
      <c r="B114" t="str">
        <f>Scenario_Analysis!B194</f>
        <v>computers_accessories</v>
      </c>
      <c r="C114" s="9">
        <f>Scenario_Analysis!D194</f>
        <v>0.20350456219719082</v>
      </c>
      <c r="D114" s="11" t="str">
        <f>Scenario_Analysis!E194</f>
        <v>OPTIMIZE</v>
      </c>
      <c r="E114" s="5">
        <f>Scenario_Analysis!G194</f>
        <v>0.14650460804841878</v>
      </c>
      <c r="F114" s="11" t="str">
        <f>Scenario_Analysis!I194</f>
        <v>OPTIMIZE</v>
      </c>
      <c r="G114" s="9">
        <f>Scenario_Analysis!K194</f>
        <v>0.19869018325207474</v>
      </c>
      <c r="H114" s="11" t="str">
        <f>Scenario_Analysis!M194</f>
        <v>OPTIMIZE</v>
      </c>
      <c r="I114" s="9">
        <f>Scenario_Analysis!O194</f>
        <v>0.16158374968125344</v>
      </c>
      <c r="J114" s="11" t="str">
        <f>Scenario_Analysis!Q194</f>
        <v>OPTIMIZE</v>
      </c>
      <c r="K114" s="53" t="str">
        <f>Scenario_Analysis!R194</f>
        <v>Stable</v>
      </c>
    </row>
    <row r="115" spans="1:11" x14ac:dyDescent="0.35">
      <c r="A115" s="218" t="str">
        <f>Scenario_Analysis!A196</f>
        <v>628f5ed6c14790dcb9233c8dbf596175</v>
      </c>
      <c r="B115" t="str">
        <f>Scenario_Analysis!B196</f>
        <v>health_beauty</v>
      </c>
      <c r="C115" s="9">
        <f>Scenario_Analysis!D196</f>
        <v>0.5112272180554811</v>
      </c>
      <c r="D115" s="11" t="str">
        <f>Scenario_Analysis!E196</f>
        <v>OPTIMIZE</v>
      </c>
      <c r="E115" s="5">
        <f>Scenario_Analysis!G196</f>
        <v>0.46922723337751188</v>
      </c>
      <c r="F115" s="11" t="str">
        <f>Scenario_Analysis!I196</f>
        <v>OPTIMIZE</v>
      </c>
      <c r="G115" s="9">
        <f>Scenario_Analysis!K196</f>
        <v>0.5105653063257003</v>
      </c>
      <c r="H115" s="11" t="str">
        <f>Scenario_Analysis!M196</f>
        <v>OPTIMIZE</v>
      </c>
      <c r="I115" s="9">
        <f>Scenario_Analysis!O196</f>
        <v>0.48550233479524324</v>
      </c>
      <c r="J115" s="11" t="str">
        <f>Scenario_Analysis!Q196</f>
        <v>OPTIMIZE</v>
      </c>
      <c r="K115" s="53" t="str">
        <f>Scenario_Analysis!R196</f>
        <v>Stable</v>
      </c>
    </row>
    <row r="116" spans="1:11" x14ac:dyDescent="0.35">
      <c r="A116" s="218" t="str">
        <f>Scenario_Analysis!A204</f>
        <v>7612afaa8218e79b3011243ed9edea9c</v>
      </c>
      <c r="B116" t="str">
        <f>Scenario_Analysis!B204</f>
        <v>sports_leisure</v>
      </c>
      <c r="C116" s="9">
        <f>Scenario_Analysis!D204</f>
        <v>0.41670951156812347</v>
      </c>
      <c r="D116" s="11" t="str">
        <f>Scenario_Analysis!E204</f>
        <v>OPTIMIZE</v>
      </c>
      <c r="E116" s="5">
        <f>Scenario_Analysis!G204</f>
        <v>0.37470954291805131</v>
      </c>
      <c r="F116" s="11" t="str">
        <f>Scenario_Analysis!I204</f>
        <v>OPTIMIZE</v>
      </c>
      <c r="G116" s="9">
        <f>Scenario_Analysis!K204</f>
        <v>0.41580663364474263</v>
      </c>
      <c r="H116" s="11" t="str">
        <f>Scenario_Analysis!M204</f>
        <v>OPTIMIZE</v>
      </c>
      <c r="I116" s="9">
        <f>Scenario_Analysis!O204</f>
        <v>0.38601001217697201</v>
      </c>
      <c r="J116" s="11" t="str">
        <f>Scenario_Analysis!Q204</f>
        <v>OPTIMIZE</v>
      </c>
      <c r="K116" s="53" t="str">
        <f>Scenario_Analysis!R204</f>
        <v>Stable</v>
      </c>
    </row>
    <row r="117" spans="1:11" x14ac:dyDescent="0.35">
      <c r="A117" s="218" t="str">
        <f>Scenario_Analysis!A205</f>
        <v>15859e3a8aaa3c192c10a91d8722abd5</v>
      </c>
      <c r="B117" t="str">
        <f>Scenario_Analysis!B205</f>
        <v>health_beauty</v>
      </c>
      <c r="C117" s="9">
        <f>Scenario_Analysis!D205</f>
        <v>0.50010694884385154</v>
      </c>
      <c r="D117" s="11" t="str">
        <f>Scenario_Analysis!E205</f>
        <v>OPTIMIZE</v>
      </c>
      <c r="E117" s="5">
        <f>Scenario_Analysis!G205</f>
        <v>0.45810687964165836</v>
      </c>
      <c r="F117" s="11" t="str">
        <f>Scenario_Analysis!I205</f>
        <v>OPTIMIZE</v>
      </c>
      <c r="G117" s="9">
        <f>Scenario_Analysis!K205</f>
        <v>0.49891792934456092</v>
      </c>
      <c r="H117" s="11" t="str">
        <f>Scenario_Analysis!M205</f>
        <v>OPTIMIZE</v>
      </c>
      <c r="I117" s="9">
        <f>Scenario_Analysis!O205</f>
        <v>0.47379678825668575</v>
      </c>
      <c r="J117" s="11" t="str">
        <f>Scenario_Analysis!Q205</f>
        <v>OPTIMIZE</v>
      </c>
      <c r="K117" s="53" t="str">
        <f>Scenario_Analysis!R205</f>
        <v>Stable</v>
      </c>
    </row>
    <row r="118" spans="1:11" x14ac:dyDescent="0.35">
      <c r="A118" s="218" t="str">
        <f>Scenario_Analysis!A206</f>
        <v>6a162a899a815ed15db1689e8efc976c</v>
      </c>
      <c r="B118" t="str">
        <f>Scenario_Analysis!B206</f>
        <v>cool_stuff</v>
      </c>
      <c r="C118" s="9">
        <f>Scenario_Analysis!D206</f>
        <v>0.5064199086470309</v>
      </c>
      <c r="D118" s="11" t="str">
        <f>Scenario_Analysis!E206</f>
        <v>OPTIMIZE</v>
      </c>
      <c r="E118" s="5">
        <f>Scenario_Analysis!G206</f>
        <v>0.46141990864703086</v>
      </c>
      <c r="F118" s="11" t="str">
        <f>Scenario_Analysis!I206</f>
        <v>OPTIMIZE</v>
      </c>
      <c r="G118" s="9">
        <f>Scenario_Analysis!K206</f>
        <v>0.50585289021893209</v>
      </c>
      <c r="H118" s="11" t="str">
        <f>Scenario_Analysis!M206</f>
        <v>OPTIMIZE</v>
      </c>
      <c r="I118" s="9">
        <f>Scenario_Analysis!O206</f>
        <v>0.48044200910213775</v>
      </c>
      <c r="J118" s="11" t="str">
        <f>Scenario_Analysis!Q206</f>
        <v>OPTIMIZE</v>
      </c>
      <c r="K118" s="53" t="str">
        <f>Scenario_Analysis!R206</f>
        <v>Stable</v>
      </c>
    </row>
    <row r="119" spans="1:11" x14ac:dyDescent="0.35">
      <c r="A119" s="218" t="str">
        <f>Scenario_Analysis!A210</f>
        <v>bd9fca6bf4bdcbf4094d7bc11415dfe5</v>
      </c>
      <c r="B119" t="str">
        <f>Scenario_Analysis!B210</f>
        <v>small_appliances</v>
      </c>
      <c r="C119" s="9">
        <f>Scenario_Analysis!D210</f>
        <v>0.39892295472597294</v>
      </c>
      <c r="D119" s="11" t="str">
        <f>Scenario_Analysis!E210</f>
        <v>OPTIMIZE</v>
      </c>
      <c r="E119" s="5">
        <f>Scenario_Analysis!G210</f>
        <v>0.34192295472597289</v>
      </c>
      <c r="F119" s="11" t="str">
        <f>Scenario_Analysis!I210</f>
        <v>OPTIMIZE</v>
      </c>
      <c r="G119" s="9">
        <f>Scenario_Analysis!K210</f>
        <v>0.39863701350277991</v>
      </c>
      <c r="H119" s="11" t="str">
        <f>Scenario_Analysis!M210</f>
        <v>OPTIMIZE</v>
      </c>
      <c r="I119" s="9">
        <f>Scenario_Analysis!O210</f>
        <v>0.36728732076418208</v>
      </c>
      <c r="J119" s="11" t="str">
        <f>Scenario_Analysis!Q210</f>
        <v>OPTIMIZE</v>
      </c>
      <c r="K119" s="53" t="str">
        <f>Scenario_Analysis!R210</f>
        <v>Stable</v>
      </c>
    </row>
    <row r="120" spans="1:11" x14ac:dyDescent="0.35">
      <c r="A120" s="218" t="str">
        <f>Scenario_Analysis!A213</f>
        <v>30ac6df06dc59ad72cf2f158fc2d904c</v>
      </c>
      <c r="B120" t="str">
        <f>Scenario_Analysis!B213</f>
        <v>housewares</v>
      </c>
      <c r="C120" s="9">
        <f>Scenario_Analysis!D213</f>
        <v>0.27132545512615774</v>
      </c>
      <c r="D120" s="11" t="str">
        <f>Scenario_Analysis!E213</f>
        <v>OPTIMIZE</v>
      </c>
      <c r="E120" s="5">
        <f>Scenario_Analysis!G213</f>
        <v>0.22632545512615768</v>
      </c>
      <c r="F120" s="11" t="str">
        <f>Scenario_Analysis!I213</f>
        <v>OPTIMIZE</v>
      </c>
      <c r="G120" s="9">
        <f>Scenario_Analysis!K213</f>
        <v>0.2681635260300223</v>
      </c>
      <c r="H120" s="11" t="str">
        <f>Scenario_Analysis!M213</f>
        <v>OPTIMIZE</v>
      </c>
      <c r="I120" s="9">
        <f>Scenario_Analysis!O213</f>
        <v>0.23297416329069232</v>
      </c>
      <c r="J120" s="11" t="str">
        <f>Scenario_Analysis!Q213</f>
        <v>OPTIMIZE</v>
      </c>
      <c r="K120" s="53" t="str">
        <f>Scenario_Analysis!R213</f>
        <v>Stable</v>
      </c>
    </row>
    <row r="121" spans="1:11" x14ac:dyDescent="0.35">
      <c r="A121" s="218" t="str">
        <f>Scenario_Analysis!A214</f>
        <v>dc9471db933efad7bf0ce685380578bd</v>
      </c>
      <c r="B121" t="str">
        <f>Scenario_Analysis!B214</f>
        <v>computers_accessories</v>
      </c>
      <c r="C121" s="9">
        <f>Scenario_Analysis!D214</f>
        <v>0.3063251965060606</v>
      </c>
      <c r="D121" s="11" t="str">
        <f>Scenario_Analysis!E214</f>
        <v>OPTIMIZE</v>
      </c>
      <c r="E121" s="5">
        <f>Scenario_Analysis!G214</f>
        <v>0.24932522373738747</v>
      </c>
      <c r="F121" s="11" t="str">
        <f>Scenario_Analysis!I214</f>
        <v>OPTIMIZE</v>
      </c>
      <c r="G121" s="9">
        <f>Scenario_Analysis!K214</f>
        <v>0.30315354784143678</v>
      </c>
      <c r="H121" s="11" t="str">
        <f>Scenario_Analysis!M214</f>
        <v>OPTIMIZE</v>
      </c>
      <c r="I121" s="9">
        <f>Scenario_Analysis!O214</f>
        <v>0.26981599632216896</v>
      </c>
      <c r="J121" s="11" t="str">
        <f>Scenario_Analysis!Q214</f>
        <v>OPTIMIZE</v>
      </c>
      <c r="K121" s="53" t="str">
        <f>Scenario_Analysis!R214</f>
        <v>Stable</v>
      </c>
    </row>
    <row r="122" spans="1:11" x14ac:dyDescent="0.35">
      <c r="A122" s="218" t="str">
        <f>Scenario_Analysis!A217</f>
        <v>b9ac7314894a193a11fd3150f8c69307</v>
      </c>
      <c r="B122" t="str">
        <f>Scenario_Analysis!B217</f>
        <v>health_beauty</v>
      </c>
      <c r="C122" s="9">
        <f>Scenario_Analysis!D217</f>
        <v>0.50256318772653918</v>
      </c>
      <c r="D122" s="11" t="str">
        <f>Scenario_Analysis!E217</f>
        <v>OPTIMIZE</v>
      </c>
      <c r="E122" s="5">
        <f>Scenario_Analysis!G217</f>
        <v>0.46056323637926411</v>
      </c>
      <c r="F122" s="11" t="str">
        <f>Scenario_Analysis!I217</f>
        <v>OPTIMIZE</v>
      </c>
      <c r="G122" s="9">
        <f>Scenario_Analysis!K217</f>
        <v>0.50192097175709305</v>
      </c>
      <c r="H122" s="11" t="str">
        <f>Scenario_Analysis!M217</f>
        <v>OPTIMIZE</v>
      </c>
      <c r="I122" s="9">
        <f>Scenario_Analysis!O217</f>
        <v>0.47638230287004124</v>
      </c>
      <c r="J122" s="11" t="str">
        <f>Scenario_Analysis!Q217</f>
        <v>OPTIMIZE</v>
      </c>
      <c r="K122" s="53" t="str">
        <f>Scenario_Analysis!R217</f>
        <v>Stable</v>
      </c>
    </row>
    <row r="123" spans="1:11" x14ac:dyDescent="0.35">
      <c r="A123" s="218" t="str">
        <f>Scenario_Analysis!A220</f>
        <v>d6fe3b4ddecd4a8393c6a1385de3bfb6</v>
      </c>
      <c r="B123" t="str">
        <f>Scenario_Analysis!B220</f>
        <v>office_furniture</v>
      </c>
      <c r="C123" s="9">
        <f>Scenario_Analysis!D220</f>
        <v>0.27754428855047836</v>
      </c>
      <c r="D123" s="11" t="str">
        <f>Scenario_Analysis!E220</f>
        <v>OPTIMIZE</v>
      </c>
      <c r="E123" s="5">
        <f>Scenario_Analysis!G220</f>
        <v>0.23254423173386451</v>
      </c>
      <c r="F123" s="11" t="str">
        <f>Scenario_Analysis!I220</f>
        <v>OPTIMIZE</v>
      </c>
      <c r="G123" s="9">
        <f>Scenario_Analysis!K220</f>
        <v>0.27573265023530202</v>
      </c>
      <c r="H123" s="11" t="str">
        <f>Scenario_Analysis!M220</f>
        <v>OPTIMIZE</v>
      </c>
      <c r="I123" s="9">
        <f>Scenario_Analysis!O220</f>
        <v>0.23952030373734565</v>
      </c>
      <c r="J123" s="11" t="str">
        <f>Scenario_Analysis!Q220</f>
        <v>OPTIMIZE</v>
      </c>
      <c r="K123" s="53" t="str">
        <f>Scenario_Analysis!R220</f>
        <v>Stable</v>
      </c>
    </row>
    <row r="124" spans="1:11" x14ac:dyDescent="0.35">
      <c r="A124" s="218" t="str">
        <f>Scenario_Analysis!A224</f>
        <v>386486367c1f9d4f587a8864ccb6902b</v>
      </c>
      <c r="B124" t="str">
        <f>Scenario_Analysis!B224</f>
        <v>bed_bath_table</v>
      </c>
      <c r="C124" s="9">
        <f>Scenario_Analysis!D224</f>
        <v>0.31035450577244722</v>
      </c>
      <c r="D124" s="11" t="str">
        <f>Scenario_Analysis!E224</f>
        <v>OPTIMIZE</v>
      </c>
      <c r="E124" s="5">
        <f>Scenario_Analysis!G224</f>
        <v>0.26535454656712759</v>
      </c>
      <c r="F124" s="11" t="str">
        <f>Scenario_Analysis!I224</f>
        <v>OPTIMIZE</v>
      </c>
      <c r="G124" s="9">
        <f>Scenario_Analysis!K224</f>
        <v>0.30712356708685185</v>
      </c>
      <c r="H124" s="11" t="str">
        <f>Scenario_Analysis!M224</f>
        <v>OPTIMIZE</v>
      </c>
      <c r="I124" s="9">
        <f>Scenario_Analysis!O224</f>
        <v>0.27405737449731282</v>
      </c>
      <c r="J124" s="11" t="str">
        <f>Scenario_Analysis!Q224</f>
        <v>OPTIMIZE</v>
      </c>
      <c r="K124" s="53" t="str">
        <f>Scenario_Analysis!R224</f>
        <v>Stable</v>
      </c>
    </row>
    <row r="125" spans="1:11" x14ac:dyDescent="0.35">
      <c r="A125" s="218" t="str">
        <f>Scenario_Analysis!A226</f>
        <v>23e44bcf966914b366c7e28f13327dfe</v>
      </c>
      <c r="B125" t="str">
        <f>Scenario_Analysis!B226</f>
        <v>garden_tools</v>
      </c>
      <c r="C125" s="9">
        <f>Scenario_Analysis!D226</f>
        <v>0.49776573024478399</v>
      </c>
      <c r="D125" s="11" t="str">
        <f>Scenario_Analysis!E226</f>
        <v>OPTIMIZE</v>
      </c>
      <c r="E125" s="5">
        <f>Scenario_Analysis!G226</f>
        <v>0.45276573024478389</v>
      </c>
      <c r="F125" s="11" t="str">
        <f>Scenario_Analysis!I226</f>
        <v>OPTIMIZE</v>
      </c>
      <c r="G125" s="9">
        <f>Scenario_Analysis!K226</f>
        <v>0.49758830294069328</v>
      </c>
      <c r="H125" s="11" t="str">
        <f>Scenario_Analysis!M226</f>
        <v>OPTIMIZE</v>
      </c>
      <c r="I125" s="9">
        <f>Scenario_Analysis!O226</f>
        <v>0.47133234762608839</v>
      </c>
      <c r="J125" s="11" t="str">
        <f>Scenario_Analysis!Q226</f>
        <v>OPTIMIZE</v>
      </c>
      <c r="K125" s="53" t="str">
        <f>Scenario_Analysis!R226</f>
        <v>Stable</v>
      </c>
    </row>
    <row r="126" spans="1:11" x14ac:dyDescent="0.35">
      <c r="A126" s="218" t="str">
        <f>Scenario_Analysis!A228</f>
        <v>83b00325c13c44245b2c3a2befa62a0e</v>
      </c>
      <c r="B126" t="str">
        <f>Scenario_Analysis!B228</f>
        <v>baby</v>
      </c>
      <c r="C126" s="9">
        <f>Scenario_Analysis!D228</f>
        <v>0.20063525499075524</v>
      </c>
      <c r="D126" s="11" t="str">
        <f>Scenario_Analysis!E228</f>
        <v>OPTIMIZE</v>
      </c>
      <c r="E126" s="5">
        <f>Scenario_Analysis!G228</f>
        <v>0.15863533140741207</v>
      </c>
      <c r="F126" s="11" t="str">
        <f>Scenario_Analysis!I228</f>
        <v>OPTIMIZE</v>
      </c>
      <c r="G126" s="9">
        <f>Scenario_Analysis!K228</f>
        <v>0.19836269006566859</v>
      </c>
      <c r="H126" s="11" t="str">
        <f>Scenario_Analysis!M228</f>
        <v>OPTIMIZE</v>
      </c>
      <c r="I126" s="9">
        <f>Scenario_Analysis!O228</f>
        <v>0.15856342630605816</v>
      </c>
      <c r="J126" s="11" t="str">
        <f>Scenario_Analysis!Q228</f>
        <v>OPTIMIZE</v>
      </c>
      <c r="K126" s="53" t="str">
        <f>Scenario_Analysis!R228</f>
        <v>Stable</v>
      </c>
    </row>
    <row r="127" spans="1:11" x14ac:dyDescent="0.35">
      <c r="A127" s="218" t="str">
        <f>Scenario_Analysis!A231</f>
        <v>cf78006a2a6b0429b9663edd99bb38f9</v>
      </c>
      <c r="B127" t="str">
        <f>Scenario_Analysis!B231</f>
        <v>furniture_decor</v>
      </c>
      <c r="C127" s="9">
        <f>Scenario_Analysis!D231</f>
        <v>0.41233707790259683</v>
      </c>
      <c r="D127" s="11" t="str">
        <f>Scenario_Analysis!E231</f>
        <v>OPTIMIZE</v>
      </c>
      <c r="E127" s="5">
        <f>Scenario_Analysis!G231</f>
        <v>0.36733707790259673</v>
      </c>
      <c r="F127" s="11" t="str">
        <f>Scenario_Analysis!I231</f>
        <v>OPTIMIZE</v>
      </c>
      <c r="G127" s="9">
        <f>Scenario_Analysis!K231</f>
        <v>0.41113703790126349</v>
      </c>
      <c r="H127" s="11" t="str">
        <f>Scenario_Analysis!M231</f>
        <v>OPTIMIZE</v>
      </c>
      <c r="I127" s="9">
        <f>Scenario_Analysis!O231</f>
        <v>0.38140745042378604</v>
      </c>
      <c r="J127" s="11" t="str">
        <f>Scenario_Analysis!Q231</f>
        <v>OPTIMIZE</v>
      </c>
      <c r="K127" s="53" t="str">
        <f>Scenario_Analysis!R231</f>
        <v>Stable</v>
      </c>
    </row>
    <row r="128" spans="1:11" x14ac:dyDescent="0.35">
      <c r="A128" s="218" t="str">
        <f>Scenario_Analysis!A232</f>
        <v>59f09deeea7c839a9212a19f3416b892</v>
      </c>
      <c r="B128" t="str">
        <f>Scenario_Analysis!B232</f>
        <v>housewares</v>
      </c>
      <c r="C128" s="9">
        <f>Scenario_Analysis!D232</f>
        <v>0.29921145638837016</v>
      </c>
      <c r="D128" s="11" t="str">
        <f>Scenario_Analysis!E232</f>
        <v>OPTIMIZE</v>
      </c>
      <c r="E128" s="5">
        <f>Scenario_Analysis!G232</f>
        <v>0.25421145638837006</v>
      </c>
      <c r="F128" s="11" t="str">
        <f>Scenario_Analysis!I232</f>
        <v>OPTIMIZE</v>
      </c>
      <c r="G128" s="9">
        <f>Scenario_Analysis!K232</f>
        <v>0.29825120032008523</v>
      </c>
      <c r="H128" s="11" t="str">
        <f>Scenario_Analysis!M232</f>
        <v>OPTIMIZE</v>
      </c>
      <c r="I128" s="9">
        <f>Scenario_Analysis!O232</f>
        <v>0.26232784882986326</v>
      </c>
      <c r="J128" s="11" t="str">
        <f>Scenario_Analysis!Q232</f>
        <v>OPTIMIZE</v>
      </c>
      <c r="K128" s="53" t="str">
        <f>Scenario_Analysis!R232</f>
        <v>Stable</v>
      </c>
    </row>
    <row r="129" spans="1:11" x14ac:dyDescent="0.35">
      <c r="A129" s="218" t="str">
        <f>Scenario_Analysis!A234</f>
        <v>b914a18d4547eff292fedeccc82faec6</v>
      </c>
      <c r="B129" t="str">
        <f>Scenario_Analysis!B234</f>
        <v>watches_gifts</v>
      </c>
      <c r="C129" s="9">
        <f>Scenario_Analysis!D234</f>
        <v>0.54362493637995235</v>
      </c>
      <c r="D129" s="11" t="str">
        <f>Scenario_Analysis!E234</f>
        <v>OPTIMIZE</v>
      </c>
      <c r="E129" s="5">
        <f>Scenario_Analysis!G234</f>
        <v>0.50162498995472937</v>
      </c>
      <c r="F129" s="11" t="str">
        <f>Scenario_Analysis!I234</f>
        <v>OPTIMIZE</v>
      </c>
      <c r="G129" s="9">
        <f>Scenario_Analysis!K234</f>
        <v>0.54314276338699741</v>
      </c>
      <c r="H129" s="11" t="str">
        <f>Scenario_Analysis!M234</f>
        <v>OPTIMIZE</v>
      </c>
      <c r="I129" s="9">
        <f>Scenario_Analysis!O234</f>
        <v>0.51960519618942347</v>
      </c>
      <c r="J129" s="11" t="str">
        <f>Scenario_Analysis!Q234</f>
        <v>OPTIMIZE</v>
      </c>
      <c r="K129" s="53" t="str">
        <f>Scenario_Analysis!R234</f>
        <v>Stable</v>
      </c>
    </row>
    <row r="130" spans="1:11" x14ac:dyDescent="0.35">
      <c r="A130" s="218" t="str">
        <f>Scenario_Analysis!A240</f>
        <v>404a57563d487aecbc2b1a01d9b89aab</v>
      </c>
      <c r="B130" t="str">
        <f>Scenario_Analysis!B240</f>
        <v>bed_bath_table</v>
      </c>
      <c r="C130" s="9">
        <f>Scenario_Analysis!D240</f>
        <v>0.4035321542593624</v>
      </c>
      <c r="D130" s="11" t="str">
        <f>Scenario_Analysis!E240</f>
        <v>OPTIMIZE</v>
      </c>
      <c r="E130" s="5">
        <f>Scenario_Analysis!G240</f>
        <v>0.35853206979847624</v>
      </c>
      <c r="F130" s="11" t="str">
        <f>Scenario_Analysis!I240</f>
        <v>OPTIMIZE</v>
      </c>
      <c r="G130" s="9">
        <f>Scenario_Analysis!K240</f>
        <v>0.4018902346323418</v>
      </c>
      <c r="H130" s="11" t="str">
        <f>Scenario_Analysis!M240</f>
        <v>OPTIMIZE</v>
      </c>
      <c r="I130" s="9">
        <f>Scenario_Analysis!O240</f>
        <v>0.37213910974669728</v>
      </c>
      <c r="J130" s="11" t="str">
        <f>Scenario_Analysis!Q240</f>
        <v>OPTIMIZE</v>
      </c>
      <c r="K130" s="53" t="str">
        <f>Scenario_Analysis!R240</f>
        <v>Stable</v>
      </c>
    </row>
    <row r="131" spans="1:11" x14ac:dyDescent="0.35">
      <c r="A131" s="218" t="str">
        <f>Scenario_Analysis!A245</f>
        <v>43423cdffde7fda63d0414ed38c11a73</v>
      </c>
      <c r="B131" t="str">
        <f>Scenario_Analysis!B245</f>
        <v>watches_gifts</v>
      </c>
      <c r="C131" s="9">
        <f>Scenario_Analysis!D245</f>
        <v>0.20187257364695146</v>
      </c>
      <c r="D131" s="11" t="str">
        <f>Scenario_Analysis!E245</f>
        <v>OPTIMIZE</v>
      </c>
      <c r="E131" s="5">
        <f>Scenario_Analysis!G245</f>
        <v>0.15987253212647143</v>
      </c>
      <c r="F131" s="11" t="str">
        <f>Scenario_Analysis!I245</f>
        <v>OPTIMIZE</v>
      </c>
      <c r="G131" s="9">
        <f>Scenario_Analysis!K245</f>
        <v>0.19608046669019497</v>
      </c>
      <c r="H131" s="11" t="str">
        <f>Scenario_Analysis!M245</f>
        <v>OPTIMIZE</v>
      </c>
      <c r="I131" s="9">
        <f>Scenario_Analysis!O245</f>
        <v>0.15986586699679101</v>
      </c>
      <c r="J131" s="11" t="str">
        <f>Scenario_Analysis!Q245</f>
        <v>OPTIMIZE</v>
      </c>
      <c r="K131" s="53" t="str">
        <f>Scenario_Analysis!R245</f>
        <v>Stable</v>
      </c>
    </row>
    <row r="132" spans="1:11" x14ac:dyDescent="0.35">
      <c r="A132" s="218" t="str">
        <f>Scenario_Analysis!A247</f>
        <v>c5b72065154ec27c2d1ed8a654c3348f</v>
      </c>
      <c r="B132" t="str">
        <f>Scenario_Analysis!B247</f>
        <v>watches_gifts</v>
      </c>
      <c r="C132" s="9">
        <f>Scenario_Analysis!D247</f>
        <v>0.47348628358941974</v>
      </c>
      <c r="D132" s="11" t="str">
        <f>Scenario_Analysis!E247</f>
        <v>OPTIMIZE</v>
      </c>
      <c r="E132" s="5">
        <f>Scenario_Analysis!G247</f>
        <v>0.43148635375008759</v>
      </c>
      <c r="F132" s="11" t="str">
        <f>Scenario_Analysis!I247</f>
        <v>OPTIMIZE</v>
      </c>
      <c r="G132" s="9">
        <f>Scenario_Analysis!K247</f>
        <v>0.47159194555532158</v>
      </c>
      <c r="H132" s="11" t="str">
        <f>Scenario_Analysis!M247</f>
        <v>OPTIMIZE</v>
      </c>
      <c r="I132" s="9">
        <f>Scenario_Analysis!O247</f>
        <v>0.44577503535728386</v>
      </c>
      <c r="J132" s="11" t="str">
        <f>Scenario_Analysis!Q247</f>
        <v>OPTIMIZE</v>
      </c>
      <c r="K132" s="53" t="str">
        <f>Scenario_Analysis!R247</f>
        <v>Stable</v>
      </c>
    </row>
    <row r="133" spans="1:11" x14ac:dyDescent="0.35">
      <c r="A133" s="218" t="str">
        <f>Scenario_Analysis!A249</f>
        <v>9aedf557945e816d48539ee56293f860</v>
      </c>
      <c r="B133" t="str">
        <f>Scenario_Analysis!B249</f>
        <v>computers</v>
      </c>
      <c r="C133" s="9">
        <f>Scenario_Analysis!D249</f>
        <v>0.38348214285714288</v>
      </c>
      <c r="D133" s="11" t="str">
        <f>Scenario_Analysis!E249</f>
        <v>OPTIMIZE</v>
      </c>
      <c r="E133" s="5">
        <f>Scenario_Analysis!G249</f>
        <v>0.32648214285714283</v>
      </c>
      <c r="F133" s="11" t="str">
        <f>Scenario_Analysis!I249</f>
        <v>OPTIMIZE</v>
      </c>
      <c r="G133" s="9">
        <f>Scenario_Analysis!K249</f>
        <v>0.38267857142857142</v>
      </c>
      <c r="H133" s="11" t="str">
        <f>Scenario_Analysis!M249</f>
        <v>OPTIMIZE</v>
      </c>
      <c r="I133" s="9">
        <f>Scenario_Analysis!O249</f>
        <v>0.35103383458646614</v>
      </c>
      <c r="J133" s="11" t="str">
        <f>Scenario_Analysis!Q249</f>
        <v>OPTIMIZE</v>
      </c>
      <c r="K133" s="53" t="str">
        <f>Scenario_Analysis!R249</f>
        <v>Stable</v>
      </c>
    </row>
    <row r="134" spans="1:11" x14ac:dyDescent="0.35">
      <c r="A134" s="218" t="str">
        <f>Scenario_Analysis!A251</f>
        <v>e251ebd2858be1aa7d9b2087a6992580</v>
      </c>
      <c r="B134" t="str">
        <f>Scenario_Analysis!B251</f>
        <v>garden_tools</v>
      </c>
      <c r="C134" s="9">
        <f>Scenario_Analysis!D251</f>
        <v>0.23600615153520155</v>
      </c>
      <c r="D134" s="11" t="str">
        <f>Scenario_Analysis!E251</f>
        <v>OPTIMIZE</v>
      </c>
      <c r="E134" s="5">
        <f>Scenario_Analysis!G251</f>
        <v>0.19100624094705038</v>
      </c>
      <c r="F134" s="11" t="str">
        <f>Scenario_Analysis!I251</f>
        <v>OPTIMIZE</v>
      </c>
      <c r="G134" s="9">
        <f>Scenario_Analysis!K251</f>
        <v>0.23291607803866168</v>
      </c>
      <c r="H134" s="11" t="str">
        <f>Scenario_Analysis!M251</f>
        <v>OPTIMIZE</v>
      </c>
      <c r="I134" s="9">
        <f>Scenario_Analysis!O251</f>
        <v>0.19579594898442262</v>
      </c>
      <c r="J134" s="11" t="str">
        <f>Scenario_Analysis!Q251</f>
        <v>OPTIMIZE</v>
      </c>
      <c r="K134" s="53" t="str">
        <f>Scenario_Analysis!R251</f>
        <v>Stable</v>
      </c>
    </row>
    <row r="135" spans="1:11" x14ac:dyDescent="0.35">
      <c r="A135" s="218" t="str">
        <f>Scenario_Analysis!A253</f>
        <v>332842d24e84234cd91299a225de76ab</v>
      </c>
      <c r="B135" t="str">
        <f>Scenario_Analysis!B253</f>
        <v>watches_gifts</v>
      </c>
      <c r="C135" s="9">
        <f>Scenario_Analysis!D253</f>
        <v>0.51494629430719663</v>
      </c>
      <c r="D135" s="11" t="str">
        <f>Scenario_Analysis!E253</f>
        <v>OPTIMIZE</v>
      </c>
      <c r="E135" s="5">
        <f>Scenario_Analysis!G253</f>
        <v>0.47294629430719659</v>
      </c>
      <c r="F135" s="11" t="str">
        <f>Scenario_Analysis!I253</f>
        <v>OPTIMIZE</v>
      </c>
      <c r="G135" s="9">
        <f>Scenario_Analysis!K253</f>
        <v>0.51404403866809889</v>
      </c>
      <c r="H135" s="11" t="str">
        <f>Scenario_Analysis!M253</f>
        <v>OPTIMIZE</v>
      </c>
      <c r="I135" s="9">
        <f>Scenario_Analysis!O253</f>
        <v>0.48941715190231222</v>
      </c>
      <c r="J135" s="11" t="str">
        <f>Scenario_Analysis!Q253</f>
        <v>OPTIMIZE</v>
      </c>
      <c r="K135" s="53" t="str">
        <f>Scenario_Analysis!R253</f>
        <v>Stable</v>
      </c>
    </row>
    <row r="136" spans="1:11" x14ac:dyDescent="0.35">
      <c r="A136" s="218" t="str">
        <f>Scenario_Analysis!A254</f>
        <v>ba55945d930e34e802e5dd2e5cffdcc8</v>
      </c>
      <c r="B136" t="str">
        <f>Scenario_Analysis!B254</f>
        <v>musical_instruments</v>
      </c>
      <c r="C136" s="9">
        <f>Scenario_Analysis!D254</f>
        <v>0.57533342183917524</v>
      </c>
      <c r="D136" s="11" t="str">
        <f>Scenario_Analysis!E254</f>
        <v>OPTIMIZE</v>
      </c>
      <c r="E136" s="5">
        <f>Scenario_Analysis!G254</f>
        <v>0.5353333859584285</v>
      </c>
      <c r="F136" s="11" t="str">
        <f>Scenario_Analysis!I254</f>
        <v>OPTIMIZE</v>
      </c>
      <c r="G136" s="9">
        <f>Scenario_Analysis!K254</f>
        <v>0.57527960071905015</v>
      </c>
      <c r="H136" s="11" t="str">
        <f>Scenario_Analysis!M254</f>
        <v>OPTIMIZE</v>
      </c>
      <c r="I136" s="9">
        <f>Scenario_Analysis!O254</f>
        <v>0.55298254930439505</v>
      </c>
      <c r="J136" s="11" t="str">
        <f>Scenario_Analysis!Q254</f>
        <v>OPTIMIZE</v>
      </c>
      <c r="K136" s="53" t="str">
        <f>Scenario_Analysis!R254</f>
        <v>Stable</v>
      </c>
    </row>
    <row r="137" spans="1:11" x14ac:dyDescent="0.35">
      <c r="A137" s="218" t="str">
        <f>Scenario_Analysis!A256</f>
        <v>9fc063fd34fed29ccc57b7f8e8d03388</v>
      </c>
      <c r="B137" t="str">
        <f>Scenario_Analysis!B256</f>
        <v>health_beauty</v>
      </c>
      <c r="C137" s="9">
        <f>Scenario_Analysis!D256</f>
        <v>0.50341261261261272</v>
      </c>
      <c r="D137" s="11" t="str">
        <f>Scenario_Analysis!E256</f>
        <v>OPTIMIZE</v>
      </c>
      <c r="E137" s="5">
        <f>Scenario_Analysis!G256</f>
        <v>0.46141261261261263</v>
      </c>
      <c r="F137" s="11" t="str">
        <f>Scenario_Analysis!I256</f>
        <v>OPTIMIZE</v>
      </c>
      <c r="G137" s="9">
        <f>Scenario_Analysis!K256</f>
        <v>0.50243963963963967</v>
      </c>
      <c r="H137" s="11" t="str">
        <f>Scenario_Analysis!M256</f>
        <v>OPTIMIZE</v>
      </c>
      <c r="I137" s="9">
        <f>Scenario_Analysis!O256</f>
        <v>0.47727643432906602</v>
      </c>
      <c r="J137" s="11" t="str">
        <f>Scenario_Analysis!Q256</f>
        <v>OPTIMIZE</v>
      </c>
      <c r="K137" s="53" t="str">
        <f>Scenario_Analysis!R256</f>
        <v>Stable</v>
      </c>
    </row>
    <row r="138" spans="1:11" x14ac:dyDescent="0.35">
      <c r="A138" s="218" t="str">
        <f>Scenario_Analysis!A258</f>
        <v>b3e40ff639c185b9d726b4b19c17e6cd</v>
      </c>
      <c r="B138" t="str">
        <f>Scenario_Analysis!B258</f>
        <v>cool_stuff</v>
      </c>
      <c r="C138" s="9">
        <f>Scenario_Analysis!D258</f>
        <v>0.43400437700189859</v>
      </c>
      <c r="D138" s="11" t="str">
        <f>Scenario_Analysis!E258</f>
        <v>OPTIMIZE</v>
      </c>
      <c r="E138" s="5">
        <f>Scenario_Analysis!G258</f>
        <v>0.389004413235358</v>
      </c>
      <c r="F138" s="11" t="str">
        <f>Scenario_Analysis!I258</f>
        <v>OPTIMIZE</v>
      </c>
      <c r="G138" s="9">
        <f>Scenario_Analysis!K258</f>
        <v>0.43243909155470533</v>
      </c>
      <c r="H138" s="11" t="str">
        <f>Scenario_Analysis!M258</f>
        <v>OPTIMIZE</v>
      </c>
      <c r="I138" s="9">
        <f>Scenario_Analysis!O258</f>
        <v>0.40421513368620904</v>
      </c>
      <c r="J138" s="11" t="str">
        <f>Scenario_Analysis!Q258</f>
        <v>OPTIMIZE</v>
      </c>
      <c r="K138" s="53" t="str">
        <f>Scenario_Analysis!R258</f>
        <v>Stable</v>
      </c>
    </row>
    <row r="139" spans="1:11" x14ac:dyDescent="0.35">
      <c r="A139" s="218" t="str">
        <f>Scenario_Analysis!A260</f>
        <v>c3ba4e8d3cb30049213b682e751e9d00</v>
      </c>
      <c r="B139" t="str">
        <f>Scenario_Analysis!B260</f>
        <v>watches_gifts</v>
      </c>
      <c r="C139" s="9">
        <f>Scenario_Analysis!D260</f>
        <v>0.38417181256810751</v>
      </c>
      <c r="D139" s="11" t="str">
        <f>Scenario_Analysis!E260</f>
        <v>OPTIMIZE</v>
      </c>
      <c r="E139" s="5">
        <f>Scenario_Analysis!G260</f>
        <v>0.34217181256810747</v>
      </c>
      <c r="F139" s="11" t="str">
        <f>Scenario_Analysis!I260</f>
        <v>OPTIMIZE</v>
      </c>
      <c r="G139" s="9">
        <f>Scenario_Analysis!K260</f>
        <v>0.38037958590628401</v>
      </c>
      <c r="H139" s="11" t="str">
        <f>Scenario_Analysis!M260</f>
        <v>OPTIMIZE</v>
      </c>
      <c r="I139" s="9">
        <f>Scenario_Analysis!O260</f>
        <v>0.35175980270327106</v>
      </c>
      <c r="J139" s="11" t="str">
        <f>Scenario_Analysis!Q260</f>
        <v>OPTIMIZE</v>
      </c>
      <c r="K139" s="53" t="str">
        <f>Scenario_Analysis!R260</f>
        <v>Stable</v>
      </c>
    </row>
    <row r="140" spans="1:11" x14ac:dyDescent="0.35">
      <c r="A140" s="218" t="str">
        <f>Scenario_Analysis!A262</f>
        <v>27dd6092aaf2627e39331ad9823b5ebf</v>
      </c>
      <c r="B140" t="str">
        <f>Scenario_Analysis!B262</f>
        <v>watches_gifts</v>
      </c>
      <c r="C140" s="9">
        <f>Scenario_Analysis!D262</f>
        <v>0.56240902474526933</v>
      </c>
      <c r="D140" s="11" t="str">
        <f>Scenario_Analysis!E262</f>
        <v>OPTIMIZE</v>
      </c>
      <c r="E140" s="5">
        <f>Scenario_Analysis!G262</f>
        <v>0.52040902474526929</v>
      </c>
      <c r="F140" s="11" t="str">
        <f>Scenario_Analysis!I262</f>
        <v>OPTIMIZE</v>
      </c>
      <c r="G140" s="9">
        <f>Scenario_Analysis!K262</f>
        <v>0.56214701601164485</v>
      </c>
      <c r="H140" s="11" t="str">
        <f>Scenario_Analysis!M262</f>
        <v>OPTIMIZE</v>
      </c>
      <c r="I140" s="9">
        <f>Scenario_Analysis!O262</f>
        <v>0.53937792078449409</v>
      </c>
      <c r="J140" s="11" t="str">
        <f>Scenario_Analysis!Q262</f>
        <v>OPTIMIZE</v>
      </c>
      <c r="K140" s="53" t="str">
        <f>Scenario_Analysis!R262</f>
        <v>Stable</v>
      </c>
    </row>
    <row r="141" spans="1:11" x14ac:dyDescent="0.35">
      <c r="A141" s="218" t="str">
        <f>Scenario_Analysis!A268</f>
        <v>3e5201fe0d1ba474d9b90152c83c706c</v>
      </c>
      <c r="B141" t="str">
        <f>Scenario_Analysis!B268</f>
        <v>bed_bath_table</v>
      </c>
      <c r="C141" s="9">
        <f>Scenario_Analysis!D268</f>
        <v>0.3466757098260741</v>
      </c>
      <c r="D141" s="11" t="str">
        <f>Scenario_Analysis!E268</f>
        <v>OPTIMIZE</v>
      </c>
      <c r="E141" s="5">
        <f>Scenario_Analysis!G268</f>
        <v>0.30167570982607411</v>
      </c>
      <c r="F141" s="11" t="str">
        <f>Scenario_Analysis!I268</f>
        <v>OPTIMIZE</v>
      </c>
      <c r="G141" s="9">
        <f>Scenario_Analysis!K268</f>
        <v>0.34373234725732127</v>
      </c>
      <c r="H141" s="11" t="str">
        <f>Scenario_Analysis!M268</f>
        <v>OPTIMIZE</v>
      </c>
      <c r="I141" s="9">
        <f>Scenario_Analysis!O268</f>
        <v>0.31229022086955172</v>
      </c>
      <c r="J141" s="11" t="str">
        <f>Scenario_Analysis!Q268</f>
        <v>OPTIMIZE</v>
      </c>
      <c r="K141" s="53" t="str">
        <f>Scenario_Analysis!R268</f>
        <v>Stable</v>
      </c>
    </row>
    <row r="142" spans="1:11" x14ac:dyDescent="0.35">
      <c r="A142" s="218" t="str">
        <f>Scenario_Analysis!A272</f>
        <v>a233df9a388d27dbdfd31731d4236db0</v>
      </c>
      <c r="B142" t="str">
        <f>Scenario_Analysis!B272</f>
        <v>computers_accessories</v>
      </c>
      <c r="C142" s="9">
        <f>Scenario_Analysis!D272</f>
        <v>0.38394107147574136</v>
      </c>
      <c r="D142" s="11" t="str">
        <f>Scenario_Analysis!E272</f>
        <v>OPTIMIZE</v>
      </c>
      <c r="E142" s="5">
        <f>Scenario_Analysis!G272</f>
        <v>0.32694104506054733</v>
      </c>
      <c r="F142" s="11" t="str">
        <f>Scenario_Analysis!I272</f>
        <v>OPTIMIZE</v>
      </c>
      <c r="G142" s="9">
        <f>Scenario_Analysis!K272</f>
        <v>0.3836014475526322</v>
      </c>
      <c r="H142" s="11" t="str">
        <f>Scenario_Analysis!M272</f>
        <v>OPTIMIZE</v>
      </c>
      <c r="I142" s="9">
        <f>Scenario_Analysis!O272</f>
        <v>0.3515169173428857</v>
      </c>
      <c r="J142" s="11" t="str">
        <f>Scenario_Analysis!Q272</f>
        <v>OPTIMIZE</v>
      </c>
      <c r="K142" s="53" t="str">
        <f>Scenario_Analysis!R272</f>
        <v>Stable</v>
      </c>
    </row>
    <row r="143" spans="1:11" x14ac:dyDescent="0.35">
      <c r="A143" s="218" t="str">
        <f>Scenario_Analysis!A273</f>
        <v>75d6b6963340c6063f7f4cfcccfe6a30</v>
      </c>
      <c r="B143" t="str">
        <f>Scenario_Analysis!B273</f>
        <v>perfumery</v>
      </c>
      <c r="C143" s="9">
        <f>Scenario_Analysis!D273</f>
        <v>0.24707501980873939</v>
      </c>
      <c r="D143" s="11" t="str">
        <f>Scenario_Analysis!E273</f>
        <v>OPTIMIZE</v>
      </c>
      <c r="E143" s="5">
        <f>Scenario_Analysis!G273</f>
        <v>0.20507500846244478</v>
      </c>
      <c r="F143" s="11" t="str">
        <f>Scenario_Analysis!I273</f>
        <v>OPTIMIZE</v>
      </c>
      <c r="G143" s="9">
        <f>Scenario_Analysis!K273</f>
        <v>0.24074378743095307</v>
      </c>
      <c r="H143" s="11" t="str">
        <f>Scenario_Analysis!M273</f>
        <v>OPTIMIZE</v>
      </c>
      <c r="I143" s="9">
        <f>Scenario_Analysis!O273</f>
        <v>0.2074473892723572</v>
      </c>
      <c r="J143" s="11" t="str">
        <f>Scenario_Analysis!Q273</f>
        <v>OPTIMIZE</v>
      </c>
      <c r="K143" s="53" t="str">
        <f>Scenario_Analysis!R273</f>
        <v>Stable</v>
      </c>
    </row>
    <row r="144" spans="1:11" x14ac:dyDescent="0.35">
      <c r="A144" s="218" t="str">
        <f>Scenario_Analysis!A274</f>
        <v>a39cc58c1b5926b6f9f378daa89f1315</v>
      </c>
      <c r="B144" t="str">
        <f>Scenario_Analysis!B274</f>
        <v>home_construction</v>
      </c>
      <c r="C144" s="9">
        <f>Scenario_Analysis!D274</f>
        <v>0.24354918437963419</v>
      </c>
      <c r="D144" s="11" t="str">
        <f>Scenario_Analysis!E274</f>
        <v>OPTIMIZE</v>
      </c>
      <c r="E144" s="5">
        <f>Scenario_Analysis!G274</f>
        <v>0.19854918437963415</v>
      </c>
      <c r="F144" s="11" t="str">
        <f>Scenario_Analysis!I274</f>
        <v>OPTIMIZE</v>
      </c>
      <c r="G144" s="9">
        <f>Scenario_Analysis!K274</f>
        <v>0.24115365603254885</v>
      </c>
      <c r="H144" s="11" t="str">
        <f>Scenario_Analysis!M274</f>
        <v>OPTIMIZE</v>
      </c>
      <c r="I144" s="9">
        <f>Scenario_Analysis!O274</f>
        <v>0.20373598355750958</v>
      </c>
      <c r="J144" s="11" t="str">
        <f>Scenario_Analysis!Q274</f>
        <v>OPTIMIZE</v>
      </c>
      <c r="K144" s="53" t="str">
        <f>Scenario_Analysis!R274</f>
        <v>Stable</v>
      </c>
    </row>
    <row r="145" spans="1:11" x14ac:dyDescent="0.35">
      <c r="A145" s="218" t="str">
        <f>Scenario_Analysis!A276</f>
        <v>05a9dadb8402b6b7ae3dd28f7da187b5</v>
      </c>
      <c r="B145" t="str">
        <f>Scenario_Analysis!B276</f>
        <v>computers_accessories</v>
      </c>
      <c r="C145" s="9">
        <f>Scenario_Analysis!D276</f>
        <v>0.14164665523156095</v>
      </c>
      <c r="D145" s="11" t="str">
        <f>Scenario_Analysis!E276</f>
        <v>OPTIMIZE</v>
      </c>
      <c r="E145" s="5">
        <f>Scenario_Analysis!G276</f>
        <v>8.4646655231560911E-2</v>
      </c>
      <c r="F145" s="11" t="str">
        <f>Scenario_Analysis!I276</f>
        <v>EXIT</v>
      </c>
      <c r="G145" s="9">
        <f>Scenario_Analysis!K276</f>
        <v>0.13598627787307041</v>
      </c>
      <c r="H145" s="11" t="str">
        <f>Scenario_Analysis!M276</f>
        <v>OPTIMIZE</v>
      </c>
      <c r="I145" s="9">
        <f>Scenario_Analysis!O276</f>
        <v>9.6470163401643036E-2</v>
      </c>
      <c r="J145" s="11" t="str">
        <f>Scenario_Analysis!Q276</f>
        <v>EXIT</v>
      </c>
      <c r="K145" s="53" t="str">
        <f>Scenario_Analysis!R276</f>
        <v>Decision changes</v>
      </c>
    </row>
    <row r="146" spans="1:11" x14ac:dyDescent="0.35">
      <c r="A146" s="218" t="str">
        <f>Scenario_Analysis!A278</f>
        <v>65841ad29fc48cd40902e03da7511e05</v>
      </c>
      <c r="B146" t="str">
        <f>Scenario_Analysis!B278</f>
        <v>cool_stuff</v>
      </c>
      <c r="C146" s="9">
        <f>Scenario_Analysis!D278</f>
        <v>0.39710147707653942</v>
      </c>
      <c r="D146" s="11" t="str">
        <f>Scenario_Analysis!E278</f>
        <v>OPTIMIZE</v>
      </c>
      <c r="E146" s="5">
        <f>Scenario_Analysis!G278</f>
        <v>0.35210147707653944</v>
      </c>
      <c r="F146" s="11" t="str">
        <f>Scenario_Analysis!I278</f>
        <v>OPTIMIZE</v>
      </c>
      <c r="G146" s="9">
        <f>Scenario_Analysis!K278</f>
        <v>0.39668712833301367</v>
      </c>
      <c r="H146" s="11" t="str">
        <f>Scenario_Analysis!M278</f>
        <v>OPTIMIZE</v>
      </c>
      <c r="I146" s="9">
        <f>Scenario_Analysis!O278</f>
        <v>0.36536997587004144</v>
      </c>
      <c r="J146" s="11" t="str">
        <f>Scenario_Analysis!Q278</f>
        <v>OPTIMIZE</v>
      </c>
      <c r="K146" s="53" t="str">
        <f>Scenario_Analysis!R278</f>
        <v>Stable</v>
      </c>
    </row>
    <row r="147" spans="1:11" x14ac:dyDescent="0.35">
      <c r="A147" s="218" t="str">
        <f>Scenario_Analysis!A279</f>
        <v>764292b2b0f73f77a0272be03fdd45f3</v>
      </c>
      <c r="B147" t="str">
        <f>Scenario_Analysis!B279</f>
        <v>furniture_decor</v>
      </c>
      <c r="C147" s="9">
        <f>Scenario_Analysis!D279</f>
        <v>0.21992775205118836</v>
      </c>
      <c r="D147" s="11" t="str">
        <f>Scenario_Analysis!E279</f>
        <v>OPTIMIZE</v>
      </c>
      <c r="E147" s="5">
        <f>Scenario_Analysis!G279</f>
        <v>0.17492765597678828</v>
      </c>
      <c r="F147" s="11" t="str">
        <f>Scenario_Analysis!I279</f>
        <v>OPTIMIZE</v>
      </c>
      <c r="G147" s="9">
        <f>Scenario_Analysis!K279</f>
        <v>0.21598485867455761</v>
      </c>
      <c r="H147" s="11" t="str">
        <f>Scenario_Analysis!M279</f>
        <v>OPTIMIZE</v>
      </c>
      <c r="I147" s="9">
        <f>Scenario_Analysis!O279</f>
        <v>0.17887131794861932</v>
      </c>
      <c r="J147" s="11" t="str">
        <f>Scenario_Analysis!Q279</f>
        <v>OPTIMIZE</v>
      </c>
      <c r="K147" s="53" t="str">
        <f>Scenario_Analysis!R279</f>
        <v>Stable</v>
      </c>
    </row>
    <row r="148" spans="1:11" x14ac:dyDescent="0.35">
      <c r="A148" s="218" t="str">
        <f>Scenario_Analysis!A288</f>
        <v>6dde44b4172999f35f08654d06bad633</v>
      </c>
      <c r="B148" t="str">
        <f>Scenario_Analysis!B288</f>
        <v>office_furniture</v>
      </c>
      <c r="C148" s="9">
        <f>Scenario_Analysis!D288</f>
        <v>0.23118314361071074</v>
      </c>
      <c r="D148" s="11" t="str">
        <f>Scenario_Analysis!E288</f>
        <v>OPTIMIZE</v>
      </c>
      <c r="E148" s="5">
        <f>Scenario_Analysis!G288</f>
        <v>0.18618309458677726</v>
      </c>
      <c r="F148" s="11" t="str">
        <f>Scenario_Analysis!I288</f>
        <v>OPTIMIZE</v>
      </c>
      <c r="G148" s="9">
        <f>Scenario_Analysis!K288</f>
        <v>0.22941828200527498</v>
      </c>
      <c r="H148" s="11" t="str">
        <f>Scenario_Analysis!M288</f>
        <v>OPTIMIZE</v>
      </c>
      <c r="I148" s="9">
        <f>Scenario_Analysis!O288</f>
        <v>0.19071909853759028</v>
      </c>
      <c r="J148" s="11" t="str">
        <f>Scenario_Analysis!Q288</f>
        <v>OPTIMIZE</v>
      </c>
      <c r="K148" s="53" t="str">
        <f>Scenario_Analysis!R288</f>
        <v>Stable</v>
      </c>
    </row>
    <row r="149" spans="1:11" x14ac:dyDescent="0.35">
      <c r="A149" s="218" t="str">
        <f>Scenario_Analysis!A290</f>
        <v>c92f0e7b9d49a9543558d6532772441b</v>
      </c>
      <c r="B149" t="str">
        <f>Scenario_Analysis!B290</f>
        <v>luggage_accessories</v>
      </c>
      <c r="C149" s="9">
        <f>Scenario_Analysis!D290</f>
        <v>0.21202061125752275</v>
      </c>
      <c r="D149" s="11" t="str">
        <f>Scenario_Analysis!E290</f>
        <v>OPTIMIZE</v>
      </c>
      <c r="E149" s="5">
        <f>Scenario_Analysis!G290</f>
        <v>0.1700206505919836</v>
      </c>
      <c r="F149" s="11" t="str">
        <f>Scenario_Analysis!I290</f>
        <v>OPTIMIZE</v>
      </c>
      <c r="G149" s="9">
        <f>Scenario_Analysis!K290</f>
        <v>0.20947173818982812</v>
      </c>
      <c r="H149" s="11" t="str">
        <f>Scenario_Analysis!M290</f>
        <v>OPTIMIZE</v>
      </c>
      <c r="I149" s="9">
        <f>Scenario_Analysis!O290</f>
        <v>0.17054801185002386</v>
      </c>
      <c r="J149" s="11" t="str">
        <f>Scenario_Analysis!Q290</f>
        <v>OPTIMIZE</v>
      </c>
      <c r="K149" s="53" t="str">
        <f>Scenario_Analysis!R290</f>
        <v>Stable</v>
      </c>
    </row>
    <row r="150" spans="1:11" x14ac:dyDescent="0.35">
      <c r="A150" s="218" t="str">
        <f>Scenario_Analysis!A291</f>
        <v>bc74f63361c15c1a5baa5b97ac432e62</v>
      </c>
      <c r="B150" t="str">
        <f>Scenario_Analysis!B291</f>
        <v>health_beauty</v>
      </c>
      <c r="C150" s="9">
        <f>Scenario_Analysis!D291</f>
        <v>0.48326090646079295</v>
      </c>
      <c r="D150" s="11" t="str">
        <f>Scenario_Analysis!E291</f>
        <v>OPTIMIZE</v>
      </c>
      <c r="E150" s="5">
        <f>Scenario_Analysis!G291</f>
        <v>0.44126081962748526</v>
      </c>
      <c r="F150" s="11" t="str">
        <f>Scenario_Analysis!I291</f>
        <v>OPTIMIZE</v>
      </c>
      <c r="G150" s="9">
        <f>Scenario_Analysis!K291</f>
        <v>0.48162686148903339</v>
      </c>
      <c r="H150" s="11" t="str">
        <f>Scenario_Analysis!M291</f>
        <v>OPTIMIZE</v>
      </c>
      <c r="I150" s="9">
        <f>Scenario_Analysis!O291</f>
        <v>0.4560641120639925</v>
      </c>
      <c r="J150" s="11" t="str">
        <f>Scenario_Analysis!Q291</f>
        <v>OPTIMIZE</v>
      </c>
      <c r="K150" s="53" t="str">
        <f>Scenario_Analysis!R291</f>
        <v>Stable</v>
      </c>
    </row>
    <row r="151" spans="1:11" x14ac:dyDescent="0.35">
      <c r="A151" s="218" t="str">
        <f>Scenario_Analysis!A296</f>
        <v>4e11734666acc305a4649de43f0bd181</v>
      </c>
      <c r="B151" t="str">
        <f>Scenario_Analysis!B296</f>
        <v>computers</v>
      </c>
      <c r="C151" s="9">
        <f>Scenario_Analysis!D296</f>
        <v>0.32581618381618388</v>
      </c>
      <c r="D151" s="11" t="str">
        <f>Scenario_Analysis!E296</f>
        <v>OPTIMIZE</v>
      </c>
      <c r="E151" s="5">
        <f>Scenario_Analysis!G296</f>
        <v>0.26881618381618383</v>
      </c>
      <c r="F151" s="11" t="str">
        <f>Scenario_Analysis!I296</f>
        <v>OPTIMIZE</v>
      </c>
      <c r="G151" s="9">
        <f>Scenario_Analysis!K296</f>
        <v>0.32437762237762247</v>
      </c>
      <c r="H151" s="11" t="str">
        <f>Scenario_Analysis!M296</f>
        <v>OPTIMIZE</v>
      </c>
      <c r="I151" s="9">
        <f>Scenario_Analysis!O296</f>
        <v>0.29033282506966723</v>
      </c>
      <c r="J151" s="11" t="str">
        <f>Scenario_Analysis!Q296</f>
        <v>OPTIMIZE</v>
      </c>
      <c r="K151" s="53" t="str">
        <f>Scenario_Analysis!R296</f>
        <v>Stable</v>
      </c>
    </row>
    <row r="152" spans="1:11" x14ac:dyDescent="0.35">
      <c r="A152" s="218" t="str">
        <f>Scenario_Analysis!A302</f>
        <v>b2855c4e42b8a50f359904c6763eeddc</v>
      </c>
      <c r="B152" t="str">
        <f>Scenario_Analysis!B302</f>
        <v>office_furniture</v>
      </c>
      <c r="C152" s="9">
        <f>Scenario_Analysis!D302</f>
        <v>0.33313623845779994</v>
      </c>
      <c r="D152" s="11" t="str">
        <f>Scenario_Analysis!E302</f>
        <v>OPTIMIZE</v>
      </c>
      <c r="E152" s="5">
        <f>Scenario_Analysis!G302</f>
        <v>0.28813623845779995</v>
      </c>
      <c r="F152" s="11" t="str">
        <f>Scenario_Analysis!I302</f>
        <v>OPTIMIZE</v>
      </c>
      <c r="G152" s="9">
        <f>Scenario_Analysis!K302</f>
        <v>0.33196986878341145</v>
      </c>
      <c r="H152" s="11" t="str">
        <f>Scenario_Analysis!M302</f>
        <v>OPTIMIZE</v>
      </c>
      <c r="I152" s="9">
        <f>Scenario_Analysis!O302</f>
        <v>0.29803814574505255</v>
      </c>
      <c r="J152" s="11" t="str">
        <f>Scenario_Analysis!Q302</f>
        <v>OPTIMIZE</v>
      </c>
      <c r="K152" s="53" t="str">
        <f>Scenario_Analysis!R302</f>
        <v>Stable</v>
      </c>
    </row>
    <row r="153" spans="1:11" x14ac:dyDescent="0.35">
      <c r="A153" s="218" t="str">
        <f>Scenario_Analysis!A303</f>
        <v>cec09725da5ed01471d9a505e7389d37</v>
      </c>
      <c r="B153" t="str">
        <f>Scenario_Analysis!B303</f>
        <v>sports_leisure</v>
      </c>
      <c r="C153" s="9">
        <f>Scenario_Analysis!D303</f>
        <v>0.18268361410123846</v>
      </c>
      <c r="D153" s="11" t="str">
        <f>Scenario_Analysis!E303</f>
        <v>OPTIMIZE</v>
      </c>
      <c r="E153" s="5">
        <f>Scenario_Analysis!G303</f>
        <v>0.14068357355713657</v>
      </c>
      <c r="F153" s="11" t="str">
        <f>Scenario_Analysis!I303</f>
        <v>OPTIMIZE</v>
      </c>
      <c r="G153" s="9">
        <f>Scenario_Analysis!K303</f>
        <v>0.1775020778852196</v>
      </c>
      <c r="H153" s="11" t="str">
        <f>Scenario_Analysis!M303</f>
        <v>OPTIMIZE</v>
      </c>
      <c r="I153" s="9">
        <f>Scenario_Analysis!O303</f>
        <v>0.13966696221182989</v>
      </c>
      <c r="J153" s="11" t="str">
        <f>Scenario_Analysis!Q303</f>
        <v>OPTIMIZE</v>
      </c>
      <c r="K153" s="53" t="str">
        <f>Scenario_Analysis!R303</f>
        <v>Stable</v>
      </c>
    </row>
    <row r="154" spans="1:11" x14ac:dyDescent="0.35">
      <c r="A154" s="218" t="str">
        <f>Scenario_Analysis!A307</f>
        <v>1015bdc42b2ec0548e728cdc0ad72380</v>
      </c>
      <c r="B154" t="str">
        <f>Scenario_Analysis!B307</f>
        <v>cool_stuff</v>
      </c>
      <c r="C154" s="9">
        <f>Scenario_Analysis!D307</f>
        <v>0.50599430662871092</v>
      </c>
      <c r="D154" s="11" t="str">
        <f>Scenario_Analysis!E307</f>
        <v>OPTIMIZE</v>
      </c>
      <c r="E154" s="5">
        <f>Scenario_Analysis!G307</f>
        <v>0.46099430662871088</v>
      </c>
      <c r="F154" s="11" t="str">
        <f>Scenario_Analysis!I307</f>
        <v>OPTIMIZE</v>
      </c>
      <c r="G154" s="9">
        <f>Scenario_Analysis!K307</f>
        <v>0.50555510370069145</v>
      </c>
      <c r="H154" s="11" t="str">
        <f>Scenario_Analysis!M307</f>
        <v>OPTIMIZE</v>
      </c>
      <c r="I154" s="9">
        <f>Scenario_Analysis!O307</f>
        <v>0.47999400697759043</v>
      </c>
      <c r="J154" s="11" t="str">
        <f>Scenario_Analysis!Q307</f>
        <v>OPTIMIZE</v>
      </c>
      <c r="K154" s="53" t="str">
        <f>Scenario_Analysis!R307</f>
        <v>Stable</v>
      </c>
    </row>
    <row r="155" spans="1:11" x14ac:dyDescent="0.35">
      <c r="A155" s="218" t="str">
        <f>Scenario_Analysis!A310</f>
        <v>b623b7cb05ee3248fbe4a6ecbeed79a4</v>
      </c>
      <c r="B155" t="str">
        <f>Scenario_Analysis!B310</f>
        <v>toys</v>
      </c>
      <c r="C155" s="9">
        <f>Scenario_Analysis!D310</f>
        <v>0.26388109055574072</v>
      </c>
      <c r="D155" s="11" t="str">
        <f>Scenario_Analysis!E310</f>
        <v>OPTIMIZE</v>
      </c>
      <c r="E155" s="5">
        <f>Scenario_Analysis!G310</f>
        <v>0.22188114442466933</v>
      </c>
      <c r="F155" s="11" t="str">
        <f>Scenario_Analysis!I310</f>
        <v>OPTIMIZE</v>
      </c>
      <c r="G155" s="9">
        <f>Scenario_Analysis!K310</f>
        <v>0.25895829923361069</v>
      </c>
      <c r="H155" s="11" t="str">
        <f>Scenario_Analysis!M310</f>
        <v>OPTIMIZE</v>
      </c>
      <c r="I155" s="9">
        <f>Scenario_Analysis!O310</f>
        <v>0.22513799005867441</v>
      </c>
      <c r="J155" s="11" t="str">
        <f>Scenario_Analysis!Q310</f>
        <v>OPTIMIZE</v>
      </c>
      <c r="K155" s="53" t="str">
        <f>Scenario_Analysis!R310</f>
        <v>Stable</v>
      </c>
    </row>
    <row r="156" spans="1:11" x14ac:dyDescent="0.35">
      <c r="A156" s="218" t="str">
        <f>Scenario_Analysis!A312</f>
        <v>9d8a0e115e802d845b4ce1eb794d1260</v>
      </c>
      <c r="B156" t="str">
        <f>Scenario_Analysis!B312</f>
        <v>sports_leisure</v>
      </c>
      <c r="C156" s="9">
        <f>Scenario_Analysis!D312</f>
        <v>0.39446041666666676</v>
      </c>
      <c r="D156" s="11" t="str">
        <f>Scenario_Analysis!E312</f>
        <v>OPTIMIZE</v>
      </c>
      <c r="E156" s="5">
        <f>Scenario_Analysis!G312</f>
        <v>0.35246041666666666</v>
      </c>
      <c r="F156" s="11" t="str">
        <f>Scenario_Analysis!I312</f>
        <v>OPTIMIZE</v>
      </c>
      <c r="G156" s="9">
        <f>Scenario_Analysis!K312</f>
        <v>0.39146041666666664</v>
      </c>
      <c r="H156" s="11" t="str">
        <f>Scenario_Analysis!M312</f>
        <v>OPTIMIZE</v>
      </c>
      <c r="I156" s="9">
        <f>Scenario_Analysis!O312</f>
        <v>0.36258991228070181</v>
      </c>
      <c r="J156" s="11" t="str">
        <f>Scenario_Analysis!Q312</f>
        <v>OPTIMIZE</v>
      </c>
      <c r="K156" s="53" t="str">
        <f>Scenario_Analysis!R312</f>
        <v>Stable</v>
      </c>
    </row>
    <row r="157" spans="1:11" x14ac:dyDescent="0.35">
      <c r="A157" s="218" t="str">
        <f>Scenario_Analysis!A313</f>
        <v>e7261ba9b589b73ac45411a15058403e</v>
      </c>
      <c r="B157" t="str">
        <f>Scenario_Analysis!B313</f>
        <v>computers_accessories</v>
      </c>
      <c r="C157" s="9">
        <f>Scenario_Analysis!D313</f>
        <v>0.40626100290216199</v>
      </c>
      <c r="D157" s="11" t="str">
        <f>Scenario_Analysis!E313</f>
        <v>OPTIMIZE</v>
      </c>
      <c r="E157" s="5">
        <f>Scenario_Analysis!G313</f>
        <v>0.34926091748318183</v>
      </c>
      <c r="F157" s="11" t="str">
        <f>Scenario_Analysis!I313</f>
        <v>OPTIMIZE</v>
      </c>
      <c r="G157" s="9">
        <f>Scenario_Analysis!K313</f>
        <v>0.40569848766737443</v>
      </c>
      <c r="H157" s="11" t="str">
        <f>Scenario_Analysis!M313</f>
        <v>OPTIMIZE</v>
      </c>
      <c r="I157" s="9">
        <f>Scenario_Analysis!O313</f>
        <v>0.37501158200227569</v>
      </c>
      <c r="J157" s="11" t="str">
        <f>Scenario_Analysis!Q313</f>
        <v>OPTIMIZE</v>
      </c>
      <c r="K157" s="53" t="str">
        <f>Scenario_Analysis!R313</f>
        <v>Stable</v>
      </c>
    </row>
    <row r="158" spans="1:11" x14ac:dyDescent="0.35">
      <c r="A158" s="218" t="str">
        <f>Scenario_Analysis!A317</f>
        <v>f1fe595ee7ef768b41bd9b246d13432d</v>
      </c>
      <c r="B158" t="str">
        <f>Scenario_Analysis!B317</f>
        <v>garden_tools</v>
      </c>
      <c r="C158" s="9">
        <f>Scenario_Analysis!D317</f>
        <v>0.18179846513179848</v>
      </c>
      <c r="D158" s="11" t="str">
        <f>Scenario_Analysis!E317</f>
        <v>OPTIMIZE</v>
      </c>
      <c r="E158" s="5">
        <f>Scenario_Analysis!G317</f>
        <v>0.13679846513179844</v>
      </c>
      <c r="F158" s="11" t="str">
        <f>Scenario_Analysis!I317</f>
        <v>OPTIMIZE</v>
      </c>
      <c r="G158" s="9">
        <f>Scenario_Analysis!K317</f>
        <v>0.17819486152819472</v>
      </c>
      <c r="H158" s="11" t="str">
        <f>Scenario_Analysis!M317</f>
        <v>OPTIMIZE</v>
      </c>
      <c r="I158" s="9">
        <f>Scenario_Analysis!O317</f>
        <v>0.13873522645452466</v>
      </c>
      <c r="J158" s="11" t="str">
        <f>Scenario_Analysis!Q317</f>
        <v>OPTIMIZE</v>
      </c>
      <c r="K158" s="53" t="str">
        <f>Scenario_Analysis!R317</f>
        <v>Stable</v>
      </c>
    </row>
    <row r="159" spans="1:11" x14ac:dyDescent="0.35">
      <c r="A159" s="218" t="str">
        <f>Scenario_Analysis!A319</f>
        <v>473795a355d29305c3ea6b156833adf5</v>
      </c>
      <c r="B159" t="str">
        <f>Scenario_Analysis!B319</f>
        <v>perfumery</v>
      </c>
      <c r="C159" s="9">
        <f>Scenario_Analysis!D319</f>
        <v>0.22880110243454285</v>
      </c>
      <c r="D159" s="11" t="str">
        <f>Scenario_Analysis!E319</f>
        <v>OPTIMIZE</v>
      </c>
      <c r="E159" s="5">
        <f>Scenario_Analysis!G319</f>
        <v>0.18680106067565871</v>
      </c>
      <c r="F159" s="11" t="str">
        <f>Scenario_Analysis!I319</f>
        <v>OPTIMIZE</v>
      </c>
      <c r="G159" s="9">
        <f>Scenario_Analysis!K319</f>
        <v>0.22233682715997818</v>
      </c>
      <c r="H159" s="11" t="str">
        <f>Scenario_Analysis!M319</f>
        <v>OPTIMIZE</v>
      </c>
      <c r="I159" s="9">
        <f>Scenario_Analysis!O319</f>
        <v>0.18821168677320296</v>
      </c>
      <c r="J159" s="11" t="str">
        <f>Scenario_Analysis!Q319</f>
        <v>OPTIMIZE</v>
      </c>
      <c r="K159" s="53" t="str">
        <f>Scenario_Analysis!R319</f>
        <v>Stable</v>
      </c>
    </row>
    <row r="160" spans="1:11" x14ac:dyDescent="0.35">
      <c r="A160" s="218" t="str">
        <f>Scenario_Analysis!A320</f>
        <v>ecf9484703bdfb9cfcc1ac9c2084b567</v>
      </c>
      <c r="B160" t="str">
        <f>Scenario_Analysis!B320</f>
        <v>housewares</v>
      </c>
      <c r="C160" s="9">
        <f>Scenario_Analysis!D320</f>
        <v>0.32037735849056609</v>
      </c>
      <c r="D160" s="11" t="str">
        <f>Scenario_Analysis!E320</f>
        <v>OPTIMIZE</v>
      </c>
      <c r="E160" s="5">
        <f>Scenario_Analysis!G320</f>
        <v>0.27537735849056605</v>
      </c>
      <c r="F160" s="11" t="str">
        <f>Scenario_Analysis!I320</f>
        <v>OPTIMIZE</v>
      </c>
      <c r="G160" s="9">
        <f>Scenario_Analysis!K320</f>
        <v>0.31901886792452827</v>
      </c>
      <c r="H160" s="11" t="str">
        <f>Scenario_Analysis!M320</f>
        <v>OPTIMIZE</v>
      </c>
      <c r="I160" s="9">
        <f>Scenario_Analysis!O320</f>
        <v>0.28460774577954323</v>
      </c>
      <c r="J160" s="11" t="str">
        <f>Scenario_Analysis!Q320</f>
        <v>OPTIMIZE</v>
      </c>
      <c r="K160" s="53" t="str">
        <f>Scenario_Analysis!R320</f>
        <v>Stable</v>
      </c>
    </row>
    <row r="161" spans="1:11" x14ac:dyDescent="0.35">
      <c r="A161" s="218" t="str">
        <f>Scenario_Analysis!A321</f>
        <v>93a12c289ca2b78e7069e469f5053ef2</v>
      </c>
      <c r="B161" t="str">
        <f>Scenario_Analysis!B321</f>
        <v>computers_accessories</v>
      </c>
      <c r="C161" s="9">
        <f>Scenario_Analysis!D321</f>
        <v>0.21267555368951405</v>
      </c>
      <c r="D161" s="11" t="str">
        <f>Scenario_Analysis!E321</f>
        <v>OPTIMIZE</v>
      </c>
      <c r="E161" s="5">
        <f>Scenario_Analysis!G321</f>
        <v>0.15567544872467717</v>
      </c>
      <c r="F161" s="11" t="str">
        <f>Scenario_Analysis!I321</f>
        <v>OPTIMIZE</v>
      </c>
      <c r="G161" s="9">
        <f>Scenario_Analysis!K321</f>
        <v>0.20606276897239428</v>
      </c>
      <c r="H161" s="11" t="str">
        <f>Scenario_Analysis!M321</f>
        <v>OPTIMIZE</v>
      </c>
      <c r="I161" s="9">
        <f>Scenario_Analysis!O321</f>
        <v>0.17123742493633054</v>
      </c>
      <c r="J161" s="11" t="str">
        <f>Scenario_Analysis!Q321</f>
        <v>OPTIMIZE</v>
      </c>
      <c r="K161" s="53" t="str">
        <f>Scenario_Analysis!R321</f>
        <v>Stable</v>
      </c>
    </row>
    <row r="162" spans="1:11" x14ac:dyDescent="0.35">
      <c r="A162" s="218" t="str">
        <f>Scenario_Analysis!A322</f>
        <v>08a58dc963320d6073623382b9ceb920</v>
      </c>
      <c r="B162" t="str">
        <f>Scenario_Analysis!B322</f>
        <v>computers_accessories</v>
      </c>
      <c r="C162" s="9">
        <f>Scenario_Analysis!D322</f>
        <v>0.18887860298758674</v>
      </c>
      <c r="D162" s="11" t="str">
        <f>Scenario_Analysis!E322</f>
        <v>OPTIMIZE</v>
      </c>
      <c r="E162" s="5">
        <f>Scenario_Analysis!G322</f>
        <v>0.13187860298758669</v>
      </c>
      <c r="F162" s="11" t="str">
        <f>Scenario_Analysis!I322</f>
        <v>OPTIMIZE</v>
      </c>
      <c r="G162" s="9">
        <f>Scenario_Analysis!K322</f>
        <v>0.18187250157795068</v>
      </c>
      <c r="H162" s="11" t="str">
        <f>Scenario_Analysis!M322</f>
        <v>OPTIMIZE</v>
      </c>
      <c r="I162" s="9">
        <f>Scenario_Analysis!O322</f>
        <v>0.14618800314482805</v>
      </c>
      <c r="J162" s="11" t="str">
        <f>Scenario_Analysis!Q322</f>
        <v>OPTIMIZE</v>
      </c>
      <c r="K162" s="53" t="str">
        <f>Scenario_Analysis!R322</f>
        <v>Stable</v>
      </c>
    </row>
    <row r="163" spans="1:11" x14ac:dyDescent="0.35">
      <c r="A163" s="218" t="str">
        <f>Scenario_Analysis!A324</f>
        <v>fca62108387e25005784da2f551466a1</v>
      </c>
      <c r="B163" t="str">
        <f>Scenario_Analysis!B324</f>
        <v>furniture_decor</v>
      </c>
      <c r="C163" s="9">
        <f>Scenario_Analysis!D324</f>
        <v>0.23221920347086203</v>
      </c>
      <c r="D163" s="11" t="str">
        <f>Scenario_Analysis!E324</f>
        <v>OPTIMIZE</v>
      </c>
      <c r="E163" s="5">
        <f>Scenario_Analysis!G324</f>
        <v>0.18721909816558194</v>
      </c>
      <c r="F163" s="11" t="str">
        <f>Scenario_Analysis!I324</f>
        <v>OPTIMIZE</v>
      </c>
      <c r="G163" s="9">
        <f>Scenario_Analysis!K324</f>
        <v>0.23077862724036982</v>
      </c>
      <c r="H163" s="11" t="str">
        <f>Scenario_Analysis!M324</f>
        <v>OPTIMIZE</v>
      </c>
      <c r="I163" s="9">
        <f>Scenario_Analysis!O324</f>
        <v>0.19180968786406519</v>
      </c>
      <c r="J163" s="11" t="str">
        <f>Scenario_Analysis!Q324</f>
        <v>OPTIMIZE</v>
      </c>
      <c r="K163" s="53" t="str">
        <f>Scenario_Analysis!R324</f>
        <v>Stable</v>
      </c>
    </row>
    <row r="164" spans="1:11" x14ac:dyDescent="0.35">
      <c r="A164" s="218" t="str">
        <f>Scenario_Analysis!A331</f>
        <v>53d8ee87caa1a2320c66074ff9c99e61</v>
      </c>
      <c r="B164" t="str">
        <f>Scenario_Analysis!B331</f>
        <v>watches_gifts</v>
      </c>
      <c r="C164" s="9">
        <f>Scenario_Analysis!D331</f>
        <v>0.52680987567491078</v>
      </c>
      <c r="D164" s="11" t="str">
        <f>Scenario_Analysis!E331</f>
        <v>OPTIMIZE</v>
      </c>
      <c r="E164" s="5">
        <f>Scenario_Analysis!G331</f>
        <v>0.48480995286882606</v>
      </c>
      <c r="F164" s="11" t="str">
        <f>Scenario_Analysis!I331</f>
        <v>OPTIMIZE</v>
      </c>
      <c r="G164" s="9">
        <f>Scenario_Analysis!K331</f>
        <v>0.5261923243516784</v>
      </c>
      <c r="H164" s="11" t="str">
        <f>Scenario_Analysis!M331</f>
        <v>OPTIMIZE</v>
      </c>
      <c r="I164" s="9">
        <f>Scenario_Analysis!O331</f>
        <v>0.50190513228937972</v>
      </c>
      <c r="J164" s="11" t="str">
        <f>Scenario_Analysis!Q331</f>
        <v>OPTIMIZE</v>
      </c>
      <c r="K164" s="53" t="str">
        <f>Scenario_Analysis!R331</f>
        <v>Stable</v>
      </c>
    </row>
    <row r="165" spans="1:11" x14ac:dyDescent="0.35">
      <c r="A165" s="218" t="str">
        <f>Scenario_Analysis!A333</f>
        <v>18e41d0c2a7cac6a8d53d3fcc13da3c4</v>
      </c>
      <c r="B165" t="str">
        <f>Scenario_Analysis!B333</f>
        <v>computers_accessories</v>
      </c>
      <c r="C165" s="9">
        <f>Scenario_Analysis!D333</f>
        <v>0.4024290836199238</v>
      </c>
      <c r="D165" s="11" t="str">
        <f>Scenario_Analysis!E333</f>
        <v>OPTIMIZE</v>
      </c>
      <c r="E165" s="5">
        <f>Scenario_Analysis!G333</f>
        <v>0.34542906856450911</v>
      </c>
      <c r="F165" s="11" t="str">
        <f>Scenario_Analysis!I333</f>
        <v>OPTIMIZE</v>
      </c>
      <c r="G165" s="9">
        <f>Scenario_Analysis!K333</f>
        <v>0.40165480515067248</v>
      </c>
      <c r="H165" s="11" t="str">
        <f>Scenario_Analysis!M333</f>
        <v>OPTIMIZE</v>
      </c>
      <c r="I165" s="9">
        <f>Scenario_Analysis!O333</f>
        <v>0.37097798275781452</v>
      </c>
      <c r="J165" s="11" t="str">
        <f>Scenario_Analysis!Q333</f>
        <v>OPTIMIZE</v>
      </c>
      <c r="K165" s="53" t="str">
        <f>Scenario_Analysis!R333</f>
        <v>Stable</v>
      </c>
    </row>
    <row r="166" spans="1:11" x14ac:dyDescent="0.35">
      <c r="A166" s="218" t="str">
        <f>Scenario_Analysis!A336</f>
        <v>d011223de539cd224b5c5c8082313d46</v>
      </c>
      <c r="B166" t="str">
        <f>Scenario_Analysis!B336</f>
        <v>furniture_decor</v>
      </c>
      <c r="C166" s="9">
        <f>Scenario_Analysis!D336</f>
        <v>0.37944645316804398</v>
      </c>
      <c r="D166" s="11" t="str">
        <f>Scenario_Analysis!E336</f>
        <v>OPTIMIZE</v>
      </c>
      <c r="E166" s="5">
        <f>Scenario_Analysis!G336</f>
        <v>0.33444645316804394</v>
      </c>
      <c r="F166" s="11" t="str">
        <f>Scenario_Analysis!I336</f>
        <v>OPTIMIZE</v>
      </c>
      <c r="G166" s="9">
        <f>Scenario_Analysis!K336</f>
        <v>0.37774190771349853</v>
      </c>
      <c r="H166" s="11" t="str">
        <f>Scenario_Analysis!M336</f>
        <v>OPTIMIZE</v>
      </c>
      <c r="I166" s="9">
        <f>Scenario_Analysis!O336</f>
        <v>0.34678574017688835</v>
      </c>
      <c r="J166" s="11" t="str">
        <f>Scenario_Analysis!Q336</f>
        <v>OPTIMIZE</v>
      </c>
      <c r="K166" s="53" t="str">
        <f>Scenario_Analysis!R336</f>
        <v>Stable</v>
      </c>
    </row>
    <row r="167" spans="1:11" x14ac:dyDescent="0.35">
      <c r="A167" s="218" t="str">
        <f>Scenario_Analysis!A338</f>
        <v>ee0c1cf2fbeae95205b4aa506f1469f0</v>
      </c>
      <c r="B167" t="str">
        <f>Scenario_Analysis!B338</f>
        <v>perfumery</v>
      </c>
      <c r="C167" s="9">
        <f>Scenario_Analysis!D338</f>
        <v>0.22800454969541828</v>
      </c>
      <c r="D167" s="11" t="str">
        <f>Scenario_Analysis!E338</f>
        <v>OPTIMIZE</v>
      </c>
      <c r="E167" s="5">
        <f>Scenario_Analysis!G338</f>
        <v>0.18600446705276724</v>
      </c>
      <c r="F167" s="11" t="str">
        <f>Scenario_Analysis!I338</f>
        <v>OPTIMIZE</v>
      </c>
      <c r="G167" s="9">
        <f>Scenario_Analysis!K338</f>
        <v>0.22103646933196461</v>
      </c>
      <c r="H167" s="11" t="str">
        <f>Scenario_Analysis!M338</f>
        <v>OPTIMIZE</v>
      </c>
      <c r="I167" s="9">
        <f>Scenario_Analysis!O338</f>
        <v>0.18737321020570347</v>
      </c>
      <c r="J167" s="11" t="str">
        <f>Scenario_Analysis!Q338</f>
        <v>OPTIMIZE</v>
      </c>
      <c r="K167" s="53" t="str">
        <f>Scenario_Analysis!R338</f>
        <v>Stable</v>
      </c>
    </row>
    <row r="168" spans="1:11" x14ac:dyDescent="0.35">
      <c r="A168" s="218" t="str">
        <f>Scenario_Analysis!A342</f>
        <v>b68cf84ede4fd1e14b1740de5b727d55</v>
      </c>
      <c r="B168" t="str">
        <f>Scenario_Analysis!B342</f>
        <v>health_beauty</v>
      </c>
      <c r="C168" s="9">
        <f>Scenario_Analysis!D342</f>
        <v>0.52436032477507122</v>
      </c>
      <c r="D168" s="11" t="str">
        <f>Scenario_Analysis!E342</f>
        <v>OPTIMIZE</v>
      </c>
      <c r="E168" s="5">
        <f>Scenario_Analysis!G342</f>
        <v>0.48236032477507124</v>
      </c>
      <c r="F168" s="11" t="str">
        <f>Scenario_Analysis!I342</f>
        <v>OPTIMIZE</v>
      </c>
      <c r="G168" s="9">
        <f>Scenario_Analysis!K342</f>
        <v>0.52372833004169406</v>
      </c>
      <c r="H168" s="11" t="str">
        <f>Scenario_Analysis!M342</f>
        <v>OPTIMIZE</v>
      </c>
      <c r="I168" s="9">
        <f>Scenario_Analysis!O342</f>
        <v>0.49932665765796969</v>
      </c>
      <c r="J168" s="11" t="str">
        <f>Scenario_Analysis!Q342</f>
        <v>OPTIMIZE</v>
      </c>
      <c r="K168" s="53" t="str">
        <f>Scenario_Analysis!R342</f>
        <v>Stable</v>
      </c>
    </row>
    <row r="169" spans="1:11" x14ac:dyDescent="0.35">
      <c r="A169" s="218" t="str">
        <f>Scenario_Analysis!A346</f>
        <v>628b17449083fb34688b2959b80bdecd</v>
      </c>
      <c r="B169" t="str">
        <f>Scenario_Analysis!B346</f>
        <v>auto</v>
      </c>
      <c r="C169" s="9">
        <f>Scenario_Analysis!D346</f>
        <v>0.52138618246235602</v>
      </c>
      <c r="D169" s="11" t="str">
        <f>Scenario_Analysis!E346</f>
        <v>OPTIMIZE</v>
      </c>
      <c r="E169" s="5">
        <f>Scenario_Analysis!G346</f>
        <v>0.47638618246235598</v>
      </c>
      <c r="F169" s="11" t="str">
        <f>Scenario_Analysis!I346</f>
        <v>OPTIMIZE</v>
      </c>
      <c r="G169" s="9">
        <f>Scenario_Analysis!K346</f>
        <v>0.52122674933569546</v>
      </c>
      <c r="H169" s="11" t="str">
        <f>Scenario_Analysis!M346</f>
        <v>OPTIMIZE</v>
      </c>
      <c r="I169" s="9">
        <f>Scenario_Analysis!O346</f>
        <v>0.49619598153932215</v>
      </c>
      <c r="J169" s="11" t="str">
        <f>Scenario_Analysis!Q346</f>
        <v>OPTIMIZE</v>
      </c>
      <c r="K169" s="53" t="str">
        <f>Scenario_Analysis!R346</f>
        <v>Stable</v>
      </c>
    </row>
    <row r="170" spans="1:11" x14ac:dyDescent="0.35">
      <c r="A170" s="218" t="str">
        <f>Scenario_Analysis!A347</f>
        <v>fe077ec80df6b4ee60bb4498d5ab1962</v>
      </c>
      <c r="B170" t="str">
        <f>Scenario_Analysis!B347</f>
        <v>computers_accessories</v>
      </c>
      <c r="C170" s="9">
        <f>Scenario_Analysis!D347</f>
        <v>0.20621080720480325</v>
      </c>
      <c r="D170" s="11" t="str">
        <f>Scenario_Analysis!E347</f>
        <v>OPTIMIZE</v>
      </c>
      <c r="E170" s="5">
        <f>Scenario_Analysis!G347</f>
        <v>0.14921080720480323</v>
      </c>
      <c r="F170" s="11" t="str">
        <f>Scenario_Analysis!I347</f>
        <v>OPTIMIZE</v>
      </c>
      <c r="G170" s="9">
        <f>Scenario_Analysis!K347</f>
        <v>0.19960640426951312</v>
      </c>
      <c r="H170" s="11" t="str">
        <f>Scenario_Analysis!M347</f>
        <v>OPTIMIZE</v>
      </c>
      <c r="I170" s="9">
        <f>Scenario_Analysis!O347</f>
        <v>0.16443242863663493</v>
      </c>
      <c r="J170" s="11" t="str">
        <f>Scenario_Analysis!Q347</f>
        <v>OPTIMIZE</v>
      </c>
      <c r="K170" s="53" t="str">
        <f>Scenario_Analysis!R347</f>
        <v>Stable</v>
      </c>
    </row>
    <row r="171" spans="1:11" x14ac:dyDescent="0.35">
      <c r="A171" s="218" t="str">
        <f>Scenario_Analysis!A350</f>
        <v>37b99aa22bbac19b2a4afc4b2a958a53</v>
      </c>
      <c r="B171" t="str">
        <f>Scenario_Analysis!B350</f>
        <v>garden_tools</v>
      </c>
      <c r="C171" s="9">
        <f>Scenario_Analysis!D350</f>
        <v>0.23644598434173852</v>
      </c>
      <c r="D171" s="11" t="str">
        <f>Scenario_Analysis!E350</f>
        <v>OPTIMIZE</v>
      </c>
      <c r="E171" s="5">
        <f>Scenario_Analysis!G350</f>
        <v>0.191446073410348</v>
      </c>
      <c r="F171" s="11" t="str">
        <f>Scenario_Analysis!I350</f>
        <v>OPTIMIZE</v>
      </c>
      <c r="G171" s="9">
        <f>Scenario_Analysis!K350</f>
        <v>0.23508323461562453</v>
      </c>
      <c r="H171" s="11" t="str">
        <f>Scenario_Analysis!M350</f>
        <v>OPTIMIZE</v>
      </c>
      <c r="I171" s="9">
        <f>Scenario_Analysis!O350</f>
        <v>0.19625893088604049</v>
      </c>
      <c r="J171" s="11" t="str">
        <f>Scenario_Analysis!Q350</f>
        <v>OPTIMIZE</v>
      </c>
      <c r="K171" s="53" t="str">
        <f>Scenario_Analysis!R350</f>
        <v>Stable</v>
      </c>
    </row>
    <row r="172" spans="1:11" x14ac:dyDescent="0.35">
      <c r="A172" s="218" t="str">
        <f>Scenario_Analysis!A355</f>
        <v>62d41a80c366aa2d8644e3270adf8440</v>
      </c>
      <c r="B172" t="str">
        <f>Scenario_Analysis!B355</f>
        <v>computers_accessories</v>
      </c>
      <c r="C172" s="9">
        <f>Scenario_Analysis!D355</f>
        <v>0.31147377125151077</v>
      </c>
      <c r="D172" s="11" t="str">
        <f>Scenario_Analysis!E355</f>
        <v>OPTIMIZE</v>
      </c>
      <c r="E172" s="5">
        <f>Scenario_Analysis!G355</f>
        <v>0.25447383485838387</v>
      </c>
      <c r="F172" s="11" t="str">
        <f>Scenario_Analysis!I355</f>
        <v>OPTIMIZE</v>
      </c>
      <c r="G172" s="9">
        <f>Scenario_Analysis!K355</f>
        <v>0.30779365930341401</v>
      </c>
      <c r="H172" s="11" t="str">
        <f>Scenario_Analysis!M355</f>
        <v>OPTIMIZE</v>
      </c>
      <c r="I172" s="9">
        <f>Scenario_Analysis!O355</f>
        <v>0.2752355486858008</v>
      </c>
      <c r="J172" s="11" t="str">
        <f>Scenario_Analysis!Q355</f>
        <v>OPTIMIZE</v>
      </c>
      <c r="K172" s="53" t="str">
        <f>Scenario_Analysis!R355</f>
        <v>Stable</v>
      </c>
    </row>
    <row r="173" spans="1:11" x14ac:dyDescent="0.35">
      <c r="A173" s="218" t="str">
        <f>Scenario_Analysis!A359</f>
        <v>880be32f4db1d9f6e2bec38fb6ac23ab</v>
      </c>
      <c r="B173" t="str">
        <f>Scenario_Analysis!B359</f>
        <v>toys</v>
      </c>
      <c r="C173" s="9">
        <f>Scenario_Analysis!D359</f>
        <v>0.13587018941429951</v>
      </c>
      <c r="D173" s="11" t="str">
        <f>Scenario_Analysis!E359</f>
        <v>OPTIMIZE</v>
      </c>
      <c r="E173" s="5">
        <f>Scenario_Analysis!G359</f>
        <v>9.3870106720692986E-2</v>
      </c>
      <c r="F173" s="11" t="str">
        <f>Scenario_Analysis!I359</f>
        <v>EXIT</v>
      </c>
      <c r="G173" s="9">
        <f>Scenario_Analysis!K359</f>
        <v>0.12768352238010583</v>
      </c>
      <c r="H173" s="11" t="str">
        <f>Scenario_Analysis!M359</f>
        <v>OPTIMIZE</v>
      </c>
      <c r="I173" s="9">
        <f>Scenario_Analysis!O359</f>
        <v>9.0389673067683626E-2</v>
      </c>
      <c r="J173" s="11" t="str">
        <f>Scenario_Analysis!Q359</f>
        <v>EXIT</v>
      </c>
      <c r="K173" s="53" t="str">
        <f>Scenario_Analysis!R359</f>
        <v>Decision changes</v>
      </c>
    </row>
    <row r="174" spans="1:11" x14ac:dyDescent="0.35">
      <c r="A174" s="218" t="str">
        <f>Scenario_Analysis!A362</f>
        <v>159dc4423e5092c3baa443379a458fa9</v>
      </c>
      <c r="B174" t="str">
        <f>Scenario_Analysis!B362</f>
        <v>health_beauty</v>
      </c>
      <c r="C174" s="9">
        <f>Scenario_Analysis!D362</f>
        <v>0.52971620984951373</v>
      </c>
      <c r="D174" s="11" t="str">
        <f>Scenario_Analysis!E362</f>
        <v>OPTIMIZE</v>
      </c>
      <c r="E174" s="5">
        <f>Scenario_Analysis!G362</f>
        <v>0.4877162837531987</v>
      </c>
      <c r="F174" s="11" t="str">
        <f>Scenario_Analysis!I362</f>
        <v>OPTIMIZE</v>
      </c>
      <c r="G174" s="9">
        <f>Scenario_Analysis!K362</f>
        <v>0.52896793503866102</v>
      </c>
      <c r="H174" s="11" t="str">
        <f>Scenario_Analysis!M362</f>
        <v>OPTIMIZE</v>
      </c>
      <c r="I174" s="9">
        <f>Scenario_Analysis!O362</f>
        <v>0.5049644314205407</v>
      </c>
      <c r="J174" s="11" t="str">
        <f>Scenario_Analysis!Q362</f>
        <v>OPTIMIZE</v>
      </c>
      <c r="K174" s="53" t="str">
        <f>Scenario_Analysis!R362</f>
        <v>Stable</v>
      </c>
    </row>
    <row r="175" spans="1:11" x14ac:dyDescent="0.35">
      <c r="A175" s="218" t="str">
        <f>Scenario_Analysis!A363</f>
        <v>11875b30b49585209e608f40e8082e65</v>
      </c>
      <c r="B175" t="str">
        <f>Scenario_Analysis!B363</f>
        <v>sports_leisure</v>
      </c>
      <c r="C175" s="9">
        <f>Scenario_Analysis!D363</f>
        <v>0.17881657351378816</v>
      </c>
      <c r="D175" s="11" t="str">
        <f>Scenario_Analysis!E363</f>
        <v>OPTIMIZE</v>
      </c>
      <c r="E175" s="5">
        <f>Scenario_Analysis!G363</f>
        <v>0.13681648113076808</v>
      </c>
      <c r="F175" s="11" t="str">
        <f>Scenario_Analysis!I363</f>
        <v>OPTIMIZE</v>
      </c>
      <c r="G175" s="9">
        <f>Scenario_Analysis!K363</f>
        <v>0.17332902212573323</v>
      </c>
      <c r="H175" s="11" t="str">
        <f>Scenario_Analysis!M363</f>
        <v>OPTIMIZE</v>
      </c>
      <c r="I175" s="9">
        <f>Scenario_Analysis!O363</f>
        <v>0.13559639317240862</v>
      </c>
      <c r="J175" s="11" t="str">
        <f>Scenario_Analysis!Q363</f>
        <v>OPTIMIZE</v>
      </c>
      <c r="K175" s="53" t="str">
        <f>Scenario_Analysis!R363</f>
        <v>Stable</v>
      </c>
    </row>
    <row r="176" spans="1:11" x14ac:dyDescent="0.35">
      <c r="A176" s="218" t="str">
        <f>Scenario_Analysis!A364</f>
        <v>f4d450a6163f21cf9db8bcdf8c7e50f8</v>
      </c>
      <c r="B176" t="str">
        <f>Scenario_Analysis!B364</f>
        <v>office_furniture</v>
      </c>
      <c r="C176" s="9">
        <f>Scenario_Analysis!D364</f>
        <v>0.23279360667129959</v>
      </c>
      <c r="D176" s="11" t="str">
        <f>Scenario_Analysis!E364</f>
        <v>OPTIMIZE</v>
      </c>
      <c r="E176" s="5">
        <f>Scenario_Analysis!G364</f>
        <v>0.18779360667129949</v>
      </c>
      <c r="F176" s="11" t="str">
        <f>Scenario_Analysis!I364</f>
        <v>OPTIMIZE</v>
      </c>
      <c r="G176" s="9">
        <f>Scenario_Analysis!K364</f>
        <v>0.23154273801250863</v>
      </c>
      <c r="H176" s="11" t="str">
        <f>Scenario_Analysis!M364</f>
        <v>OPTIMIZE</v>
      </c>
      <c r="I176" s="9">
        <f>Scenario_Analysis!O364</f>
        <v>0.19241432281189411</v>
      </c>
      <c r="J176" s="11" t="str">
        <f>Scenario_Analysis!Q364</f>
        <v>OPTIMIZE</v>
      </c>
      <c r="K176" s="53" t="str">
        <f>Scenario_Analysis!R364</f>
        <v>Stable</v>
      </c>
    </row>
    <row r="177" spans="1:11" x14ac:dyDescent="0.35">
      <c r="A177" s="218" t="str">
        <f>Scenario_Analysis!A373</f>
        <v>167b4b8c4bd0c401bea62f5e050d70a4</v>
      </c>
      <c r="B177" t="str">
        <f>Scenario_Analysis!B373</f>
        <v>computers_accessories</v>
      </c>
      <c r="C177" s="9">
        <f>Scenario_Analysis!D373</f>
        <v>0.23385628007926781</v>
      </c>
      <c r="D177" s="11" t="str">
        <f>Scenario_Analysis!E373</f>
        <v>OPTIMIZE</v>
      </c>
      <c r="E177" s="5">
        <f>Scenario_Analysis!G373</f>
        <v>0.17685618571293771</v>
      </c>
      <c r="F177" s="11" t="str">
        <f>Scenario_Analysis!I373</f>
        <v>OPTIMIZE</v>
      </c>
      <c r="G177" s="9">
        <f>Scenario_Analysis!K373</f>
        <v>0.22791120128338221</v>
      </c>
      <c r="H177" s="11" t="str">
        <f>Scenario_Analysis!M373</f>
        <v>OPTIMIZE</v>
      </c>
      <c r="I177" s="9">
        <f>Scenario_Analysis!O373</f>
        <v>0.19353292639922925</v>
      </c>
      <c r="J177" s="11" t="str">
        <f>Scenario_Analysis!Q373</f>
        <v>OPTIMIZE</v>
      </c>
      <c r="K177" s="53" t="str">
        <f>Scenario_Analysis!R373</f>
        <v>Stable</v>
      </c>
    </row>
    <row r="178" spans="1:11" x14ac:dyDescent="0.35">
      <c r="A178" s="218" t="str">
        <f>Scenario_Analysis!A374</f>
        <v>b92a7304ebad1ca5b393b53b2de5c70a</v>
      </c>
      <c r="B178" t="str">
        <f>Scenario_Analysis!B374</f>
        <v>office_furniture</v>
      </c>
      <c r="C178" s="9">
        <f>Scenario_Analysis!D374</f>
        <v>0.22467006082110849</v>
      </c>
      <c r="D178" s="11" t="str">
        <f>Scenario_Analysis!E374</f>
        <v>OPTIMIZE</v>
      </c>
      <c r="E178" s="5">
        <f>Scenario_Analysis!G374</f>
        <v>0.17966999004402323</v>
      </c>
      <c r="F178" s="11" t="str">
        <f>Scenario_Analysis!I374</f>
        <v>OPTIMIZE</v>
      </c>
      <c r="G178" s="9">
        <f>Scenario_Analysis!K374</f>
        <v>0.22212208575351633</v>
      </c>
      <c r="H178" s="11" t="str">
        <f>Scenario_Analysis!M374</f>
        <v>OPTIMIZE</v>
      </c>
      <c r="I178" s="9">
        <f>Scenario_Analysis!O374</f>
        <v>0.18386322191695631</v>
      </c>
      <c r="J178" s="11" t="str">
        <f>Scenario_Analysis!Q374</f>
        <v>OPTIMIZE</v>
      </c>
      <c r="K178" s="53" t="str">
        <f>Scenario_Analysis!R374</f>
        <v>Stable</v>
      </c>
    </row>
    <row r="179" spans="1:11" x14ac:dyDescent="0.35">
      <c r="A179" s="218" t="str">
        <f>Scenario_Analysis!A375</f>
        <v>194e74feac1f84a8ee5a517d4b3e107a</v>
      </c>
      <c r="B179" t="str">
        <f>Scenario_Analysis!B375</f>
        <v>computers</v>
      </c>
      <c r="C179" s="9">
        <f>Scenario_Analysis!D375</f>
        <v>0.33062544253009202</v>
      </c>
      <c r="D179" s="11" t="str">
        <f>Scenario_Analysis!E375</f>
        <v>OPTIMIZE</v>
      </c>
      <c r="E179" s="5">
        <f>Scenario_Analysis!G375</f>
        <v>0.27362544253009202</v>
      </c>
      <c r="F179" s="11" t="str">
        <f>Scenario_Analysis!I375</f>
        <v>OPTIMIZE</v>
      </c>
      <c r="G179" s="9">
        <f>Scenario_Analysis!K375</f>
        <v>0.32956337030918098</v>
      </c>
      <c r="H179" s="11" t="str">
        <f>Scenario_Analysis!M375</f>
        <v>OPTIMIZE</v>
      </c>
      <c r="I179" s="9">
        <f>Scenario_Analysis!O375</f>
        <v>0.2953952026632547</v>
      </c>
      <c r="J179" s="11" t="str">
        <f>Scenario_Analysis!Q375</f>
        <v>OPTIMIZE</v>
      </c>
      <c r="K179" s="53" t="str">
        <f>Scenario_Analysis!R375</f>
        <v>Stable</v>
      </c>
    </row>
    <row r="180" spans="1:11" x14ac:dyDescent="0.35">
      <c r="A180" s="218" t="str">
        <f>Scenario_Analysis!A378</f>
        <v>16d928f7b23b3d30bd5a9ff281eed9b8</v>
      </c>
      <c r="B180" t="str">
        <f>Scenario_Analysis!B378</f>
        <v>telephony</v>
      </c>
      <c r="C180" s="9">
        <f>Scenario_Analysis!D378</f>
        <v>0.39217091168769336</v>
      </c>
      <c r="D180" s="11" t="str">
        <f>Scenario_Analysis!E378</f>
        <v>OPTIMIZE</v>
      </c>
      <c r="E180" s="5">
        <f>Scenario_Analysis!G378</f>
        <v>0.33517091168769325</v>
      </c>
      <c r="F180" s="11" t="str">
        <f>Scenario_Analysis!I378</f>
        <v>OPTIMIZE</v>
      </c>
      <c r="G180" s="9">
        <f>Scenario_Analysis!K378</f>
        <v>0.39109973815758148</v>
      </c>
      <c r="H180" s="11" t="str">
        <f>Scenario_Analysis!M378</f>
        <v>OPTIMIZE</v>
      </c>
      <c r="I180" s="9">
        <f>Scenario_Analysis!O378</f>
        <v>0.36017990703967717</v>
      </c>
      <c r="J180" s="11" t="str">
        <f>Scenario_Analysis!Q378</f>
        <v>OPTIMIZE</v>
      </c>
      <c r="K180" s="53" t="str">
        <f>Scenario_Analysis!R378</f>
        <v>Stable</v>
      </c>
    </row>
    <row r="181" spans="1:11" x14ac:dyDescent="0.35">
      <c r="A181" s="218" t="str">
        <f>Scenario_Analysis!A381</f>
        <v>5fb1e24560c31b0eaa1911d4247187ed</v>
      </c>
      <c r="B181" t="str">
        <f>Scenario_Analysis!B381</f>
        <v>toys</v>
      </c>
      <c r="C181" s="9">
        <f>Scenario_Analysis!D381</f>
        <v>0.47845860631328169</v>
      </c>
      <c r="D181" s="11" t="str">
        <f>Scenario_Analysis!E381</f>
        <v>OPTIMIZE</v>
      </c>
      <c r="E181" s="5">
        <f>Scenario_Analysis!G381</f>
        <v>0.43645860631328171</v>
      </c>
      <c r="F181" s="11" t="str">
        <f>Scenario_Analysis!I381</f>
        <v>OPTIMIZE</v>
      </c>
      <c r="G181" s="9">
        <f>Scenario_Analysis!K381</f>
        <v>0.47708636092912443</v>
      </c>
      <c r="H181" s="11" t="str">
        <f>Scenario_Analysis!M381</f>
        <v>OPTIMIZE</v>
      </c>
      <c r="I181" s="9">
        <f>Scenario_Analysis!O381</f>
        <v>0.45100905927713864</v>
      </c>
      <c r="J181" s="11" t="str">
        <f>Scenario_Analysis!Q381</f>
        <v>OPTIMIZE</v>
      </c>
      <c r="K181" s="53" t="str">
        <f>Scenario_Analysis!R381</f>
        <v>Stable</v>
      </c>
    </row>
    <row r="182" spans="1:11" x14ac:dyDescent="0.35">
      <c r="A182" s="218" t="str">
        <f>Scenario_Analysis!A382</f>
        <v>4a90b44b456e79e7a33435fdd36e551f</v>
      </c>
      <c r="B182" t="str">
        <f>Scenario_Analysis!B382</f>
        <v>garden_tools</v>
      </c>
      <c r="C182" s="9">
        <f>Scenario_Analysis!D382</f>
        <v>0.39898564593301433</v>
      </c>
      <c r="D182" s="11" t="str">
        <f>Scenario_Analysis!E382</f>
        <v>OPTIMIZE</v>
      </c>
      <c r="E182" s="5">
        <f>Scenario_Analysis!G382</f>
        <v>0.35398564593301429</v>
      </c>
      <c r="F182" s="11" t="str">
        <f>Scenario_Analysis!I382</f>
        <v>OPTIMIZE</v>
      </c>
      <c r="G182" s="9">
        <f>Scenario_Analysis!K382</f>
        <v>0.39803827751196169</v>
      </c>
      <c r="H182" s="11" t="str">
        <f>Scenario_Analysis!M382</f>
        <v>OPTIMIZE</v>
      </c>
      <c r="I182" s="9">
        <f>Scenario_Analysis!O382</f>
        <v>0.36735331150843614</v>
      </c>
      <c r="J182" s="11" t="str">
        <f>Scenario_Analysis!Q382</f>
        <v>OPTIMIZE</v>
      </c>
      <c r="K182" s="53" t="str">
        <f>Scenario_Analysis!R382</f>
        <v>Stable</v>
      </c>
    </row>
    <row r="183" spans="1:11" x14ac:dyDescent="0.35">
      <c r="A183" s="218" t="str">
        <f>Scenario_Analysis!A384</f>
        <v>7af541d714ea3db608971a40b8f507cb</v>
      </c>
      <c r="B183" t="str">
        <f>Scenario_Analysis!B384</f>
        <v>baby</v>
      </c>
      <c r="C183" s="9">
        <f>Scenario_Analysis!D384</f>
        <v>0.45776628997355129</v>
      </c>
      <c r="D183" s="11" t="str">
        <f>Scenario_Analysis!E384</f>
        <v>OPTIMIZE</v>
      </c>
      <c r="E183" s="5">
        <f>Scenario_Analysis!G384</f>
        <v>0.41576628997355125</v>
      </c>
      <c r="F183" s="11" t="str">
        <f>Scenario_Analysis!I384</f>
        <v>OPTIMIZE</v>
      </c>
      <c r="G183" s="9">
        <f>Scenario_Analysis!K384</f>
        <v>0.45690069728300081</v>
      </c>
      <c r="H183" s="11" t="str">
        <f>Scenario_Analysis!M384</f>
        <v>OPTIMIZE</v>
      </c>
      <c r="I183" s="9">
        <f>Scenario_Analysis!O384</f>
        <v>0.42922767365636988</v>
      </c>
      <c r="J183" s="11" t="str">
        <f>Scenario_Analysis!Q384</f>
        <v>OPTIMIZE</v>
      </c>
      <c r="K183" s="53" t="str">
        <f>Scenario_Analysis!R384</f>
        <v>Stable</v>
      </c>
    </row>
    <row r="184" spans="1:11" x14ac:dyDescent="0.35">
      <c r="A184" s="218" t="str">
        <f>Scenario_Analysis!A389</f>
        <v>4cce3fa9fee9eb2361e0b9bd32516958</v>
      </c>
      <c r="B184" t="str">
        <f>Scenario_Analysis!B389</f>
        <v>construction_tools_construction</v>
      </c>
      <c r="C184" s="9">
        <f>Scenario_Analysis!D389</f>
        <v>0.51432491500728528</v>
      </c>
      <c r="D184" s="11" t="str">
        <f>Scenario_Analysis!E389</f>
        <v>OPTIMIZE</v>
      </c>
      <c r="E184" s="5">
        <f>Scenario_Analysis!G389</f>
        <v>0.46932491500728524</v>
      </c>
      <c r="F184" s="11" t="str">
        <f>Scenario_Analysis!I389</f>
        <v>OPTIMIZE</v>
      </c>
      <c r="G184" s="9">
        <f>Scenario_Analysis!K389</f>
        <v>0.5139752306945119</v>
      </c>
      <c r="H184" s="11" t="str">
        <f>Scenario_Analysis!M389</f>
        <v>OPTIMIZE</v>
      </c>
      <c r="I184" s="9">
        <f>Scenario_Analysis!O389</f>
        <v>0.48876306842872114</v>
      </c>
      <c r="J184" s="11" t="str">
        <f>Scenario_Analysis!Q389</f>
        <v>OPTIMIZE</v>
      </c>
      <c r="K184" s="53" t="str">
        <f>Scenario_Analysis!R389</f>
        <v>Stable</v>
      </c>
    </row>
    <row r="185" spans="1:11" x14ac:dyDescent="0.35">
      <c r="A185" s="218" t="str">
        <f>Scenario_Analysis!A391</f>
        <v>c6336fa91fbd87c359e44f5dca5a90ed</v>
      </c>
      <c r="B185" t="str">
        <f>Scenario_Analysis!B391</f>
        <v>sports_leisure</v>
      </c>
      <c r="C185" s="9">
        <f>Scenario_Analysis!D391</f>
        <v>0.10501070247129787</v>
      </c>
      <c r="D185" s="11" t="str">
        <f>Scenario_Analysis!E391</f>
        <v>OPTIMIZE</v>
      </c>
      <c r="E185" s="5">
        <f>Scenario_Analysis!G391</f>
        <v>6.3010799766491474E-2</v>
      </c>
      <c r="F185" s="11" t="str">
        <f>Scenario_Analysis!I391</f>
        <v>EXIT</v>
      </c>
      <c r="G185" s="9">
        <f>Scenario_Analysis!K391</f>
        <v>9.6779529091262806E-2</v>
      </c>
      <c r="H185" s="11" t="str">
        <f>Scenario_Analysis!M391</f>
        <v>EXIT</v>
      </c>
      <c r="I185" s="9">
        <f>Scenario_Analysis!O391</f>
        <v>5.7906002601366087E-2</v>
      </c>
      <c r="J185" s="11" t="str">
        <f>Scenario_Analysis!Q391</f>
        <v>EXIT</v>
      </c>
      <c r="K185" s="53" t="str">
        <f>Scenario_Analysis!R391</f>
        <v>Decision changes</v>
      </c>
    </row>
    <row r="186" spans="1:11" x14ac:dyDescent="0.35">
      <c r="A186" s="218" t="str">
        <f>Scenario_Analysis!A396</f>
        <v>813e0977846de5206007de2bb18e44ba</v>
      </c>
      <c r="B186" t="str">
        <f>Scenario_Analysis!B396</f>
        <v>toys</v>
      </c>
      <c r="C186" s="9">
        <f>Scenario_Analysis!D396</f>
        <v>0.47739259259259259</v>
      </c>
      <c r="D186" s="11" t="str">
        <f>Scenario_Analysis!E396</f>
        <v>OPTIMIZE</v>
      </c>
      <c r="E186" s="5">
        <f>Scenario_Analysis!G396</f>
        <v>0.4353925925925925</v>
      </c>
      <c r="F186" s="11" t="str">
        <f>Scenario_Analysis!I396</f>
        <v>OPTIMIZE</v>
      </c>
      <c r="G186" s="9">
        <f>Scenario_Analysis!K396</f>
        <v>0.47712592592592595</v>
      </c>
      <c r="H186" s="11" t="str">
        <f>Scenario_Analysis!M396</f>
        <v>OPTIMIZE</v>
      </c>
      <c r="I186" s="9">
        <f>Scenario_Analysis!O396</f>
        <v>0.44988693957115011</v>
      </c>
      <c r="J186" s="11" t="str">
        <f>Scenario_Analysis!Q396</f>
        <v>OPTIMIZE</v>
      </c>
      <c r="K186" s="53" t="str">
        <f>Scenario_Analysis!R396</f>
        <v>Stable</v>
      </c>
    </row>
    <row r="187" spans="1:11" x14ac:dyDescent="0.35">
      <c r="A187" s="218" t="str">
        <f>Scenario_Analysis!A400</f>
        <v>33fca9d59532dd4c191217a979346ab9</v>
      </c>
      <c r="B187" t="str">
        <f>Scenario_Analysis!B400</f>
        <v>perfumery</v>
      </c>
      <c r="C187" s="9">
        <f>Scenario_Analysis!D400</f>
        <v>0.5030423389053551</v>
      </c>
      <c r="D187" s="11" t="str">
        <f>Scenario_Analysis!E400</f>
        <v>OPTIMIZE</v>
      </c>
      <c r="E187" s="5">
        <f>Scenario_Analysis!G400</f>
        <v>0.46104238370052919</v>
      </c>
      <c r="F187" s="11" t="str">
        <f>Scenario_Analysis!I400</f>
        <v>OPTIMIZE</v>
      </c>
      <c r="G187" s="9">
        <f>Scenario_Analysis!K400</f>
        <v>0.50160889333522474</v>
      </c>
      <c r="H187" s="11" t="str">
        <f>Scenario_Analysis!M400</f>
        <v>OPTIMIZE</v>
      </c>
      <c r="I187" s="9">
        <f>Scenario_Analysis!O400</f>
        <v>0.47688667253195283</v>
      </c>
      <c r="J187" s="11" t="str">
        <f>Scenario_Analysis!Q400</f>
        <v>OPTIMIZE</v>
      </c>
      <c r="K187" s="53" t="str">
        <f>Scenario_Analysis!R400</f>
        <v>Stable</v>
      </c>
    </row>
    <row r="188" spans="1:11" x14ac:dyDescent="0.35">
      <c r="A188" s="218" t="str">
        <f>Scenario_Analysis!A3</f>
        <v>bb50f2e236e5eea0100680137654686c</v>
      </c>
      <c r="B188" t="str">
        <f>Scenario_Analysis!B3</f>
        <v>health_beauty</v>
      </c>
      <c r="C188" s="9">
        <f>Scenario_Analysis!D3</f>
        <v>0.505893402207091</v>
      </c>
      <c r="D188" s="11" t="str">
        <f>Scenario_Analysis!E3</f>
        <v>SCALE</v>
      </c>
      <c r="E188" s="5">
        <f>Scenario_Analysis!G3</f>
        <v>0.46389340220709091</v>
      </c>
      <c r="F188" s="11" t="str">
        <f>Scenario_Analysis!I3</f>
        <v>SCALE</v>
      </c>
      <c r="G188" s="9">
        <f>Scenario_Analysis!K3</f>
        <v>0.5047945527119041</v>
      </c>
      <c r="H188" s="11" t="str">
        <f>Scenario_Analysis!M3</f>
        <v>SCALE</v>
      </c>
      <c r="I188" s="9">
        <f>Scenario_Analysis!O3</f>
        <v>0.47988779179693786</v>
      </c>
      <c r="J188" s="11" t="str">
        <f>Scenario_Analysis!Q3</f>
        <v>SCALE</v>
      </c>
      <c r="K188" s="53" t="str">
        <f>Scenario_Analysis!R3</f>
        <v>Stable</v>
      </c>
    </row>
    <row r="189" spans="1:11" x14ac:dyDescent="0.35">
      <c r="A189" s="218" t="str">
        <f>Scenario_Analysis!A4</f>
        <v>6cdd53843498f92890544667809f1595</v>
      </c>
      <c r="B189" t="str">
        <f>Scenario_Analysis!B4</f>
        <v>health_beauty</v>
      </c>
      <c r="C189" s="9">
        <f>Scenario_Analysis!D4</f>
        <v>0.48535488633332224</v>
      </c>
      <c r="D189" s="11" t="str">
        <f>Scenario_Analysis!E4</f>
        <v>SCALE</v>
      </c>
      <c r="E189" s="5">
        <f>Scenario_Analysis!G4</f>
        <v>0.44335489364190139</v>
      </c>
      <c r="F189" s="11" t="str">
        <f>Scenario_Analysis!I4</f>
        <v>SCALE</v>
      </c>
      <c r="G189" s="9">
        <f>Scenario_Analysis!K4</f>
        <v>0.48432876181705892</v>
      </c>
      <c r="H189" s="11" t="str">
        <f>Scenario_Analysis!M4</f>
        <v>SCALE</v>
      </c>
      <c r="I189" s="9">
        <f>Scenario_Analysis!O4</f>
        <v>0.45826830140349711</v>
      </c>
      <c r="J189" s="11" t="str">
        <f>Scenario_Analysis!Q4</f>
        <v>SCALE</v>
      </c>
      <c r="K189" s="53" t="str">
        <f>Scenario_Analysis!R4</f>
        <v>Stable</v>
      </c>
    </row>
    <row r="190" spans="1:11" x14ac:dyDescent="0.35">
      <c r="A190" s="218" t="str">
        <f>Scenario_Analysis!A5</f>
        <v>d6160fb7873f184099d9bc95e30376af</v>
      </c>
      <c r="B190" t="str">
        <f>Scenario_Analysis!B5</f>
        <v>computers</v>
      </c>
      <c r="C190" s="9">
        <f>Scenario_Analysis!D5</f>
        <v>0.39140875930022773</v>
      </c>
      <c r="D190" s="11" t="str">
        <f>Scenario_Analysis!E5</f>
        <v>SCALE</v>
      </c>
      <c r="E190" s="5">
        <f>Scenario_Analysis!G5</f>
        <v>0.33440876707129374</v>
      </c>
      <c r="F190" s="11" t="str">
        <f>Scenario_Analysis!I5</f>
        <v>SCALE</v>
      </c>
      <c r="G190" s="9">
        <f>Scenario_Analysis!K5</f>
        <v>0.39076457882662624</v>
      </c>
      <c r="H190" s="11" t="str">
        <f>Scenario_Analysis!M5</f>
        <v>SCALE</v>
      </c>
      <c r="I190" s="9">
        <f>Scenario_Analysis!O5</f>
        <v>0.35937764136866074</v>
      </c>
      <c r="J190" s="11" t="str">
        <f>Scenario_Analysis!Q5</f>
        <v>SCALE</v>
      </c>
      <c r="K190" s="53" t="str">
        <f>Scenario_Analysis!R5</f>
        <v>Stable</v>
      </c>
    </row>
    <row r="191" spans="1:11" x14ac:dyDescent="0.35">
      <c r="A191" s="218" t="str">
        <f>Scenario_Analysis!A10</f>
        <v>5f504b3a1c75b73d6151be81eb05bdc9</v>
      </c>
      <c r="B191" t="str">
        <f>Scenario_Analysis!B10</f>
        <v>cool_stuff</v>
      </c>
      <c r="C191" s="9">
        <f>Scenario_Analysis!D10</f>
        <v>0.43525980616898868</v>
      </c>
      <c r="D191" s="11" t="str">
        <f>Scenario_Analysis!E10</f>
        <v>SCALE</v>
      </c>
      <c r="E191" s="5">
        <f>Scenario_Analysis!G10</f>
        <v>0.39025979291830426</v>
      </c>
      <c r="F191" s="11" t="str">
        <f>Scenario_Analysis!I10</f>
        <v>SCALE</v>
      </c>
      <c r="G191" s="9">
        <f>Scenario_Analysis!K10</f>
        <v>0.43465875512470226</v>
      </c>
      <c r="H191" s="11" t="str">
        <f>Scenario_Analysis!M10</f>
        <v>SCALE</v>
      </c>
      <c r="I191" s="9">
        <f>Scenario_Analysis!O10</f>
        <v>0.40553663807261969</v>
      </c>
      <c r="J191" s="11" t="str">
        <f>Scenario_Analysis!Q10</f>
        <v>SCALE</v>
      </c>
      <c r="K191" s="53" t="str">
        <f>Scenario_Analysis!R10</f>
        <v>Stable</v>
      </c>
    </row>
    <row r="192" spans="1:11" x14ac:dyDescent="0.35">
      <c r="A192" s="218" t="str">
        <f>Scenario_Analysis!A11</f>
        <v>53b36df67ebb7c41585e8d54d6772e08</v>
      </c>
      <c r="B192" t="str">
        <f>Scenario_Analysis!B11</f>
        <v>watches_gifts</v>
      </c>
      <c r="C192" s="9">
        <f>Scenario_Analysis!D11</f>
        <v>0.47550328499907912</v>
      </c>
      <c r="D192" s="11" t="str">
        <f>Scenario_Analysis!E11</f>
        <v>SCALE</v>
      </c>
      <c r="E192" s="5">
        <f>Scenario_Analysis!G11</f>
        <v>0.43350327544580608</v>
      </c>
      <c r="F192" s="11" t="str">
        <f>Scenario_Analysis!I11</f>
        <v>SCALE</v>
      </c>
      <c r="G192" s="9">
        <f>Scenario_Analysis!K11</f>
        <v>0.47241757781008198</v>
      </c>
      <c r="H192" s="11" t="str">
        <f>Scenario_Analysis!M11</f>
        <v>SCALE</v>
      </c>
      <c r="I192" s="9">
        <f>Scenario_Analysis!O11</f>
        <v>0.44789819473587278</v>
      </c>
      <c r="J192" s="11" t="str">
        <f>Scenario_Analysis!Q11</f>
        <v>SCALE</v>
      </c>
      <c r="K192" s="53" t="str">
        <f>Scenario_Analysis!R11</f>
        <v>Stable</v>
      </c>
    </row>
    <row r="193" spans="1:11" x14ac:dyDescent="0.35">
      <c r="A193" s="218" t="str">
        <f>Scenario_Analysis!A15</f>
        <v>7a10781637204d8d10485c71a6108a2e</v>
      </c>
      <c r="B193" t="str">
        <f>Scenario_Analysis!B15</f>
        <v>watches_gifts</v>
      </c>
      <c r="C193" s="9">
        <f>Scenario_Analysis!D15</f>
        <v>0.47872093214080574</v>
      </c>
      <c r="D193" s="11" t="str">
        <f>Scenario_Analysis!E15</f>
        <v>SCALE</v>
      </c>
      <c r="E193" s="5">
        <f>Scenario_Analysis!G15</f>
        <v>0.43672093214080571</v>
      </c>
      <c r="F193" s="11" t="str">
        <f>Scenario_Analysis!I15</f>
        <v>SCALE</v>
      </c>
      <c r="G193" s="9">
        <f>Scenario_Analysis!K15</f>
        <v>0.47703126282103891</v>
      </c>
      <c r="H193" s="11" t="str">
        <f>Scenario_Analysis!M15</f>
        <v>SCALE</v>
      </c>
      <c r="I193" s="9">
        <f>Scenario_Analysis!O15</f>
        <v>0.45128519172716397</v>
      </c>
      <c r="J193" s="11" t="str">
        <f>Scenario_Analysis!Q15</f>
        <v>SCALE</v>
      </c>
      <c r="K193" s="53" t="str">
        <f>Scenario_Analysis!R15</f>
        <v>Stable</v>
      </c>
    </row>
    <row r="194" spans="1:11" x14ac:dyDescent="0.35">
      <c r="A194" s="218" t="str">
        <f>Scenario_Analysis!A16</f>
        <v>f1c7f353075ce59d8a6f3cf58f419c9c</v>
      </c>
      <c r="B194" t="str">
        <f>Scenario_Analysis!B16</f>
        <v>bed_bath_table</v>
      </c>
      <c r="C194" s="9">
        <f>Scenario_Analysis!D16</f>
        <v>0.39344162286281192</v>
      </c>
      <c r="D194" s="11" t="str">
        <f>Scenario_Analysis!E16</f>
        <v>SCALE</v>
      </c>
      <c r="E194" s="5">
        <f>Scenario_Analysis!G16</f>
        <v>0.34844162953006536</v>
      </c>
      <c r="F194" s="11" t="str">
        <f>Scenario_Analysis!I16</f>
        <v>SCALE</v>
      </c>
      <c r="G194" s="9">
        <f>Scenario_Analysis!K16</f>
        <v>0.3915934602244997</v>
      </c>
      <c r="H194" s="11" t="str">
        <f>Scenario_Analysis!M16</f>
        <v>SCALE</v>
      </c>
      <c r="I194" s="9">
        <f>Scenario_Analysis!O16</f>
        <v>0.36151749775032838</v>
      </c>
      <c r="J194" s="11" t="str">
        <f>Scenario_Analysis!Q16</f>
        <v>SCALE</v>
      </c>
      <c r="K194" s="53" t="str">
        <f>Scenario_Analysis!R16</f>
        <v>Stable</v>
      </c>
    </row>
    <row r="195" spans="1:11" x14ac:dyDescent="0.35">
      <c r="A195" s="218" t="str">
        <f>Scenario_Analysis!A17</f>
        <v>f819f0c84a64f02d3a5606ca95edd272</v>
      </c>
      <c r="B195" t="str">
        <f>Scenario_Analysis!B17</f>
        <v>watches_gifts</v>
      </c>
      <c r="C195" s="9">
        <f>Scenario_Analysis!D17</f>
        <v>0.52258610662447702</v>
      </c>
      <c r="D195" s="11" t="str">
        <f>Scenario_Analysis!E17</f>
        <v>SCALE</v>
      </c>
      <c r="E195" s="5">
        <f>Scenario_Analysis!G17</f>
        <v>0.48058611213706498</v>
      </c>
      <c r="F195" s="11" t="str">
        <f>Scenario_Analysis!I17</f>
        <v>SCALE</v>
      </c>
      <c r="G195" s="9">
        <f>Scenario_Analysis!K17</f>
        <v>0.52202795709001493</v>
      </c>
      <c r="H195" s="11" t="str">
        <f>Scenario_Analysis!M17</f>
        <v>SCALE</v>
      </c>
      <c r="I195" s="9">
        <f>Scenario_Analysis!O17</f>
        <v>0.49745905960471248</v>
      </c>
      <c r="J195" s="11" t="str">
        <f>Scenario_Analysis!Q17</f>
        <v>SCALE</v>
      </c>
      <c r="K195" s="53" t="str">
        <f>Scenario_Analysis!R17</f>
        <v>Stable</v>
      </c>
    </row>
    <row r="196" spans="1:11" x14ac:dyDescent="0.35">
      <c r="A196" s="218" t="str">
        <f>Scenario_Analysis!A18</f>
        <v>588531f8ec37e7d5ff5b7b22ea0488f8</v>
      </c>
      <c r="B196" t="str">
        <f>Scenario_Analysis!B18</f>
        <v>computers</v>
      </c>
      <c r="C196" s="9">
        <f>Scenario_Analysis!D18</f>
        <v>0.39319750925968805</v>
      </c>
      <c r="D196" s="11" t="str">
        <f>Scenario_Analysis!E18</f>
        <v>SCALE</v>
      </c>
      <c r="E196" s="5">
        <f>Scenario_Analysis!G18</f>
        <v>0.33619752445833612</v>
      </c>
      <c r="F196" s="11" t="str">
        <f>Scenario_Analysis!I18</f>
        <v>SCALE</v>
      </c>
      <c r="G196" s="9">
        <f>Scenario_Analysis!K18</f>
        <v>0.39256128678117025</v>
      </c>
      <c r="H196" s="11" t="str">
        <f>Scenario_Analysis!M18</f>
        <v>SCALE</v>
      </c>
      <c r="I196" s="9">
        <f>Scenario_Analysis!O18</f>
        <v>0.36126053606282948</v>
      </c>
      <c r="J196" s="11" t="str">
        <f>Scenario_Analysis!Q18</f>
        <v>SCALE</v>
      </c>
      <c r="K196" s="53" t="str">
        <f>Scenario_Analysis!R18</f>
        <v>Stable</v>
      </c>
    </row>
    <row r="197" spans="1:11" x14ac:dyDescent="0.35">
      <c r="A197" s="218" t="str">
        <f>Scenario_Analysis!A20</f>
        <v>16c4e87b98a9370a9cbc3a4658a3f45b</v>
      </c>
      <c r="B197" t="str">
        <f>Scenario_Analysis!B20</f>
        <v>musical_instruments</v>
      </c>
      <c r="C197" s="9">
        <f>Scenario_Analysis!D20</f>
        <v>0.53164496285052332</v>
      </c>
      <c r="D197" s="11" t="str">
        <f>Scenario_Analysis!E20</f>
        <v>SCALE</v>
      </c>
      <c r="E197" s="5">
        <f>Scenario_Analysis!G20</f>
        <v>0.49164496285052328</v>
      </c>
      <c r="F197" s="11" t="str">
        <f>Scenario_Analysis!I20</f>
        <v>SCALE</v>
      </c>
      <c r="G197" s="9">
        <f>Scenario_Analysis!K20</f>
        <v>0.53159303347447473</v>
      </c>
      <c r="H197" s="11" t="str">
        <f>Scenario_Analysis!M20</f>
        <v>SCALE</v>
      </c>
      <c r="I197" s="9">
        <f>Scenario_Analysis!O20</f>
        <v>0.50699469773739292</v>
      </c>
      <c r="J197" s="11" t="str">
        <f>Scenario_Analysis!Q20</f>
        <v>SCALE</v>
      </c>
      <c r="K197" s="53" t="str">
        <f>Scenario_Analysis!R20</f>
        <v>Stable</v>
      </c>
    </row>
    <row r="198" spans="1:11" x14ac:dyDescent="0.35">
      <c r="A198" s="218" t="str">
        <f>Scenario_Analysis!A22</f>
        <v>2b4609f8948be18874494203496bc318</v>
      </c>
      <c r="B198" t="str">
        <f>Scenario_Analysis!B22</f>
        <v>health_beauty</v>
      </c>
      <c r="C198" s="9">
        <f>Scenario_Analysis!D22</f>
        <v>0.3451593500397529</v>
      </c>
      <c r="D198" s="11" t="str">
        <f>Scenario_Analysis!E22</f>
        <v>SCALE</v>
      </c>
      <c r="E198" s="5">
        <f>Scenario_Analysis!G22</f>
        <v>0.30315933501360953</v>
      </c>
      <c r="F198" s="11" t="str">
        <f>Scenario_Analysis!I22</f>
        <v>SCALE</v>
      </c>
      <c r="G198" s="9">
        <f>Scenario_Analysis!K22</f>
        <v>0.34103865121802357</v>
      </c>
      <c r="H198" s="11" t="str">
        <f>Scenario_Analysis!M22</f>
        <v>SCALE</v>
      </c>
      <c r="I198" s="9">
        <f>Scenario_Analysis!O22</f>
        <v>0.31069405267342398</v>
      </c>
      <c r="J198" s="11" t="str">
        <f>Scenario_Analysis!Q22</f>
        <v>SCALE</v>
      </c>
      <c r="K198" s="53" t="str">
        <f>Scenario_Analysis!R22</f>
        <v>Stable</v>
      </c>
    </row>
    <row r="199" spans="1:11" x14ac:dyDescent="0.35">
      <c r="A199" s="218" t="str">
        <f>Scenario_Analysis!A23</f>
        <v>a5215a7a9f46c4185b12f38e9ddf2abc</v>
      </c>
      <c r="B199" t="str">
        <f>Scenario_Analysis!B23</f>
        <v>computers</v>
      </c>
      <c r="C199" s="9">
        <f>Scenario_Analysis!D23</f>
        <v>0.3893067585407477</v>
      </c>
      <c r="D199" s="11" t="str">
        <f>Scenario_Analysis!E23</f>
        <v>SCALE</v>
      </c>
      <c r="E199" s="5">
        <f>Scenario_Analysis!G23</f>
        <v>0.33230677234025918</v>
      </c>
      <c r="F199" s="11" t="str">
        <f>Scenario_Analysis!I23</f>
        <v>SCALE</v>
      </c>
      <c r="G199" s="9">
        <f>Scenario_Analysis!K23</f>
        <v>0.38860298345438582</v>
      </c>
      <c r="H199" s="11" t="str">
        <f>Scenario_Analysis!M23</f>
        <v>SCALE</v>
      </c>
      <c r="I199" s="9">
        <f>Scenario_Analysis!O23</f>
        <v>0.35716500899026071</v>
      </c>
      <c r="J199" s="11" t="str">
        <f>Scenario_Analysis!Q23</f>
        <v>SCALE</v>
      </c>
      <c r="K199" s="53" t="str">
        <f>Scenario_Analysis!R23</f>
        <v>Stable</v>
      </c>
    </row>
    <row r="200" spans="1:11" x14ac:dyDescent="0.35">
      <c r="A200" s="218" t="str">
        <f>Scenario_Analysis!A24</f>
        <v>bc4cd4da98dd128c39bf0b8c2674032f</v>
      </c>
      <c r="B200" t="str">
        <f>Scenario_Analysis!B24</f>
        <v>computers</v>
      </c>
      <c r="C200" s="9">
        <f>Scenario_Analysis!D24</f>
        <v>0.3877478593777835</v>
      </c>
      <c r="D200" s="11" t="str">
        <f>Scenario_Analysis!E24</f>
        <v>SCALE</v>
      </c>
      <c r="E200" s="5">
        <f>Scenario_Analysis!G24</f>
        <v>0.33074784216815295</v>
      </c>
      <c r="F200" s="11" t="str">
        <f>Scenario_Analysis!I24</f>
        <v>SCALE</v>
      </c>
      <c r="G200" s="9">
        <f>Scenario_Analysis!K24</f>
        <v>0.38703621789996928</v>
      </c>
      <c r="H200" s="11" t="str">
        <f>Scenario_Analysis!M24</f>
        <v>SCALE</v>
      </c>
      <c r="I200" s="9">
        <f>Scenario_Analysis!O24</f>
        <v>0.35552406250292995</v>
      </c>
      <c r="J200" s="11" t="str">
        <f>Scenario_Analysis!Q24</f>
        <v>SCALE</v>
      </c>
      <c r="K200" s="53" t="str">
        <f>Scenario_Analysis!R24</f>
        <v>Stable</v>
      </c>
    </row>
    <row r="201" spans="1:11" x14ac:dyDescent="0.35">
      <c r="A201" s="218" t="str">
        <f>Scenario_Analysis!A32</f>
        <v>6f3b5b605d91b7439c5e3f5a8dffeea7</v>
      </c>
      <c r="B201" t="str">
        <f>Scenario_Analysis!B32</f>
        <v>watches_gifts</v>
      </c>
      <c r="C201" s="9">
        <f>Scenario_Analysis!D32</f>
        <v>0.44492514229802105</v>
      </c>
      <c r="D201" s="11" t="str">
        <f>Scenario_Analysis!E32</f>
        <v>SCALE</v>
      </c>
      <c r="E201" s="5">
        <f>Scenario_Analysis!G32</f>
        <v>0.40292513177691042</v>
      </c>
      <c r="F201" s="11" t="str">
        <f>Scenario_Analysis!I32</f>
        <v>SCALE</v>
      </c>
      <c r="G201" s="9">
        <f>Scenario_Analysis!K32</f>
        <v>0.44270939640388435</v>
      </c>
      <c r="H201" s="11" t="str">
        <f>Scenario_Analysis!M32</f>
        <v>SCALE</v>
      </c>
      <c r="I201" s="9">
        <f>Scenario_Analysis!O32</f>
        <v>0.41571067610318002</v>
      </c>
      <c r="J201" s="11" t="str">
        <f>Scenario_Analysis!Q32</f>
        <v>SCALE</v>
      </c>
      <c r="K201" s="53" t="str">
        <f>Scenario_Analysis!R32</f>
        <v>Stable</v>
      </c>
    </row>
    <row r="202" spans="1:11" x14ac:dyDescent="0.35">
      <c r="A202" s="218" t="str">
        <f>Scenario_Analysis!A34</f>
        <v>1a080577618e7fe4d9ddd8fb2b47a964</v>
      </c>
      <c r="B202" t="str">
        <f>Scenario_Analysis!B34</f>
        <v>watches_gifts</v>
      </c>
      <c r="C202" s="9">
        <f>Scenario_Analysis!D34</f>
        <v>0.53363693508609789</v>
      </c>
      <c r="D202" s="11" t="str">
        <f>Scenario_Analysis!E34</f>
        <v>SCALE</v>
      </c>
      <c r="E202" s="5">
        <f>Scenario_Analysis!G34</f>
        <v>0.49163695260790141</v>
      </c>
      <c r="F202" s="11" t="str">
        <f>Scenario_Analysis!I34</f>
        <v>SCALE</v>
      </c>
      <c r="G202" s="9">
        <f>Scenario_Analysis!K34</f>
        <v>0.53300615015309682</v>
      </c>
      <c r="H202" s="11" t="str">
        <f>Scenario_Analysis!M34</f>
        <v>SCALE</v>
      </c>
      <c r="I202" s="9">
        <f>Scenario_Analysis!O34</f>
        <v>0.50909151061694502</v>
      </c>
      <c r="J202" s="11" t="str">
        <f>Scenario_Analysis!Q34</f>
        <v>SCALE</v>
      </c>
      <c r="K202" s="53" t="str">
        <f>Scenario_Analysis!R34</f>
        <v>Stable</v>
      </c>
    </row>
    <row r="203" spans="1:11" x14ac:dyDescent="0.35">
      <c r="A203" s="218" t="str">
        <f>Scenario_Analysis!A40</f>
        <v>601a360bd2a916ecef0e88de72a6531a</v>
      </c>
      <c r="B203" t="str">
        <f>Scenario_Analysis!B40</f>
        <v>cool_stuff</v>
      </c>
      <c r="C203" s="9">
        <f>Scenario_Analysis!D40</f>
        <v>0.36001044867976578</v>
      </c>
      <c r="D203" s="11" t="str">
        <f>Scenario_Analysis!E40</f>
        <v>SCALE</v>
      </c>
      <c r="E203" s="5">
        <f>Scenario_Analysis!G40</f>
        <v>0.31501047836351503</v>
      </c>
      <c r="F203" s="11" t="str">
        <f>Scenario_Analysis!I40</f>
        <v>SCALE</v>
      </c>
      <c r="G203" s="9">
        <f>Scenario_Analysis!K40</f>
        <v>0.35718455574311286</v>
      </c>
      <c r="H203" s="11" t="str">
        <f>Scenario_Analysis!M40</f>
        <v>SCALE</v>
      </c>
      <c r="I203" s="9">
        <f>Scenario_Analysis!O40</f>
        <v>0.32632678808396398</v>
      </c>
      <c r="J203" s="11" t="str">
        <f>Scenario_Analysis!Q40</f>
        <v>SCALE</v>
      </c>
      <c r="K203" s="53" t="str">
        <f>Scenario_Analysis!R40</f>
        <v>Stable</v>
      </c>
    </row>
    <row r="204" spans="1:11" x14ac:dyDescent="0.35">
      <c r="A204" s="218" t="str">
        <f>Scenario_Analysis!A42</f>
        <v>470433f95ba906e17efac3fce39e9ffd</v>
      </c>
      <c r="B204" t="str">
        <f>Scenario_Analysis!B42</f>
        <v>computers_accessories</v>
      </c>
      <c r="C204" s="9">
        <f>Scenario_Analysis!D42</f>
        <v>0.41220844764308029</v>
      </c>
      <c r="D204" s="11" t="str">
        <f>Scenario_Analysis!E42</f>
        <v>SCALE</v>
      </c>
      <c r="E204" s="5">
        <f>Scenario_Analysis!G42</f>
        <v>0.35520842430889127</v>
      </c>
      <c r="F204" s="11" t="str">
        <f>Scenario_Analysis!I42</f>
        <v>SCALE</v>
      </c>
      <c r="G204" s="9">
        <f>Scenario_Analysis!K42</f>
        <v>0.4119084366426769</v>
      </c>
      <c r="H204" s="11" t="str">
        <f>Scenario_Analysis!M42</f>
        <v>SCALE</v>
      </c>
      <c r="I204" s="9">
        <f>Scenario_Analysis!O42</f>
        <v>0.38127205015061083</v>
      </c>
      <c r="J204" s="11" t="str">
        <f>Scenario_Analysis!Q42</f>
        <v>SCALE</v>
      </c>
      <c r="K204" s="53" t="str">
        <f>Scenario_Analysis!R42</f>
        <v>Stable</v>
      </c>
    </row>
    <row r="205" spans="1:11" x14ac:dyDescent="0.35">
      <c r="A205" s="218" t="str">
        <f>Scenario_Analysis!A44</f>
        <v>431d674f9a4fbd0957ecf6ba3fcb6899</v>
      </c>
      <c r="B205" t="str">
        <f>Scenario_Analysis!B44</f>
        <v>telephony</v>
      </c>
      <c r="C205" s="9">
        <f>Scenario_Analysis!D44</f>
        <v>0.33275724891233416</v>
      </c>
      <c r="D205" s="11" t="str">
        <f>Scenario_Analysis!E44</f>
        <v>SCALE</v>
      </c>
      <c r="E205" s="5">
        <f>Scenario_Analysis!G44</f>
        <v>0.27575721584540319</v>
      </c>
      <c r="F205" s="11" t="str">
        <f>Scenario_Analysis!I44</f>
        <v>SCALE</v>
      </c>
      <c r="G205" s="9">
        <f>Scenario_Analysis!K44</f>
        <v>0.32953828442014443</v>
      </c>
      <c r="H205" s="11" t="str">
        <f>Scenario_Analysis!M44</f>
        <v>SCALE</v>
      </c>
      <c r="I205" s="9">
        <f>Scenario_Analysis!O44</f>
        <v>0.29763920938140431</v>
      </c>
      <c r="J205" s="11" t="str">
        <f>Scenario_Analysis!Q44</f>
        <v>SCALE</v>
      </c>
      <c r="K205" s="53" t="str">
        <f>Scenario_Analysis!R44</f>
        <v>Stable</v>
      </c>
    </row>
    <row r="206" spans="1:11" x14ac:dyDescent="0.35">
      <c r="A206" s="218" t="str">
        <f>Scenario_Analysis!A46</f>
        <v>87feb07adc221a4c6cdf051ea1afd0ff</v>
      </c>
      <c r="B206" t="str">
        <f>Scenario_Analysis!B46</f>
        <v>home_appliances_2</v>
      </c>
      <c r="C206" s="9">
        <f>Scenario_Analysis!D46</f>
        <v>0.39779756262694654</v>
      </c>
      <c r="D206" s="11" t="str">
        <f>Scenario_Analysis!E46</f>
        <v>SCALE</v>
      </c>
      <c r="E206" s="5">
        <f>Scenario_Analysis!G46</f>
        <v>0.34079756262694644</v>
      </c>
      <c r="F206" s="11" t="str">
        <f>Scenario_Analysis!I46</f>
        <v>SCALE</v>
      </c>
      <c r="G206" s="9">
        <f>Scenario_Analysis!K46</f>
        <v>0.39762694651320241</v>
      </c>
      <c r="H206" s="11" t="str">
        <f>Scenario_Analysis!M46</f>
        <v>SCALE</v>
      </c>
      <c r="I206" s="9">
        <f>Scenario_Analysis!O46</f>
        <v>0.36610269750204899</v>
      </c>
      <c r="J206" s="11" t="str">
        <f>Scenario_Analysis!Q46</f>
        <v>SCALE</v>
      </c>
      <c r="K206" s="53" t="str">
        <f>Scenario_Analysis!R46</f>
        <v>Stable</v>
      </c>
    </row>
    <row r="207" spans="1:11" x14ac:dyDescent="0.35">
      <c r="A207" s="218" t="str">
        <f>Scenario_Analysis!A47</f>
        <v>f49e985b4cb2d0543890d6dd00077663</v>
      </c>
      <c r="B207" t="str">
        <f>Scenario_Analysis!B47</f>
        <v>small_appliances_home_oven_and_coffee</v>
      </c>
      <c r="C207" s="9">
        <f>Scenario_Analysis!D47</f>
        <v>0.34051130911583277</v>
      </c>
      <c r="D207" s="11" t="str">
        <f>Scenario_Analysis!E47</f>
        <v>SCALE</v>
      </c>
      <c r="E207" s="5">
        <f>Scenario_Analysis!G47</f>
        <v>0.28351130911583272</v>
      </c>
      <c r="F207" s="11" t="str">
        <f>Scenario_Analysis!I47</f>
        <v>SCALE</v>
      </c>
      <c r="G207" s="9">
        <f>Scenario_Analysis!K47</f>
        <v>0.34004249485949284</v>
      </c>
      <c r="H207" s="11" t="str">
        <f>Scenario_Analysis!M47</f>
        <v>SCALE</v>
      </c>
      <c r="I207" s="9">
        <f>Scenario_Analysis!O47</f>
        <v>0.30580137801666607</v>
      </c>
      <c r="J207" s="11" t="str">
        <f>Scenario_Analysis!Q47</f>
        <v>SCALE</v>
      </c>
      <c r="K207" s="53" t="str">
        <f>Scenario_Analysis!R47</f>
        <v>Stable</v>
      </c>
    </row>
    <row r="208" spans="1:11" x14ac:dyDescent="0.35">
      <c r="A208" s="218" t="str">
        <f>Scenario_Analysis!A50</f>
        <v>af51d485dc5255ba2e18b21b550156e6</v>
      </c>
      <c r="B208" t="str">
        <f>Scenario_Analysis!B50</f>
        <v>luggage_accessories</v>
      </c>
      <c r="C208" s="9">
        <f>Scenario_Analysis!D50</f>
        <v>0.29840554403654973</v>
      </c>
      <c r="D208" s="11" t="str">
        <f>Scenario_Analysis!E50</f>
        <v>SCALE</v>
      </c>
      <c r="E208" s="5">
        <f>Scenario_Analysis!G50</f>
        <v>0.25640554541744948</v>
      </c>
      <c r="F208" s="11" t="str">
        <f>Scenario_Analysis!I50</f>
        <v>SCALE</v>
      </c>
      <c r="G208" s="9">
        <f>Scenario_Analysis!K50</f>
        <v>0.2970384532265069</v>
      </c>
      <c r="H208" s="11" t="str">
        <f>Scenario_Analysis!M50</f>
        <v>SCALE</v>
      </c>
      <c r="I208" s="9">
        <f>Scenario_Analysis!O50</f>
        <v>0.2614795200384733</v>
      </c>
      <c r="J208" s="11" t="str">
        <f>Scenario_Analysis!Q50</f>
        <v>SCALE</v>
      </c>
      <c r="K208" s="53" t="str">
        <f>Scenario_Analysis!R50</f>
        <v>Stable</v>
      </c>
    </row>
    <row r="209" spans="1:11" x14ac:dyDescent="0.35">
      <c r="A209" s="218" t="str">
        <f>Scenario_Analysis!A52</f>
        <v>8c292ca193d326152e335d77176746f0</v>
      </c>
      <c r="B209" t="str">
        <f>Scenario_Analysis!B52</f>
        <v>health_beauty</v>
      </c>
      <c r="C209" s="9">
        <f>Scenario_Analysis!D52</f>
        <v>0.43615868198569263</v>
      </c>
      <c r="D209" s="11" t="str">
        <f>Scenario_Analysis!E52</f>
        <v>SCALE</v>
      </c>
      <c r="E209" s="5">
        <f>Scenario_Analysis!G52</f>
        <v>0.39415868198569259</v>
      </c>
      <c r="F209" s="11" t="str">
        <f>Scenario_Analysis!I52</f>
        <v>SCALE</v>
      </c>
      <c r="G209" s="9">
        <f>Scenario_Analysis!K52</f>
        <v>0.43381747236071971</v>
      </c>
      <c r="H209" s="11" t="str">
        <f>Scenario_Analysis!M52</f>
        <v>SCALE</v>
      </c>
      <c r="I209" s="9">
        <f>Scenario_Analysis!O52</f>
        <v>0.40648282314283429</v>
      </c>
      <c r="J209" s="11" t="str">
        <f>Scenario_Analysis!Q52</f>
        <v>SCALE</v>
      </c>
      <c r="K209" s="53" t="str">
        <f>Scenario_Analysis!R52</f>
        <v>Stable</v>
      </c>
    </row>
    <row r="210" spans="1:11" x14ac:dyDescent="0.35">
      <c r="A210" s="218" t="str">
        <f>Scenario_Analysis!A53</f>
        <v>4aa6014eceb682077f9dc4bffebc05b0</v>
      </c>
      <c r="B210" t="str">
        <f>Scenario_Analysis!B53</f>
        <v>housewares</v>
      </c>
      <c r="C210" s="9">
        <f>Scenario_Analysis!D53</f>
        <v>0.37824270717412539</v>
      </c>
      <c r="D210" s="11" t="str">
        <f>Scenario_Analysis!E53</f>
        <v>SCALE</v>
      </c>
      <c r="E210" s="5">
        <f>Scenario_Analysis!G53</f>
        <v>0.33324270352067953</v>
      </c>
      <c r="F210" s="11" t="str">
        <f>Scenario_Analysis!I53</f>
        <v>SCALE</v>
      </c>
      <c r="G210" s="9">
        <f>Scenario_Analysis!K53</f>
        <v>0.37700638110847007</v>
      </c>
      <c r="H210" s="11" t="str">
        <f>Scenario_Analysis!M53</f>
        <v>SCALE</v>
      </c>
      <c r="I210" s="9">
        <f>Scenario_Analysis!O53</f>
        <v>0.34551863913065833</v>
      </c>
      <c r="J210" s="11" t="str">
        <f>Scenario_Analysis!Q53</f>
        <v>SCALE</v>
      </c>
      <c r="K210" s="53" t="str">
        <f>Scenario_Analysis!R53</f>
        <v>Stable</v>
      </c>
    </row>
    <row r="211" spans="1:11" x14ac:dyDescent="0.35">
      <c r="A211" s="218" t="str">
        <f>Scenario_Analysis!A54</f>
        <v>bee2e070c39f3dd2f6883a17a5f0da45</v>
      </c>
      <c r="B211" t="str">
        <f>Scenario_Analysis!B54</f>
        <v>computers_accessories</v>
      </c>
      <c r="C211" s="9">
        <f>Scenario_Analysis!D54</f>
        <v>0.26437061403508771</v>
      </c>
      <c r="D211" s="11" t="str">
        <f>Scenario_Analysis!E54</f>
        <v>SCALE</v>
      </c>
      <c r="E211" s="5">
        <f>Scenario_Analysis!G54</f>
        <v>0.20737061403508769</v>
      </c>
      <c r="F211" s="11" t="str">
        <f>Scenario_Analysis!I54</f>
        <v>OPTIMIZE</v>
      </c>
      <c r="G211" s="9">
        <f>Scenario_Analysis!K54</f>
        <v>0.25910745614035086</v>
      </c>
      <c r="H211" s="11" t="str">
        <f>Scenario_Analysis!M54</f>
        <v>SCALE</v>
      </c>
      <c r="I211" s="9">
        <f>Scenario_Analysis!O54</f>
        <v>0.22565327793167125</v>
      </c>
      <c r="J211" s="11" t="str">
        <f>Scenario_Analysis!Q54</f>
        <v>OPTIMIZE</v>
      </c>
      <c r="K211" s="53" t="str">
        <f>Scenario_Analysis!R54</f>
        <v>Decision changes</v>
      </c>
    </row>
    <row r="212" spans="1:11" x14ac:dyDescent="0.35">
      <c r="A212" s="218" t="str">
        <f>Scenario_Analysis!A55</f>
        <v>a02d0123079f4ae96001ba2010d1a2df</v>
      </c>
      <c r="B212" t="str">
        <f>Scenario_Analysis!B55</f>
        <v>construction_tools_lights</v>
      </c>
      <c r="C212" s="9">
        <f>Scenario_Analysis!D55</f>
        <v>0.31441623616236164</v>
      </c>
      <c r="D212" s="11" t="str">
        <f>Scenario_Analysis!E55</f>
        <v>SCALE</v>
      </c>
      <c r="E212" s="5">
        <f>Scenario_Analysis!G55</f>
        <v>0.26941623616236154</v>
      </c>
      <c r="F212" s="11" t="str">
        <f>Scenario_Analysis!I55</f>
        <v>SCALE</v>
      </c>
      <c r="G212" s="9">
        <f>Scenario_Analysis!K55</f>
        <v>0.31292841328413284</v>
      </c>
      <c r="H212" s="11" t="str">
        <f>Scenario_Analysis!M55</f>
        <v>SCALE</v>
      </c>
      <c r="I212" s="9">
        <f>Scenario_Analysis!O55</f>
        <v>0.27833288017090696</v>
      </c>
      <c r="J212" s="11" t="str">
        <f>Scenario_Analysis!Q55</f>
        <v>SCALE</v>
      </c>
      <c r="K212" s="53" t="str">
        <f>Scenario_Analysis!R55</f>
        <v>Stable</v>
      </c>
    </row>
    <row r="213" spans="1:11" x14ac:dyDescent="0.35">
      <c r="A213" s="218" t="str">
        <f>Scenario_Analysis!A57</f>
        <v>0433830caca22b01a0f477d31307b043</v>
      </c>
      <c r="B213" t="str">
        <f>Scenario_Analysis!B57</f>
        <v>small_appliances_home_oven_and_coffee</v>
      </c>
      <c r="C213" s="9">
        <f>Scenario_Analysis!D57</f>
        <v>0.39237322822709003</v>
      </c>
      <c r="D213" s="11" t="str">
        <f>Scenario_Analysis!E57</f>
        <v>SCALE</v>
      </c>
      <c r="E213" s="5">
        <f>Scenario_Analysis!G57</f>
        <v>0.33537322822709004</v>
      </c>
      <c r="F213" s="11" t="str">
        <f>Scenario_Analysis!I57</f>
        <v>SCALE</v>
      </c>
      <c r="G213" s="9">
        <f>Scenario_Analysis!K57</f>
        <v>0.39218221784279533</v>
      </c>
      <c r="H213" s="11" t="str">
        <f>Scenario_Analysis!M57</f>
        <v>SCALE</v>
      </c>
      <c r="I213" s="9">
        <f>Scenario_Analysis!O57</f>
        <v>0.36039287181798946</v>
      </c>
      <c r="J213" s="11" t="str">
        <f>Scenario_Analysis!Q57</f>
        <v>SCALE</v>
      </c>
      <c r="K213" s="53" t="str">
        <f>Scenario_Analysis!R57</f>
        <v>Stable</v>
      </c>
    </row>
    <row r="214" spans="1:11" x14ac:dyDescent="0.35">
      <c r="A214" s="218" t="str">
        <f>Scenario_Analysis!A58</f>
        <v>f4f67ccaece962d013a4e1d7dc3a61f7</v>
      </c>
      <c r="B214" t="str">
        <f>Scenario_Analysis!B58</f>
        <v>auto</v>
      </c>
      <c r="C214" s="9">
        <f>Scenario_Analysis!D58</f>
        <v>0.38884914534467802</v>
      </c>
      <c r="D214" s="11" t="str">
        <f>Scenario_Analysis!E58</f>
        <v>SCALE</v>
      </c>
      <c r="E214" s="5">
        <f>Scenario_Analysis!G58</f>
        <v>0.34384914534467798</v>
      </c>
      <c r="F214" s="11" t="str">
        <f>Scenario_Analysis!I58</f>
        <v>SCALE</v>
      </c>
      <c r="G214" s="9">
        <f>Scenario_Analysis!K58</f>
        <v>0.38731487541667303</v>
      </c>
      <c r="H214" s="11" t="str">
        <f>Scenario_Analysis!M58</f>
        <v>SCALE</v>
      </c>
      <c r="I214" s="9">
        <f>Scenario_Analysis!O58</f>
        <v>0.35668331088913474</v>
      </c>
      <c r="J214" s="11" t="str">
        <f>Scenario_Analysis!Q58</f>
        <v>SCALE</v>
      </c>
      <c r="K214" s="53" t="str">
        <f>Scenario_Analysis!R58</f>
        <v>Stable</v>
      </c>
    </row>
    <row r="215" spans="1:11" x14ac:dyDescent="0.35">
      <c r="A215" s="218" t="str">
        <f>Scenario_Analysis!A61</f>
        <v>ee406bf28024d97771c4b1e8b7e8e219</v>
      </c>
      <c r="B215" t="str">
        <f>Scenario_Analysis!B61</f>
        <v>cool_stuff</v>
      </c>
      <c r="C215" s="9">
        <f>Scenario_Analysis!D61</f>
        <v>0.3947375349424273</v>
      </c>
      <c r="D215" s="11" t="str">
        <f>Scenario_Analysis!E61</f>
        <v>SCALE</v>
      </c>
      <c r="E215" s="5">
        <f>Scenario_Analysis!G61</f>
        <v>0.34973757365979813</v>
      </c>
      <c r="F215" s="11" t="str">
        <f>Scenario_Analysis!I61</f>
        <v>SCALE</v>
      </c>
      <c r="G215" s="9">
        <f>Scenario_Analysis!K61</f>
        <v>0.39222864930579759</v>
      </c>
      <c r="H215" s="11" t="str">
        <f>Scenario_Analysis!M61</f>
        <v>SCALE</v>
      </c>
      <c r="I215" s="9">
        <f>Scenario_Analysis!O61</f>
        <v>0.36288161572887084</v>
      </c>
      <c r="J215" s="11" t="str">
        <f>Scenario_Analysis!Q61</f>
        <v>SCALE</v>
      </c>
      <c r="K215" s="53" t="str">
        <f>Scenario_Analysis!R61</f>
        <v>Stable</v>
      </c>
    </row>
    <row r="216" spans="1:11" x14ac:dyDescent="0.35">
      <c r="A216" s="218" t="str">
        <f>Scenario_Analysis!A62</f>
        <v>4fcb3d9a5f4871e8362dfedbdb02b064</v>
      </c>
      <c r="B216" t="str">
        <f>Scenario_Analysis!B62</f>
        <v>auto</v>
      </c>
      <c r="C216" s="9">
        <f>Scenario_Analysis!D62</f>
        <v>0.33931493919324751</v>
      </c>
      <c r="D216" s="11" t="str">
        <f>Scenario_Analysis!E62</f>
        <v>SCALE</v>
      </c>
      <c r="E216" s="5">
        <f>Scenario_Analysis!G62</f>
        <v>0.29431497819693725</v>
      </c>
      <c r="F216" s="11" t="str">
        <f>Scenario_Analysis!I62</f>
        <v>SCALE</v>
      </c>
      <c r="G216" s="9">
        <f>Scenario_Analysis!K62</f>
        <v>0.33681558275412848</v>
      </c>
      <c r="H216" s="11" t="str">
        <f>Scenario_Analysis!M62</f>
        <v>SCALE</v>
      </c>
      <c r="I216" s="9">
        <f>Scenario_Analysis!O62</f>
        <v>0.30454204125605006</v>
      </c>
      <c r="J216" s="11" t="str">
        <f>Scenario_Analysis!Q62</f>
        <v>SCALE</v>
      </c>
      <c r="K216" s="53" t="str">
        <f>Scenario_Analysis!R62</f>
        <v>Stable</v>
      </c>
    </row>
    <row r="217" spans="1:11" x14ac:dyDescent="0.35">
      <c r="A217" s="218" t="str">
        <f>Scenario_Analysis!A64</f>
        <v>595fac2a385ac33a80bd5114aec74eb8</v>
      </c>
      <c r="B217" t="str">
        <f>Scenario_Analysis!B64</f>
        <v>perfumery</v>
      </c>
      <c r="C217" s="9">
        <f>Scenario_Analysis!D64</f>
        <v>0.40819109116951147</v>
      </c>
      <c r="D217" s="11" t="str">
        <f>Scenario_Analysis!E64</f>
        <v>SCALE</v>
      </c>
      <c r="E217" s="5">
        <f>Scenario_Analysis!G64</f>
        <v>0.36619107534284506</v>
      </c>
      <c r="F217" s="11" t="str">
        <f>Scenario_Analysis!I64</f>
        <v>SCALE</v>
      </c>
      <c r="G217" s="9">
        <f>Scenario_Analysis!K64</f>
        <v>0.40517136322990605</v>
      </c>
      <c r="H217" s="11" t="str">
        <f>Scenario_Analysis!M64</f>
        <v>SCALE</v>
      </c>
      <c r="I217" s="9">
        <f>Scenario_Analysis!O64</f>
        <v>0.37704325386264359</v>
      </c>
      <c r="J217" s="11" t="str">
        <f>Scenario_Analysis!Q64</f>
        <v>SCALE</v>
      </c>
      <c r="K217" s="53" t="str">
        <f>Scenario_Analysis!R64</f>
        <v>Stable</v>
      </c>
    </row>
    <row r="218" spans="1:11" x14ac:dyDescent="0.35">
      <c r="A218" s="218" t="str">
        <f>Scenario_Analysis!A65</f>
        <v>25292482a61cb3298df8dbe15ea69daf</v>
      </c>
      <c r="B218" t="str">
        <f>Scenario_Analysis!B65</f>
        <v>health_beauty</v>
      </c>
      <c r="C218" s="9">
        <f>Scenario_Analysis!D65</f>
        <v>0.55335432192244849</v>
      </c>
      <c r="D218" s="11" t="str">
        <f>Scenario_Analysis!E65</f>
        <v>SCALE</v>
      </c>
      <c r="E218" s="5">
        <f>Scenario_Analysis!G65</f>
        <v>0.51135432192244845</v>
      </c>
      <c r="F218" s="11" t="str">
        <f>Scenario_Analysis!I65</f>
        <v>SCALE</v>
      </c>
      <c r="G218" s="9">
        <f>Scenario_Analysis!K65</f>
        <v>0.55306738931176025</v>
      </c>
      <c r="H218" s="11" t="str">
        <f>Scenario_Analysis!M65</f>
        <v>SCALE</v>
      </c>
      <c r="I218" s="9">
        <f>Scenario_Analysis!O65</f>
        <v>0.52984665465520886</v>
      </c>
      <c r="J218" s="11" t="str">
        <f>Scenario_Analysis!Q65</f>
        <v>SCALE</v>
      </c>
      <c r="K218" s="53" t="str">
        <f>Scenario_Analysis!R65</f>
        <v>Stable</v>
      </c>
    </row>
    <row r="219" spans="1:11" x14ac:dyDescent="0.35">
      <c r="A219" s="218" t="str">
        <f>Scenario_Analysis!A69</f>
        <v>e4d325bd1eea550509bdbbc5c3301fc1</v>
      </c>
      <c r="B219" t="str">
        <f>Scenario_Analysis!B69</f>
        <v>perfumery</v>
      </c>
      <c r="C219" s="9">
        <f>Scenario_Analysis!D69</f>
        <v>0.5039044336295927</v>
      </c>
      <c r="D219" s="11" t="str">
        <f>Scenario_Analysis!E69</f>
        <v>SCALE</v>
      </c>
      <c r="E219" s="5">
        <f>Scenario_Analysis!G69</f>
        <v>0.46190442701050621</v>
      </c>
      <c r="F219" s="11" t="str">
        <f>Scenario_Analysis!I69</f>
        <v>SCALE</v>
      </c>
      <c r="G219" s="9">
        <f>Scenario_Analysis!K69</f>
        <v>0.50292149928927565</v>
      </c>
      <c r="H219" s="11" t="str">
        <f>Scenario_Analysis!M69</f>
        <v>SCALE</v>
      </c>
      <c r="I219" s="9">
        <f>Scenario_Analysis!O69</f>
        <v>0.47779414066272918</v>
      </c>
      <c r="J219" s="11" t="str">
        <f>Scenario_Analysis!Q69</f>
        <v>SCALE</v>
      </c>
      <c r="K219" s="53" t="str">
        <f>Scenario_Analysis!R69</f>
        <v>Stable</v>
      </c>
    </row>
    <row r="220" spans="1:11" x14ac:dyDescent="0.35">
      <c r="A220" s="218" t="str">
        <f>Scenario_Analysis!A72</f>
        <v>c6dd917a0be2a704582055949915ab32</v>
      </c>
      <c r="B220" t="str">
        <f>Scenario_Analysis!B72</f>
        <v>cool_stuff</v>
      </c>
      <c r="C220" s="9">
        <f>Scenario_Analysis!D72</f>
        <v>0.33095306704683514</v>
      </c>
      <c r="D220" s="11" t="str">
        <f>Scenario_Analysis!E72</f>
        <v>SCALE</v>
      </c>
      <c r="E220" s="5">
        <f>Scenario_Analysis!G72</f>
        <v>0.28595305862111375</v>
      </c>
      <c r="F220" s="11" t="str">
        <f>Scenario_Analysis!I72</f>
        <v>SCALE</v>
      </c>
      <c r="G220" s="9">
        <f>Scenario_Analysis!K72</f>
        <v>0.32731315541580097</v>
      </c>
      <c r="H220" s="11" t="str">
        <f>Scenario_Analysis!M72</f>
        <v>SCALE</v>
      </c>
      <c r="I220" s="9">
        <f>Scenario_Analysis!O72</f>
        <v>0.29574007057561597</v>
      </c>
      <c r="J220" s="11" t="str">
        <f>Scenario_Analysis!Q72</f>
        <v>SCALE</v>
      </c>
      <c r="K220" s="53" t="str">
        <f>Scenario_Analysis!R72</f>
        <v>Stable</v>
      </c>
    </row>
    <row r="221" spans="1:11" x14ac:dyDescent="0.35">
      <c r="A221" s="218" t="str">
        <f>Scenario_Analysis!A74</f>
        <v>24c66f106f642621e524291a895c9032</v>
      </c>
      <c r="B221" t="str">
        <f>Scenario_Analysis!B74</f>
        <v>health_beauty</v>
      </c>
      <c r="C221" s="9">
        <f>Scenario_Analysis!D74</f>
        <v>0.42819554277498206</v>
      </c>
      <c r="D221" s="11" t="str">
        <f>Scenario_Analysis!E74</f>
        <v>SCALE</v>
      </c>
      <c r="E221" s="5">
        <f>Scenario_Analysis!G74</f>
        <v>0.38619554277498203</v>
      </c>
      <c r="F221" s="11" t="str">
        <f>Scenario_Analysis!I74</f>
        <v>SCALE</v>
      </c>
      <c r="G221" s="9">
        <f>Scenario_Analysis!K74</f>
        <v>0.42621643337421244</v>
      </c>
      <c r="H221" s="11" t="str">
        <f>Scenario_Analysis!M74</f>
        <v>SCALE</v>
      </c>
      <c r="I221" s="9">
        <f>Scenario_Analysis!O74</f>
        <v>0.39810057134208632</v>
      </c>
      <c r="J221" s="11" t="str">
        <f>Scenario_Analysis!Q74</f>
        <v>SCALE</v>
      </c>
      <c r="K221" s="53" t="str">
        <f>Scenario_Analysis!R74</f>
        <v>Stable</v>
      </c>
    </row>
    <row r="222" spans="1:11" x14ac:dyDescent="0.35">
      <c r="A222" s="218" t="str">
        <f>Scenario_Analysis!A75</f>
        <v>dc404a1496a08f9f5540c8b5d4b92925</v>
      </c>
      <c r="B222" t="str">
        <f>Scenario_Analysis!B75</f>
        <v>toys</v>
      </c>
      <c r="C222" s="9">
        <f>Scenario_Analysis!D75</f>
        <v>0.49378917134650829</v>
      </c>
      <c r="D222" s="11" t="str">
        <f>Scenario_Analysis!E75</f>
        <v>SCALE</v>
      </c>
      <c r="E222" s="5">
        <f>Scenario_Analysis!G75</f>
        <v>0.45178917134650826</v>
      </c>
      <c r="F222" s="11" t="str">
        <f>Scenario_Analysis!I75</f>
        <v>SCALE</v>
      </c>
      <c r="G222" s="9">
        <f>Scenario_Analysis!K75</f>
        <v>0.49261628156213821</v>
      </c>
      <c r="H222" s="11" t="str">
        <f>Scenario_Analysis!M75</f>
        <v>SCALE</v>
      </c>
      <c r="I222" s="9">
        <f>Scenario_Analysis!O75</f>
        <v>0.46714649615421922</v>
      </c>
      <c r="J222" s="11" t="str">
        <f>Scenario_Analysis!Q75</f>
        <v>SCALE</v>
      </c>
      <c r="K222" s="53" t="str">
        <f>Scenario_Analysis!R75</f>
        <v>Stable</v>
      </c>
    </row>
    <row r="223" spans="1:11" x14ac:dyDescent="0.35">
      <c r="A223" s="218" t="str">
        <f>Scenario_Analysis!A79</f>
        <v>afeeea6271148ee1bb15173b8187c431</v>
      </c>
      <c r="B223" t="str">
        <f>Scenario_Analysis!B79</f>
        <v>telephony</v>
      </c>
      <c r="C223" s="9">
        <f>Scenario_Analysis!D79</f>
        <v>0.29904773486933989</v>
      </c>
      <c r="D223" s="11" t="str">
        <f>Scenario_Analysis!E79</f>
        <v>SCALE</v>
      </c>
      <c r="E223" s="5">
        <f>Scenario_Analysis!G79</f>
        <v>0.24204772012839357</v>
      </c>
      <c r="F223" s="11" t="str">
        <f>Scenario_Analysis!I79</f>
        <v>OPTIMIZE</v>
      </c>
      <c r="G223" s="9">
        <f>Scenario_Analysis!K79</f>
        <v>0.29465309025512898</v>
      </c>
      <c r="H223" s="11" t="str">
        <f>Scenario_Analysis!M79</f>
        <v>SCALE</v>
      </c>
      <c r="I223" s="9">
        <f>Scenario_Analysis!O79</f>
        <v>0.26215551038877882</v>
      </c>
      <c r="J223" s="11" t="str">
        <f>Scenario_Analysis!Q79</f>
        <v>SCALE</v>
      </c>
      <c r="K223" s="53" t="str">
        <f>Scenario_Analysis!R79</f>
        <v>Decision changes</v>
      </c>
    </row>
    <row r="224" spans="1:11" x14ac:dyDescent="0.35">
      <c r="A224" s="218" t="str">
        <f>Scenario_Analysis!A80</f>
        <v>ddceb6eef6af67e9fbbd4c148dbe5fd9</v>
      </c>
      <c r="B224" t="str">
        <f>Scenario_Analysis!B80</f>
        <v>cool_stuff</v>
      </c>
      <c r="C224" s="9">
        <f>Scenario_Analysis!D80</f>
        <v>0.39715117551407092</v>
      </c>
      <c r="D224" s="11" t="str">
        <f>Scenario_Analysis!E80</f>
        <v>SCALE</v>
      </c>
      <c r="E224" s="5">
        <f>Scenario_Analysis!G80</f>
        <v>0.35215116166331001</v>
      </c>
      <c r="F224" s="11" t="str">
        <f>Scenario_Analysis!I80</f>
        <v>SCALE</v>
      </c>
      <c r="G224" s="9">
        <f>Scenario_Analysis!K80</f>
        <v>0.3954558423894225</v>
      </c>
      <c r="H224" s="11" t="str">
        <f>Scenario_Analysis!M80</f>
        <v>SCALE</v>
      </c>
      <c r="I224" s="9">
        <f>Scenario_Analysis!O80</f>
        <v>0.36542229001481141</v>
      </c>
      <c r="J224" s="11" t="str">
        <f>Scenario_Analysis!Q80</f>
        <v>SCALE</v>
      </c>
      <c r="K224" s="53" t="str">
        <f>Scenario_Analysis!R80</f>
        <v>Stable</v>
      </c>
    </row>
    <row r="225" spans="1:11" x14ac:dyDescent="0.35">
      <c r="A225" s="218" t="str">
        <f>Scenario_Analysis!A82</f>
        <v>f22c9d6ce2431ff939aad39e026cc7ef</v>
      </c>
      <c r="B225" t="str">
        <f>Scenario_Analysis!B82</f>
        <v>auto</v>
      </c>
      <c r="C225" s="9">
        <f>Scenario_Analysis!D82</f>
        <v>0.50995638525432674</v>
      </c>
      <c r="D225" s="11" t="str">
        <f>Scenario_Analysis!E82</f>
        <v>SCALE</v>
      </c>
      <c r="E225" s="5">
        <f>Scenario_Analysis!G82</f>
        <v>0.46495633895417215</v>
      </c>
      <c r="F225" s="11" t="str">
        <f>Scenario_Analysis!I82</f>
        <v>SCALE</v>
      </c>
      <c r="G225" s="9">
        <f>Scenario_Analysis!K82</f>
        <v>0.50965636025224326</v>
      </c>
      <c r="H225" s="11" t="str">
        <f>Scenario_Analysis!M82</f>
        <v>SCALE</v>
      </c>
      <c r="I225" s="9">
        <f>Scenario_Analysis!O82</f>
        <v>0.48416461605718608</v>
      </c>
      <c r="J225" s="11" t="str">
        <f>Scenario_Analysis!Q82</f>
        <v>SCALE</v>
      </c>
      <c r="K225" s="53" t="str">
        <f>Scenario_Analysis!R82</f>
        <v>Stable</v>
      </c>
    </row>
    <row r="226" spans="1:11" x14ac:dyDescent="0.35">
      <c r="A226" s="218" t="str">
        <f>Scenario_Analysis!A84</f>
        <v>cc971e0365873137b8bef2ebad633e6f</v>
      </c>
      <c r="B226" t="str">
        <f>Scenario_Analysis!B84</f>
        <v>cool_stuff</v>
      </c>
      <c r="C226" s="9">
        <f>Scenario_Analysis!D84</f>
        <v>0.43642397339194783</v>
      </c>
      <c r="D226" s="11" t="str">
        <f>Scenario_Analysis!E84</f>
        <v>SCALE</v>
      </c>
      <c r="E226" s="5">
        <f>Scenario_Analysis!G84</f>
        <v>0.39142400140435546</v>
      </c>
      <c r="F226" s="11" t="str">
        <f>Scenario_Analysis!I84</f>
        <v>SCALE</v>
      </c>
      <c r="G226" s="9">
        <f>Scenario_Analysis!K84</f>
        <v>0.4348776884908222</v>
      </c>
      <c r="H226" s="11" t="str">
        <f>Scenario_Analysis!M84</f>
        <v>SCALE</v>
      </c>
      <c r="I226" s="9">
        <f>Scenario_Analysis!O84</f>
        <v>0.40676207725468189</v>
      </c>
      <c r="J226" s="11" t="str">
        <f>Scenario_Analysis!Q84</f>
        <v>SCALE</v>
      </c>
      <c r="K226" s="53" t="str">
        <f>Scenario_Analysis!R84</f>
        <v>Stable</v>
      </c>
    </row>
    <row r="227" spans="1:11" x14ac:dyDescent="0.35">
      <c r="A227" s="218" t="str">
        <f>Scenario_Analysis!A85</f>
        <v>9c5cec867c62c0ec4674b002eb1c3e0c</v>
      </c>
      <c r="B227" t="str">
        <f>Scenario_Analysis!B85</f>
        <v>home_appliances</v>
      </c>
      <c r="C227" s="9">
        <f>Scenario_Analysis!D85</f>
        <v>0.34227893738140414</v>
      </c>
      <c r="D227" s="11" t="str">
        <f>Scenario_Analysis!E85</f>
        <v>SCALE</v>
      </c>
      <c r="E227" s="5">
        <f>Scenario_Analysis!G85</f>
        <v>0.28527893738140409</v>
      </c>
      <c r="F227" s="11" t="str">
        <f>Scenario_Analysis!I85</f>
        <v>SCALE</v>
      </c>
      <c r="G227" s="9">
        <f>Scenario_Analysis!K85</f>
        <v>0.34193738140417451</v>
      </c>
      <c r="H227" s="11" t="str">
        <f>Scenario_Analysis!M85</f>
        <v>SCALE</v>
      </c>
      <c r="I227" s="9">
        <f>Scenario_Analysis!O85</f>
        <v>0.30766203934884645</v>
      </c>
      <c r="J227" s="11" t="str">
        <f>Scenario_Analysis!Q85</f>
        <v>SCALE</v>
      </c>
      <c r="K227" s="53" t="str">
        <f>Scenario_Analysis!R85</f>
        <v>Stable</v>
      </c>
    </row>
    <row r="228" spans="1:11" x14ac:dyDescent="0.35">
      <c r="A228" s="218" t="str">
        <f>Scenario_Analysis!A90</f>
        <v>f27aff266ad97e75d4a24c893b2c311e</v>
      </c>
      <c r="B228" t="str">
        <f>Scenario_Analysis!B90</f>
        <v>home_appliances_2</v>
      </c>
      <c r="C228" s="9">
        <f>Scenario_Analysis!D90</f>
        <v>0.31161588089330022</v>
      </c>
      <c r="D228" s="11" t="str">
        <f>Scenario_Analysis!E90</f>
        <v>SCALE</v>
      </c>
      <c r="E228" s="5">
        <f>Scenario_Analysis!G90</f>
        <v>0.25461588089330017</v>
      </c>
      <c r="F228" s="11" t="str">
        <f>Scenario_Analysis!I90</f>
        <v>SCALE</v>
      </c>
      <c r="G228" s="9">
        <f>Scenario_Analysis!K90</f>
        <v>0.31115136476426791</v>
      </c>
      <c r="H228" s="11" t="str">
        <f>Scenario_Analysis!M90</f>
        <v>SCALE</v>
      </c>
      <c r="I228" s="9">
        <f>Scenario_Analysis!O90</f>
        <v>0.2753851377824213</v>
      </c>
      <c r="J228" s="11" t="str">
        <f>Scenario_Analysis!Q90</f>
        <v>SCALE</v>
      </c>
      <c r="K228" s="53" t="str">
        <f>Scenario_Analysis!R90</f>
        <v>Stable</v>
      </c>
    </row>
    <row r="229" spans="1:11" x14ac:dyDescent="0.35">
      <c r="A229" s="218" t="str">
        <f>Scenario_Analysis!A92</f>
        <v>fe6a9515d655fa7936b8a7c841039f34</v>
      </c>
      <c r="B229" t="str">
        <f>Scenario_Analysis!B92</f>
        <v>cool_stuff</v>
      </c>
      <c r="C229" s="9">
        <f>Scenario_Analysis!D92</f>
        <v>0.25669828274760387</v>
      </c>
      <c r="D229" s="11" t="str">
        <f>Scenario_Analysis!E92</f>
        <v>SCALE</v>
      </c>
      <c r="E229" s="5">
        <f>Scenario_Analysis!G92</f>
        <v>0.21169828274760386</v>
      </c>
      <c r="F229" s="11" t="str">
        <f>Scenario_Analysis!I92</f>
        <v>OPTIMIZE</v>
      </c>
      <c r="G229" s="9">
        <f>Scenario_Analysis!K92</f>
        <v>0.25526058306709276</v>
      </c>
      <c r="H229" s="11" t="str">
        <f>Scenario_Analysis!M92</f>
        <v>SCALE</v>
      </c>
      <c r="I229" s="9">
        <f>Scenario_Analysis!O92</f>
        <v>0.2175771397343198</v>
      </c>
      <c r="J229" s="11" t="str">
        <f>Scenario_Analysis!Q92</f>
        <v>OPTIMIZE</v>
      </c>
      <c r="K229" s="53" t="str">
        <f>Scenario_Analysis!R92</f>
        <v>Decision changes</v>
      </c>
    </row>
    <row r="230" spans="1:11" x14ac:dyDescent="0.35">
      <c r="A230" s="218" t="str">
        <f>Scenario_Analysis!A93</f>
        <v>cac9e5692471a0700418aa3400b9b2b1</v>
      </c>
      <c r="B230" t="str">
        <f>Scenario_Analysis!B93</f>
        <v>baby</v>
      </c>
      <c r="C230" s="9">
        <f>Scenario_Analysis!D93</f>
        <v>0.38505723579348139</v>
      </c>
      <c r="D230" s="11" t="str">
        <f>Scenario_Analysis!E93</f>
        <v>SCALE</v>
      </c>
      <c r="E230" s="5">
        <f>Scenario_Analysis!G93</f>
        <v>0.34305720581401727</v>
      </c>
      <c r="F230" s="11" t="str">
        <f>Scenario_Analysis!I93</f>
        <v>SCALE</v>
      </c>
      <c r="G230" s="9">
        <f>Scenario_Analysis!K93</f>
        <v>0.38185542903111369</v>
      </c>
      <c r="H230" s="11" t="str">
        <f>Scenario_Analysis!M93</f>
        <v>SCALE</v>
      </c>
      <c r="I230" s="9">
        <f>Scenario_Analysis!O93</f>
        <v>0.35269182715103298</v>
      </c>
      <c r="J230" s="11" t="str">
        <f>Scenario_Analysis!Q93</f>
        <v>SCALE</v>
      </c>
      <c r="K230" s="53" t="str">
        <f>Scenario_Analysis!R93</f>
        <v>Stable</v>
      </c>
    </row>
    <row r="231" spans="1:11" x14ac:dyDescent="0.35">
      <c r="A231" s="218" t="str">
        <f>Scenario_Analysis!A94</f>
        <v>8a12c0e223d9dbd49ccfcd2ad25d1b30</v>
      </c>
      <c r="B231" t="str">
        <f>Scenario_Analysis!B94</f>
        <v>construction_tools_construction</v>
      </c>
      <c r="C231" s="9">
        <f>Scenario_Analysis!D94</f>
        <v>0.52704804804804817</v>
      </c>
      <c r="D231" s="11" t="str">
        <f>Scenario_Analysis!E94</f>
        <v>SCALE</v>
      </c>
      <c r="E231" s="5">
        <f>Scenario_Analysis!G94</f>
        <v>0.48204804804804813</v>
      </c>
      <c r="F231" s="11" t="str">
        <f>Scenario_Analysis!I94</f>
        <v>SCALE</v>
      </c>
      <c r="G231" s="9">
        <f>Scenario_Analysis!K94</f>
        <v>0.52686786786786788</v>
      </c>
      <c r="H231" s="11" t="str">
        <f>Scenario_Analysis!M94</f>
        <v>SCALE</v>
      </c>
      <c r="I231" s="9">
        <f>Scenario_Analysis!O94</f>
        <v>0.50215584005057701</v>
      </c>
      <c r="J231" s="11" t="str">
        <f>Scenario_Analysis!Q94</f>
        <v>SCALE</v>
      </c>
      <c r="K231" s="53" t="str">
        <f>Scenario_Analysis!R94</f>
        <v>Stable</v>
      </c>
    </row>
    <row r="232" spans="1:11" x14ac:dyDescent="0.35">
      <c r="A232" s="218" t="str">
        <f>Scenario_Analysis!A95</f>
        <v>2a2d22ae30e026f1893083c8405ca522</v>
      </c>
      <c r="B232" t="str">
        <f>Scenario_Analysis!B95</f>
        <v>bed_bath_table</v>
      </c>
      <c r="C232" s="9">
        <f>Scenario_Analysis!D95</f>
        <v>0.3081473292799356</v>
      </c>
      <c r="D232" s="11" t="str">
        <f>Scenario_Analysis!E95</f>
        <v>SCALE</v>
      </c>
      <c r="E232" s="5">
        <f>Scenario_Analysis!G95</f>
        <v>0.26314737952866674</v>
      </c>
      <c r="F232" s="11" t="str">
        <f>Scenario_Analysis!I95</f>
        <v>SCALE</v>
      </c>
      <c r="G232" s="9">
        <f>Scenario_Analysis!K95</f>
        <v>0.30561479322647106</v>
      </c>
      <c r="H232" s="11" t="str">
        <f>Scenario_Analysis!M95</f>
        <v>SCALE</v>
      </c>
      <c r="I232" s="9">
        <f>Scenario_Analysis!O95</f>
        <v>0.27173403082098491</v>
      </c>
      <c r="J232" s="11" t="str">
        <f>Scenario_Analysis!Q95</f>
        <v>SCALE</v>
      </c>
      <c r="K232" s="53" t="str">
        <f>Scenario_Analysis!R95</f>
        <v>Stable</v>
      </c>
    </row>
    <row r="233" spans="1:11" x14ac:dyDescent="0.35">
      <c r="A233" s="218" t="str">
        <f>Scenario_Analysis!A97</f>
        <v>d696750e550fd0f733979dd7e5dff921</v>
      </c>
      <c r="B233" t="str">
        <f>Scenario_Analysis!B97</f>
        <v>housewares</v>
      </c>
      <c r="C233" s="9">
        <f>Scenario_Analysis!D97</f>
        <v>0.37982077245974277</v>
      </c>
      <c r="D233" s="11" t="str">
        <f>Scenario_Analysis!E97</f>
        <v>SCALE</v>
      </c>
      <c r="E233" s="5">
        <f>Scenario_Analysis!G97</f>
        <v>0.33482074202717421</v>
      </c>
      <c r="F233" s="11" t="str">
        <f>Scenario_Analysis!I97</f>
        <v>SCALE</v>
      </c>
      <c r="G233" s="9">
        <f>Scenario_Analysis!K97</f>
        <v>0.37773918477235419</v>
      </c>
      <c r="H233" s="11" t="str">
        <f>Scenario_Analysis!M97</f>
        <v>SCALE</v>
      </c>
      <c r="I233" s="9">
        <f>Scenario_Analysis!O97</f>
        <v>0.34717976048393978</v>
      </c>
      <c r="J233" s="11" t="str">
        <f>Scenario_Analysis!Q97</f>
        <v>SCALE</v>
      </c>
      <c r="K233" s="53" t="str">
        <f>Scenario_Analysis!R97</f>
        <v>Stable</v>
      </c>
    </row>
    <row r="234" spans="1:11" x14ac:dyDescent="0.35">
      <c r="A234" s="218" t="str">
        <f>Scenario_Analysis!A98</f>
        <v>a50acd33ba7a8da8e9db65094fa990a4</v>
      </c>
      <c r="B234" t="str">
        <f>Scenario_Analysis!B98</f>
        <v>auto</v>
      </c>
      <c r="C234" s="9">
        <f>Scenario_Analysis!D98</f>
        <v>0.28355981470639596</v>
      </c>
      <c r="D234" s="11" t="str">
        <f>Scenario_Analysis!E98</f>
        <v>SCALE</v>
      </c>
      <c r="E234" s="5">
        <f>Scenario_Analysis!G98</f>
        <v>0.23855976335007556</v>
      </c>
      <c r="F234" s="11" t="str">
        <f>Scenario_Analysis!I98</f>
        <v>OPTIMIZE</v>
      </c>
      <c r="G234" s="9">
        <f>Scenario_Analysis!K98</f>
        <v>0.280490760997956</v>
      </c>
      <c r="H234" s="11" t="str">
        <f>Scenario_Analysis!M98</f>
        <v>SCALE</v>
      </c>
      <c r="I234" s="9">
        <f>Scenario_Analysis!O98</f>
        <v>0.24585243653304839</v>
      </c>
      <c r="J234" s="11" t="str">
        <f>Scenario_Analysis!Q98</f>
        <v>OPTIMIZE</v>
      </c>
      <c r="K234" s="53" t="str">
        <f>Scenario_Analysis!R98</f>
        <v>Decision changes</v>
      </c>
    </row>
    <row r="235" spans="1:11" x14ac:dyDescent="0.35">
      <c r="A235" s="218" t="str">
        <f>Scenario_Analysis!A100</f>
        <v>e9a69340883a438c3f91739d14d3a56d</v>
      </c>
      <c r="B235" t="str">
        <f>Scenario_Analysis!B100</f>
        <v>housewares</v>
      </c>
      <c r="C235" s="9">
        <f>Scenario_Analysis!D100</f>
        <v>0.31541078849334969</v>
      </c>
      <c r="D235" s="11" t="str">
        <f>Scenario_Analysis!E100</f>
        <v>SCALE</v>
      </c>
      <c r="E235" s="5">
        <f>Scenario_Analysis!G100</f>
        <v>0.27041083504630986</v>
      </c>
      <c r="F235" s="11" t="str">
        <f>Scenario_Analysis!I100</f>
        <v>SCALE</v>
      </c>
      <c r="G235" s="9">
        <f>Scenario_Analysis!K100</f>
        <v>0.3132507311401026</v>
      </c>
      <c r="H235" s="11" t="str">
        <f>Scenario_Analysis!M100</f>
        <v>SCALE</v>
      </c>
      <c r="I235" s="9">
        <f>Scenario_Analysis!O100</f>
        <v>0.27937977736142072</v>
      </c>
      <c r="J235" s="11" t="str">
        <f>Scenario_Analysis!Q100</f>
        <v>SCALE</v>
      </c>
      <c r="K235" s="53" t="str">
        <f>Scenario_Analysis!R100</f>
        <v>Stable</v>
      </c>
    </row>
    <row r="236" spans="1:11" x14ac:dyDescent="0.35">
      <c r="A236" s="218" t="str">
        <f>Scenario_Analysis!A102</f>
        <v>29427de7f8a9ee983d9dbc51cec569b4</v>
      </c>
      <c r="B236" t="str">
        <f>Scenario_Analysis!B102</f>
        <v>cool_stuff</v>
      </c>
      <c r="C236" s="9">
        <f>Scenario_Analysis!D102</f>
        <v>0.31290813438378001</v>
      </c>
      <c r="D236" s="11" t="str">
        <f>Scenario_Analysis!E102</f>
        <v>SCALE</v>
      </c>
      <c r="E236" s="5">
        <f>Scenario_Analysis!G102</f>
        <v>0.26790816035065662</v>
      </c>
      <c r="F236" s="11" t="str">
        <f>Scenario_Analysis!I102</f>
        <v>SCALE</v>
      </c>
      <c r="G236" s="9">
        <f>Scenario_Analysis!K102</f>
        <v>0.30928108105300878</v>
      </c>
      <c r="H236" s="11" t="str">
        <f>Scenario_Analysis!M102</f>
        <v>SCALE</v>
      </c>
      <c r="I236" s="9">
        <f>Scenario_Analysis!O102</f>
        <v>0.27674540461450531</v>
      </c>
      <c r="J236" s="11" t="str">
        <f>Scenario_Analysis!Q102</f>
        <v>SCALE</v>
      </c>
      <c r="K236" s="53" t="str">
        <f>Scenario_Analysis!R102</f>
        <v>Stable</v>
      </c>
    </row>
    <row r="237" spans="1:11" x14ac:dyDescent="0.35">
      <c r="A237" s="218" t="str">
        <f>Scenario_Analysis!A104</f>
        <v>25f86162fee18735fffdb762dcb10d7c</v>
      </c>
      <c r="B237" t="str">
        <f>Scenario_Analysis!B104</f>
        <v>bed_bath_table</v>
      </c>
      <c r="C237" s="9">
        <f>Scenario_Analysis!D104</f>
        <v>0.34495369495369493</v>
      </c>
      <c r="D237" s="11" t="str">
        <f>Scenario_Analysis!E104</f>
        <v>SCALE</v>
      </c>
      <c r="E237" s="5">
        <f>Scenario_Analysis!G104</f>
        <v>0.29995369495369484</v>
      </c>
      <c r="F237" s="11" t="str">
        <f>Scenario_Analysis!I104</f>
        <v>SCALE</v>
      </c>
      <c r="G237" s="9">
        <f>Scenario_Analysis!K104</f>
        <v>0.34261009261009262</v>
      </c>
      <c r="H237" s="11" t="str">
        <f>Scenario_Analysis!M104</f>
        <v>SCALE</v>
      </c>
      <c r="I237" s="9">
        <f>Scenario_Analysis!O104</f>
        <v>0.3104775736354683</v>
      </c>
      <c r="J237" s="11" t="str">
        <f>Scenario_Analysis!Q104</f>
        <v>SCALE</v>
      </c>
      <c r="K237" s="53" t="str">
        <f>Scenario_Analysis!R104</f>
        <v>Stable</v>
      </c>
    </row>
    <row r="238" spans="1:11" x14ac:dyDescent="0.35">
      <c r="A238" s="218" t="str">
        <f>Scenario_Analysis!A105</f>
        <v>4df83a41105e00e0845b9d12b5fe601c</v>
      </c>
      <c r="B238" t="str">
        <f>Scenario_Analysis!B105</f>
        <v>watches_gifts</v>
      </c>
      <c r="C238" s="9">
        <f>Scenario_Analysis!D105</f>
        <v>0.55070431465376046</v>
      </c>
      <c r="D238" s="11" t="str">
        <f>Scenario_Analysis!E105</f>
        <v>SCALE</v>
      </c>
      <c r="E238" s="5">
        <f>Scenario_Analysis!G105</f>
        <v>0.50870433578848373</v>
      </c>
      <c r="F238" s="11" t="str">
        <f>Scenario_Analysis!I105</f>
        <v>SCALE</v>
      </c>
      <c r="G238" s="9">
        <f>Scenario_Analysis!K105</f>
        <v>0.55028584713254636</v>
      </c>
      <c r="H238" s="11" t="str">
        <f>Scenario_Analysis!M105</f>
        <v>SCALE</v>
      </c>
      <c r="I238" s="9">
        <f>Scenario_Analysis!O105</f>
        <v>0.52705717331974777</v>
      </c>
      <c r="J238" s="11" t="str">
        <f>Scenario_Analysis!Q105</f>
        <v>SCALE</v>
      </c>
      <c r="K238" s="53" t="str">
        <f>Scenario_Analysis!R105</f>
        <v>Stable</v>
      </c>
    </row>
    <row r="239" spans="1:11" x14ac:dyDescent="0.35">
      <c r="A239" s="218" t="str">
        <f>Scenario_Analysis!A106</f>
        <v>9bfc55df037ce3ac01bfd84781adf7e5</v>
      </c>
      <c r="B239" t="str">
        <f>Scenario_Analysis!B106</f>
        <v>audio</v>
      </c>
      <c r="C239" s="9">
        <f>Scenario_Analysis!D106</f>
        <v>0.38038157412565643</v>
      </c>
      <c r="D239" s="11" t="str">
        <f>Scenario_Analysis!E106</f>
        <v>SCALE</v>
      </c>
      <c r="E239" s="5">
        <f>Scenario_Analysis!G106</f>
        <v>0.32338152964327244</v>
      </c>
      <c r="F239" s="11" t="str">
        <f>Scenario_Analysis!I106</f>
        <v>SCALE</v>
      </c>
      <c r="G239" s="9">
        <f>Scenario_Analysis!K106</f>
        <v>0.37885646381993543</v>
      </c>
      <c r="H239" s="11" t="str">
        <f>Scenario_Analysis!M106</f>
        <v>SCALE</v>
      </c>
      <c r="I239" s="9">
        <f>Scenario_Analysis!O106</f>
        <v>0.34777007802700682</v>
      </c>
      <c r="J239" s="11" t="str">
        <f>Scenario_Analysis!Q106</f>
        <v>SCALE</v>
      </c>
      <c r="K239" s="53" t="str">
        <f>Scenario_Analysis!R106</f>
        <v>Stable</v>
      </c>
    </row>
    <row r="240" spans="1:11" x14ac:dyDescent="0.35">
      <c r="A240" s="218" t="str">
        <f>Scenario_Analysis!A109</f>
        <v>34f99d82cfc355d08d8db780d14aa002</v>
      </c>
      <c r="B240" t="str">
        <f>Scenario_Analysis!B109</f>
        <v>computers</v>
      </c>
      <c r="C240" s="9">
        <f>Scenario_Analysis!D109</f>
        <v>0.38543208116621641</v>
      </c>
      <c r="D240" s="11" t="str">
        <f>Scenario_Analysis!E109</f>
        <v>SCALE</v>
      </c>
      <c r="E240" s="5">
        <f>Scenario_Analysis!G109</f>
        <v>0.32843211201737865</v>
      </c>
      <c r="F240" s="11" t="str">
        <f>Scenario_Analysis!I109</f>
        <v>SCALE</v>
      </c>
      <c r="G240" s="9">
        <f>Scenario_Analysis!K109</f>
        <v>0.38514484620695605</v>
      </c>
      <c r="H240" s="11" t="str">
        <f>Scenario_Analysis!M109</f>
        <v>SCALE</v>
      </c>
      <c r="I240" s="9">
        <f>Scenario_Analysis!O109</f>
        <v>0.35308640122759627</v>
      </c>
      <c r="J240" s="11" t="str">
        <f>Scenario_Analysis!Q109</f>
        <v>SCALE</v>
      </c>
      <c r="K240" s="53" t="str">
        <f>Scenario_Analysis!R109</f>
        <v>Stable</v>
      </c>
    </row>
    <row r="241" spans="1:11" x14ac:dyDescent="0.35">
      <c r="A241" s="218" t="str">
        <f>Scenario_Analysis!A110</f>
        <v>cce3ce6484896041ae3dafdd4308a39c</v>
      </c>
      <c r="B241" t="str">
        <f>Scenario_Analysis!B110</f>
        <v>consoles_games</v>
      </c>
      <c r="C241" s="9">
        <f>Scenario_Analysis!D110</f>
        <v>0.39475099172520095</v>
      </c>
      <c r="D241" s="11" t="str">
        <f>Scenario_Analysis!E110</f>
        <v>SCALE</v>
      </c>
      <c r="E241" s="5">
        <f>Scenario_Analysis!G110</f>
        <v>0.33775097782875507</v>
      </c>
      <c r="F241" s="11" t="str">
        <f>Scenario_Analysis!I110</f>
        <v>SCALE</v>
      </c>
      <c r="G241" s="9">
        <f>Scenario_Analysis!K110</f>
        <v>0.39440464953698112</v>
      </c>
      <c r="H241" s="11" t="str">
        <f>Scenario_Analysis!M110</f>
        <v>SCALE</v>
      </c>
      <c r="I241" s="9">
        <f>Scenario_Analysis!O110</f>
        <v>0.36289578076336937</v>
      </c>
      <c r="J241" s="11" t="str">
        <f>Scenario_Analysis!Q110</f>
        <v>SCALE</v>
      </c>
      <c r="K241" s="53" t="str">
        <f>Scenario_Analysis!R110</f>
        <v>Stable</v>
      </c>
    </row>
    <row r="242" spans="1:11" x14ac:dyDescent="0.35">
      <c r="A242" s="218" t="str">
        <f>Scenario_Analysis!A111</f>
        <v>5411e9269501a870cabf632f05655131</v>
      </c>
      <c r="B242" t="str">
        <f>Scenario_Analysis!B111</f>
        <v>stationery</v>
      </c>
      <c r="C242" s="9">
        <f>Scenario_Analysis!D111</f>
        <v>0.38328089151097994</v>
      </c>
      <c r="D242" s="11" t="str">
        <f>Scenario_Analysis!E111</f>
        <v>SCALE</v>
      </c>
      <c r="E242" s="5">
        <f>Scenario_Analysis!G111</f>
        <v>0.3432808915109799</v>
      </c>
      <c r="F242" s="11" t="str">
        <f>Scenario_Analysis!I111</f>
        <v>SCALE</v>
      </c>
      <c r="G242" s="9">
        <f>Scenario_Analysis!K111</f>
        <v>0.38243963727739544</v>
      </c>
      <c r="H242" s="11" t="str">
        <f>Scenario_Analysis!M111</f>
        <v>SCALE</v>
      </c>
      <c r="I242" s="9">
        <f>Scenario_Analysis!O111</f>
        <v>0.35082199106418943</v>
      </c>
      <c r="J242" s="11" t="str">
        <f>Scenario_Analysis!Q111</f>
        <v>SCALE</v>
      </c>
      <c r="K242" s="53" t="str">
        <f>Scenario_Analysis!R111</f>
        <v>Stable</v>
      </c>
    </row>
    <row r="243" spans="1:11" x14ac:dyDescent="0.35">
      <c r="A243" s="218" t="str">
        <f>Scenario_Analysis!A113</f>
        <v>11250b0d4b709fee92441c5f34122aed</v>
      </c>
      <c r="B243" t="str">
        <f>Scenario_Analysis!B113</f>
        <v>agro_industry_and_commerce</v>
      </c>
      <c r="C243" s="9">
        <f>Scenario_Analysis!D113</f>
        <v>0.47169904511030619</v>
      </c>
      <c r="D243" s="11" t="str">
        <f>Scenario_Analysis!E113</f>
        <v>SCALE</v>
      </c>
      <c r="E243" s="5">
        <f>Scenario_Analysis!G113</f>
        <v>0.42669904511030615</v>
      </c>
      <c r="F243" s="11" t="str">
        <f>Scenario_Analysis!I113</f>
        <v>SCALE</v>
      </c>
      <c r="G243" s="9">
        <f>Scenario_Analysis!K113</f>
        <v>0.47082976621666112</v>
      </c>
      <c r="H243" s="11" t="str">
        <f>Scenario_Analysis!M113</f>
        <v>SCALE</v>
      </c>
      <c r="I243" s="9">
        <f>Scenario_Analysis!O113</f>
        <v>0.44389373169505913</v>
      </c>
      <c r="J243" s="11" t="str">
        <f>Scenario_Analysis!Q113</f>
        <v>SCALE</v>
      </c>
      <c r="K243" s="53" t="str">
        <f>Scenario_Analysis!R113</f>
        <v>Stable</v>
      </c>
    </row>
    <row r="244" spans="1:11" x14ac:dyDescent="0.35">
      <c r="A244" s="218" t="str">
        <f>Scenario_Analysis!A114</f>
        <v>f7740e5b4337a3cc4a8a204553101a85</v>
      </c>
      <c r="B244" t="str">
        <f>Scenario_Analysis!B114</f>
        <v>health_beauty</v>
      </c>
      <c r="C244" s="9">
        <f>Scenario_Analysis!D114</f>
        <v>0.51452698245151063</v>
      </c>
      <c r="D244" s="11" t="str">
        <f>Scenario_Analysis!E114</f>
        <v>SCALE</v>
      </c>
      <c r="E244" s="5">
        <f>Scenario_Analysis!G114</f>
        <v>0.4725269384703345</v>
      </c>
      <c r="F244" s="11" t="str">
        <f>Scenario_Analysis!I114</f>
        <v>SCALE</v>
      </c>
      <c r="G244" s="9">
        <f>Scenario_Analysis!K114</f>
        <v>0.51385407045784404</v>
      </c>
      <c r="H244" s="11" t="str">
        <f>Scenario_Analysis!M114</f>
        <v>SCALE</v>
      </c>
      <c r="I244" s="9">
        <f>Scenario_Analysis!O114</f>
        <v>0.48897577100159018</v>
      </c>
      <c r="J244" s="11" t="str">
        <f>Scenario_Analysis!Q114</f>
        <v>SCALE</v>
      </c>
      <c r="K244" s="53" t="str">
        <f>Scenario_Analysis!R114</f>
        <v>Stable</v>
      </c>
    </row>
    <row r="245" spans="1:11" x14ac:dyDescent="0.35">
      <c r="A245" s="218" t="str">
        <f>Scenario_Analysis!A115</f>
        <v>0bbdc963004d9b2fd3427ee3c5ae3608</v>
      </c>
      <c r="B245" t="str">
        <f>Scenario_Analysis!B115</f>
        <v>sports_leisure</v>
      </c>
      <c r="C245" s="9">
        <f>Scenario_Analysis!D115</f>
        <v>0.49476626240352817</v>
      </c>
      <c r="D245" s="11" t="str">
        <f>Scenario_Analysis!E115</f>
        <v>SCALE</v>
      </c>
      <c r="E245" s="5">
        <f>Scenario_Analysis!G115</f>
        <v>0.45276626240352813</v>
      </c>
      <c r="F245" s="11" t="str">
        <f>Scenario_Analysis!I115</f>
        <v>SCALE</v>
      </c>
      <c r="G245" s="9">
        <f>Scenario_Analysis!K115</f>
        <v>0.49357552370452035</v>
      </c>
      <c r="H245" s="11" t="str">
        <f>Scenario_Analysis!M115</f>
        <v>SCALE</v>
      </c>
      <c r="I245" s="9">
        <f>Scenario_Analysis!O115</f>
        <v>0.46817501305634551</v>
      </c>
      <c r="J245" s="11" t="str">
        <f>Scenario_Analysis!Q115</f>
        <v>SCALE</v>
      </c>
      <c r="K245" s="53" t="str">
        <f>Scenario_Analysis!R115</f>
        <v>Stable</v>
      </c>
    </row>
    <row r="246" spans="1:11" x14ac:dyDescent="0.35">
      <c r="A246" s="218" t="str">
        <f>Scenario_Analysis!A117</f>
        <v>e44f675b60b3a3a2453ec36421e06f0f</v>
      </c>
      <c r="B246" t="str">
        <f>Scenario_Analysis!B117</f>
        <v>sports_leisure</v>
      </c>
      <c r="C246" s="9">
        <f>Scenario_Analysis!D117</f>
        <v>0.35267121833480469</v>
      </c>
      <c r="D246" s="11" t="str">
        <f>Scenario_Analysis!E117</f>
        <v>SCALE</v>
      </c>
      <c r="E246" s="5">
        <f>Scenario_Analysis!G117</f>
        <v>0.31067124068342072</v>
      </c>
      <c r="F246" s="11" t="str">
        <f>Scenario_Analysis!I117</f>
        <v>SCALE</v>
      </c>
      <c r="G246" s="9">
        <f>Scenario_Analysis!K117</f>
        <v>0.3492921075862378</v>
      </c>
      <c r="H246" s="11" t="str">
        <f>Scenario_Analysis!M117</f>
        <v>SCALE</v>
      </c>
      <c r="I246" s="9">
        <f>Scenario_Analysis!O117</f>
        <v>0.31860128245768915</v>
      </c>
      <c r="J246" s="11" t="str">
        <f>Scenario_Analysis!Q117</f>
        <v>SCALE</v>
      </c>
      <c r="K246" s="53" t="str">
        <f>Scenario_Analysis!R117</f>
        <v>Stable</v>
      </c>
    </row>
    <row r="247" spans="1:11" x14ac:dyDescent="0.35">
      <c r="A247" s="218" t="str">
        <f>Scenario_Analysis!A119</f>
        <v>c6ea63369936552872ae890c82175b4b</v>
      </c>
      <c r="B247" t="str">
        <f>Scenario_Analysis!B119</f>
        <v>bed_bath_table</v>
      </c>
      <c r="C247" s="9">
        <f>Scenario_Analysis!D119</f>
        <v>0.39832533303036327</v>
      </c>
      <c r="D247" s="11" t="str">
        <f>Scenario_Analysis!E119</f>
        <v>SCALE</v>
      </c>
      <c r="E247" s="5">
        <f>Scenario_Analysis!G119</f>
        <v>0.35332530462692069</v>
      </c>
      <c r="F247" s="11" t="str">
        <f>Scenario_Analysis!I119</f>
        <v>SCALE</v>
      </c>
      <c r="G247" s="9">
        <f>Scenario_Analysis!K119</f>
        <v>0.39652569091373874</v>
      </c>
      <c r="H247" s="11" t="str">
        <f>Scenario_Analysis!M119</f>
        <v>SCALE</v>
      </c>
      <c r="I247" s="9">
        <f>Scenario_Analysis!O119</f>
        <v>0.36665824529511926</v>
      </c>
      <c r="J247" s="11" t="str">
        <f>Scenario_Analysis!Q119</f>
        <v>SCALE</v>
      </c>
      <c r="K247" s="53" t="str">
        <f>Scenario_Analysis!R119</f>
        <v>Stable</v>
      </c>
    </row>
    <row r="248" spans="1:11" x14ac:dyDescent="0.35">
      <c r="A248" s="218" t="str">
        <f>Scenario_Analysis!A120</f>
        <v>9453bde60c4ee52155c963641736cfc5</v>
      </c>
      <c r="B248" t="str">
        <f>Scenario_Analysis!B120</f>
        <v>health_beauty</v>
      </c>
      <c r="C248" s="9">
        <f>Scenario_Analysis!D120</f>
        <v>0.5322633904892522</v>
      </c>
      <c r="D248" s="11" t="str">
        <f>Scenario_Analysis!E120</f>
        <v>SCALE</v>
      </c>
      <c r="E248" s="5">
        <f>Scenario_Analysis!G120</f>
        <v>0.49026339739260399</v>
      </c>
      <c r="F248" s="11" t="str">
        <f>Scenario_Analysis!I120</f>
        <v>SCALE</v>
      </c>
      <c r="G248" s="9">
        <f>Scenario_Analysis!K120</f>
        <v>0.53151782848161944</v>
      </c>
      <c r="H248" s="11" t="str">
        <f>Scenario_Analysis!M120</f>
        <v>SCALE</v>
      </c>
      <c r="I248" s="9">
        <f>Scenario_Analysis!O120</f>
        <v>0.5076456741992128</v>
      </c>
      <c r="J248" s="11" t="str">
        <f>Scenario_Analysis!Q120</f>
        <v>SCALE</v>
      </c>
      <c r="K248" s="53" t="str">
        <f>Scenario_Analysis!R120</f>
        <v>Stable</v>
      </c>
    </row>
    <row r="249" spans="1:11" x14ac:dyDescent="0.35">
      <c r="A249" s="218" t="str">
        <f>Scenario_Analysis!A121</f>
        <v>69d3ff4f45d52d69e4b06760e0e154e2</v>
      </c>
      <c r="B249" t="str">
        <f>Scenario_Analysis!B121</f>
        <v>musical_instruments</v>
      </c>
      <c r="C249" s="9">
        <f>Scenario_Analysis!D121</f>
        <v>0.57076787702142806</v>
      </c>
      <c r="D249" s="11" t="str">
        <f>Scenario_Analysis!E121</f>
        <v>SCALE</v>
      </c>
      <c r="E249" s="5">
        <f>Scenario_Analysis!G121</f>
        <v>0.53076785392599302</v>
      </c>
      <c r="F249" s="11" t="str">
        <f>Scenario_Analysis!I121</f>
        <v>SCALE</v>
      </c>
      <c r="G249" s="9">
        <f>Scenario_Analysis!K121</f>
        <v>0.57067549528160266</v>
      </c>
      <c r="H249" s="11" t="str">
        <f>Scenario_Analysis!M121</f>
        <v>SCALE</v>
      </c>
      <c r="I249" s="9">
        <f>Scenario_Analysis!O121</f>
        <v>0.5481767126541347</v>
      </c>
      <c r="J249" s="11" t="str">
        <f>Scenario_Analysis!Q121</f>
        <v>SCALE</v>
      </c>
      <c r="K249" s="53" t="str">
        <f>Scenario_Analysis!R121</f>
        <v>Stable</v>
      </c>
    </row>
    <row r="250" spans="1:11" x14ac:dyDescent="0.35">
      <c r="A250" s="218" t="str">
        <f>Scenario_Analysis!A123</f>
        <v>fc1d8637c0268af3db482c14b7ef8e75</v>
      </c>
      <c r="B250" t="str">
        <f>Scenario_Analysis!B123</f>
        <v>bed_bath_table</v>
      </c>
      <c r="C250" s="9">
        <f>Scenario_Analysis!D123</f>
        <v>0.37933868748750615</v>
      </c>
      <c r="D250" s="11" t="str">
        <f>Scenario_Analysis!E123</f>
        <v>SCALE</v>
      </c>
      <c r="E250" s="5">
        <f>Scenario_Analysis!G123</f>
        <v>0.33433874628129279</v>
      </c>
      <c r="F250" s="11" t="str">
        <f>Scenario_Analysis!I123</f>
        <v>SCALE</v>
      </c>
      <c r="G250" s="9">
        <f>Scenario_Analysis!K123</f>
        <v>0.37692579048246161</v>
      </c>
      <c r="H250" s="11" t="str">
        <f>Scenario_Analysis!M123</f>
        <v>SCALE</v>
      </c>
      <c r="I250" s="9">
        <f>Scenario_Analysis!O123</f>
        <v>0.34667230261842752</v>
      </c>
      <c r="J250" s="11" t="str">
        <f>Scenario_Analysis!Q123</f>
        <v>SCALE</v>
      </c>
      <c r="K250" s="53" t="str">
        <f>Scenario_Analysis!R123</f>
        <v>Stable</v>
      </c>
    </row>
    <row r="251" spans="1:11" x14ac:dyDescent="0.35">
      <c r="A251" s="218" t="str">
        <f>Scenario_Analysis!A124</f>
        <v>fe9dfbe7f974621789683b7b78be2a16</v>
      </c>
      <c r="B251" t="str">
        <f>Scenario_Analysis!B124</f>
        <v>health_beauty</v>
      </c>
      <c r="C251" s="9">
        <f>Scenario_Analysis!D124</f>
        <v>0.46754094336438373</v>
      </c>
      <c r="D251" s="11" t="str">
        <f>Scenario_Analysis!E124</f>
        <v>SCALE</v>
      </c>
      <c r="E251" s="5">
        <f>Scenario_Analysis!G124</f>
        <v>0.4255409646076081</v>
      </c>
      <c r="F251" s="11" t="str">
        <f>Scenario_Analysis!I124</f>
        <v>SCALE</v>
      </c>
      <c r="G251" s="9">
        <f>Scenario_Analysis!K124</f>
        <v>0.46643629570096157</v>
      </c>
      <c r="H251" s="11" t="str">
        <f>Scenario_Analysis!M124</f>
        <v>SCALE</v>
      </c>
      <c r="I251" s="9">
        <f>Scenario_Analysis!O124</f>
        <v>0.4395167824888252</v>
      </c>
      <c r="J251" s="11" t="str">
        <f>Scenario_Analysis!Q124</f>
        <v>SCALE</v>
      </c>
      <c r="K251" s="53" t="str">
        <f>Scenario_Analysis!R124</f>
        <v>Stable</v>
      </c>
    </row>
    <row r="252" spans="1:11" x14ac:dyDescent="0.35">
      <c r="A252" s="218" t="str">
        <f>Scenario_Analysis!A125</f>
        <v>8aa6223e400af9c97b07c75993142721</v>
      </c>
      <c r="B252" t="str">
        <f>Scenario_Analysis!B125</f>
        <v>baby</v>
      </c>
      <c r="C252" s="9">
        <f>Scenario_Analysis!D125</f>
        <v>0.37490101427765299</v>
      </c>
      <c r="D252" s="11" t="str">
        <f>Scenario_Analysis!E125</f>
        <v>SCALE</v>
      </c>
      <c r="E252" s="5">
        <f>Scenario_Analysis!G125</f>
        <v>0.33290095737568087</v>
      </c>
      <c r="F252" s="11" t="str">
        <f>Scenario_Analysis!I125</f>
        <v>SCALE</v>
      </c>
      <c r="G252" s="9">
        <f>Scenario_Analysis!K125</f>
        <v>0.37285254328106249</v>
      </c>
      <c r="H252" s="11" t="str">
        <f>Scenario_Analysis!M125</f>
        <v>SCALE</v>
      </c>
      <c r="I252" s="9">
        <f>Scenario_Analysis!O125</f>
        <v>0.34200106766068755</v>
      </c>
      <c r="J252" s="11" t="str">
        <f>Scenario_Analysis!Q125</f>
        <v>SCALE</v>
      </c>
      <c r="K252" s="53" t="str">
        <f>Scenario_Analysis!R125</f>
        <v>Stable</v>
      </c>
    </row>
    <row r="253" spans="1:11" x14ac:dyDescent="0.35">
      <c r="A253" s="218" t="str">
        <f>Scenario_Analysis!A126</f>
        <v>27535386be7362e36d9e78c2afb8c0e5</v>
      </c>
      <c r="B253" t="str">
        <f>Scenario_Analysis!B126</f>
        <v>health_beauty</v>
      </c>
      <c r="C253" s="9">
        <f>Scenario_Analysis!D126</f>
        <v>0.54898741561796804</v>
      </c>
      <c r="D253" s="11" t="str">
        <f>Scenario_Analysis!E126</f>
        <v>SCALE</v>
      </c>
      <c r="E253" s="5">
        <f>Scenario_Analysis!G126</f>
        <v>0.50698736799495192</v>
      </c>
      <c r="F253" s="11" t="str">
        <f>Scenario_Analysis!I126</f>
        <v>SCALE</v>
      </c>
      <c r="G253" s="9">
        <f>Scenario_Analysis!K126</f>
        <v>0.54868739061588445</v>
      </c>
      <c r="H253" s="11" t="str">
        <f>Scenario_Analysis!M126</f>
        <v>SCALE</v>
      </c>
      <c r="I253" s="9">
        <f>Scenario_Analysis!O126</f>
        <v>0.52524991117680853</v>
      </c>
      <c r="J253" s="11" t="str">
        <f>Scenario_Analysis!Q126</f>
        <v>SCALE</v>
      </c>
      <c r="K253" s="53" t="str">
        <f>Scenario_Analysis!R126</f>
        <v>Stable</v>
      </c>
    </row>
    <row r="254" spans="1:11" x14ac:dyDescent="0.35">
      <c r="A254" s="218" t="str">
        <f>Scenario_Analysis!A128</f>
        <v>8317b177579dd27ff068b83205e2169b</v>
      </c>
      <c r="B254" t="str">
        <f>Scenario_Analysis!B128</f>
        <v>cool_stuff</v>
      </c>
      <c r="C254" s="9">
        <f>Scenario_Analysis!D128</f>
        <v>0.4230192827657876</v>
      </c>
      <c r="D254" s="11" t="str">
        <f>Scenario_Analysis!E128</f>
        <v>SCALE</v>
      </c>
      <c r="E254" s="5">
        <f>Scenario_Analysis!G128</f>
        <v>0.37801930682113405</v>
      </c>
      <c r="F254" s="11" t="str">
        <f>Scenario_Analysis!I128</f>
        <v>SCALE</v>
      </c>
      <c r="G254" s="9">
        <f>Scenario_Analysis!K128</f>
        <v>0.42102750007216594</v>
      </c>
      <c r="H254" s="11" t="str">
        <f>Scenario_Analysis!M128</f>
        <v>SCALE</v>
      </c>
      <c r="I254" s="9">
        <f>Scenario_Analysis!O128</f>
        <v>0.39265187659556572</v>
      </c>
      <c r="J254" s="11" t="str">
        <f>Scenario_Analysis!Q128</f>
        <v>SCALE</v>
      </c>
      <c r="K254" s="53" t="str">
        <f>Scenario_Analysis!R128</f>
        <v>Stable</v>
      </c>
    </row>
    <row r="255" spans="1:11" x14ac:dyDescent="0.35">
      <c r="A255" s="218" t="str">
        <f>Scenario_Analysis!A129</f>
        <v>aed75ad669fbebd5a385ac7cc2ae7573</v>
      </c>
      <c r="B255" t="str">
        <f>Scenario_Analysis!B129</f>
        <v>health_beauty</v>
      </c>
      <c r="C255" s="9">
        <f>Scenario_Analysis!D129</f>
        <v>0.3321745454545455</v>
      </c>
      <c r="D255" s="11" t="str">
        <f>Scenario_Analysis!E129</f>
        <v>SCALE</v>
      </c>
      <c r="E255" s="5">
        <f>Scenario_Analysis!G129</f>
        <v>0.29017454545454552</v>
      </c>
      <c r="F255" s="11" t="str">
        <f>Scenario_Analysis!I129</f>
        <v>SCALE</v>
      </c>
      <c r="G255" s="9">
        <f>Scenario_Analysis!K129</f>
        <v>0.33152000000000009</v>
      </c>
      <c r="H255" s="11" t="str">
        <f>Scenario_Analysis!M129</f>
        <v>SCALE</v>
      </c>
      <c r="I255" s="9">
        <f>Scenario_Analysis!O129</f>
        <v>0.29702583732057425</v>
      </c>
      <c r="J255" s="11" t="str">
        <f>Scenario_Analysis!Q129</f>
        <v>SCALE</v>
      </c>
      <c r="K255" s="53" t="str">
        <f>Scenario_Analysis!R129</f>
        <v>Stable</v>
      </c>
    </row>
    <row r="256" spans="1:11" x14ac:dyDescent="0.35">
      <c r="A256" s="218" t="str">
        <f>Scenario_Analysis!A130</f>
        <v>629e019a6f298a83aeecc7877964f935</v>
      </c>
      <c r="B256" t="str">
        <f>Scenario_Analysis!B130</f>
        <v>auto</v>
      </c>
      <c r="C256" s="9">
        <f>Scenario_Analysis!D130</f>
        <v>0.28846573548668708</v>
      </c>
      <c r="D256" s="11" t="str">
        <f>Scenario_Analysis!E130</f>
        <v>SCALE</v>
      </c>
      <c r="E256" s="5">
        <f>Scenario_Analysis!G130</f>
        <v>0.24346573548668712</v>
      </c>
      <c r="F256" s="11" t="str">
        <f>Scenario_Analysis!I130</f>
        <v>OPTIMIZE</v>
      </c>
      <c r="G256" s="9">
        <f>Scenario_Analysis!K130</f>
        <v>0.28523570493234385</v>
      </c>
      <c r="H256" s="11" t="str">
        <f>Scenario_Analysis!M130</f>
        <v>SCALE</v>
      </c>
      <c r="I256" s="9">
        <f>Scenario_Analysis!O130</f>
        <v>0.25101656367019681</v>
      </c>
      <c r="J256" s="11" t="str">
        <f>Scenario_Analysis!Q130</f>
        <v>SCALE</v>
      </c>
      <c r="K256" s="53" t="str">
        <f>Scenario_Analysis!R130</f>
        <v>Decision changes</v>
      </c>
    </row>
    <row r="257" spans="1:11" x14ac:dyDescent="0.35">
      <c r="A257" s="218" t="str">
        <f>Scenario_Analysis!A133</f>
        <v>7c55ea4aea1acf1ce11440010f5aa298</v>
      </c>
      <c r="B257" t="str">
        <f>Scenario_Analysis!B133</f>
        <v>housewares</v>
      </c>
      <c r="C257" s="9">
        <f>Scenario_Analysis!D133</f>
        <v>0.44898978712932197</v>
      </c>
      <c r="D257" s="11" t="str">
        <f>Scenario_Analysis!E133</f>
        <v>SCALE</v>
      </c>
      <c r="E257" s="5">
        <f>Scenario_Analysis!G133</f>
        <v>0.40398978712932193</v>
      </c>
      <c r="F257" s="11" t="str">
        <f>Scenario_Analysis!I133</f>
        <v>SCALE</v>
      </c>
      <c r="G257" s="9">
        <f>Scenario_Analysis!K133</f>
        <v>0.44810385135966541</v>
      </c>
      <c r="H257" s="11" t="str">
        <f>Scenario_Analysis!M133</f>
        <v>SCALE</v>
      </c>
      <c r="I257" s="9">
        <f>Scenario_Analysis!O133</f>
        <v>0.4199892496098126</v>
      </c>
      <c r="J257" s="11" t="str">
        <f>Scenario_Analysis!Q133</f>
        <v>SCALE</v>
      </c>
      <c r="K257" s="53" t="str">
        <f>Scenario_Analysis!R133</f>
        <v>Stable</v>
      </c>
    </row>
    <row r="258" spans="1:11" x14ac:dyDescent="0.35">
      <c r="A258" s="218" t="str">
        <f>Scenario_Analysis!A134</f>
        <v>78819ab10b4a44927c832a21c06849e0</v>
      </c>
      <c r="B258" t="str">
        <f>Scenario_Analysis!B134</f>
        <v>computers_accessories</v>
      </c>
      <c r="C258" s="9">
        <f>Scenario_Analysis!D134</f>
        <v>0.35950259608211932</v>
      </c>
      <c r="D258" s="11" t="str">
        <f>Scenario_Analysis!E134</f>
        <v>SCALE</v>
      </c>
      <c r="E258" s="5">
        <f>Scenario_Analysis!G134</f>
        <v>0.30250265270600618</v>
      </c>
      <c r="F258" s="11" t="str">
        <f>Scenario_Analysis!I134</f>
        <v>SCALE</v>
      </c>
      <c r="G258" s="9">
        <f>Scenario_Analysis!K134</f>
        <v>0.35795159396241649</v>
      </c>
      <c r="H258" s="11" t="str">
        <f>Scenario_Analysis!M134</f>
        <v>SCALE</v>
      </c>
      <c r="I258" s="9">
        <f>Scenario_Analysis!O134</f>
        <v>0.32579220640223083</v>
      </c>
      <c r="J258" s="11" t="str">
        <f>Scenario_Analysis!Q134</f>
        <v>SCALE</v>
      </c>
      <c r="K258" s="53" t="str">
        <f>Scenario_Analysis!R134</f>
        <v>Stable</v>
      </c>
    </row>
    <row r="259" spans="1:11" x14ac:dyDescent="0.35">
      <c r="A259" s="218" t="str">
        <f>Scenario_Analysis!A137</f>
        <v>952670bc019a73f0933157ec82ff6e4f</v>
      </c>
      <c r="B259" t="str">
        <f>Scenario_Analysis!B137</f>
        <v>bed_bath_table</v>
      </c>
      <c r="C259" s="9">
        <f>Scenario_Analysis!D137</f>
        <v>0.39431837711722428</v>
      </c>
      <c r="D259" s="11" t="str">
        <f>Scenario_Analysis!E137</f>
        <v>SCALE</v>
      </c>
      <c r="E259" s="5">
        <f>Scenario_Analysis!G137</f>
        <v>0.34931842039212002</v>
      </c>
      <c r="F259" s="11" t="str">
        <f>Scenario_Analysis!I137</f>
        <v>SCALE</v>
      </c>
      <c r="G259" s="9">
        <f>Scenario_Analysis!K137</f>
        <v>0.39253792426398676</v>
      </c>
      <c r="H259" s="11" t="str">
        <f>Scenario_Analysis!M137</f>
        <v>SCALE</v>
      </c>
      <c r="I259" s="9">
        <f>Scenario_Analysis!O137</f>
        <v>0.36244039696549923</v>
      </c>
      <c r="J259" s="11" t="str">
        <f>Scenario_Analysis!Q137</f>
        <v>SCALE</v>
      </c>
      <c r="K259" s="53" t="str">
        <f>Scenario_Analysis!R137</f>
        <v>Stable</v>
      </c>
    </row>
    <row r="260" spans="1:11" x14ac:dyDescent="0.35">
      <c r="A260" s="218" t="str">
        <f>Scenario_Analysis!A139</f>
        <v>423a6644f0aa529e8828ff1f91003690</v>
      </c>
      <c r="B260" t="str">
        <f>Scenario_Analysis!B139</f>
        <v>agro_industry_and_commerce</v>
      </c>
      <c r="C260" s="9">
        <f>Scenario_Analysis!D139</f>
        <v>0.4675419619544946</v>
      </c>
      <c r="D260" s="11" t="str">
        <f>Scenario_Analysis!E139</f>
        <v>SCALE</v>
      </c>
      <c r="E260" s="5">
        <f>Scenario_Analysis!G139</f>
        <v>0.42254196195449462</v>
      </c>
      <c r="F260" s="11" t="str">
        <f>Scenario_Analysis!I139</f>
        <v>SCALE</v>
      </c>
      <c r="G260" s="9">
        <f>Scenario_Analysis!K139</f>
        <v>0.46673629242819847</v>
      </c>
      <c r="H260" s="11" t="str">
        <f>Scenario_Analysis!M139</f>
        <v>SCALE</v>
      </c>
      <c r="I260" s="9">
        <f>Scenario_Analysis!O139</f>
        <v>0.43951785468894172</v>
      </c>
      <c r="J260" s="11" t="str">
        <f>Scenario_Analysis!Q139</f>
        <v>SCALE</v>
      </c>
      <c r="K260" s="53" t="str">
        <f>Scenario_Analysis!R139</f>
        <v>Stable</v>
      </c>
    </row>
    <row r="261" spans="1:11" x14ac:dyDescent="0.35">
      <c r="A261" s="218" t="str">
        <f>Scenario_Analysis!A140</f>
        <v>38c56c5c5b16958d95bf8254498ad555</v>
      </c>
      <c r="B261" t="str">
        <f>Scenario_Analysis!B140</f>
        <v>watches_gifts</v>
      </c>
      <c r="C261" s="9">
        <f>Scenario_Analysis!D140</f>
        <v>0.54759701492537305</v>
      </c>
      <c r="D261" s="11" t="str">
        <f>Scenario_Analysis!E140</f>
        <v>SCALE</v>
      </c>
      <c r="E261" s="5">
        <f>Scenario_Analysis!G140</f>
        <v>0.50559701492537301</v>
      </c>
      <c r="F261" s="11" t="str">
        <f>Scenario_Analysis!I140</f>
        <v>SCALE</v>
      </c>
      <c r="G261" s="9">
        <f>Scenario_Analysis!K140</f>
        <v>0.54714925373134327</v>
      </c>
      <c r="H261" s="11" t="str">
        <f>Scenario_Analysis!M140</f>
        <v>SCALE</v>
      </c>
      <c r="I261" s="9">
        <f>Scenario_Analysis!O140</f>
        <v>0.52378633150039267</v>
      </c>
      <c r="J261" s="11" t="str">
        <f>Scenario_Analysis!Q140</f>
        <v>SCALE</v>
      </c>
      <c r="K261" s="53" t="str">
        <f>Scenario_Analysis!R140</f>
        <v>Stable</v>
      </c>
    </row>
    <row r="262" spans="1:11" x14ac:dyDescent="0.35">
      <c r="A262" s="218" t="str">
        <f>Scenario_Analysis!A142</f>
        <v>f39a8b27ce90ac582103bf36f09690dd</v>
      </c>
      <c r="B262" t="str">
        <f>Scenario_Analysis!B142</f>
        <v>consoles_games</v>
      </c>
      <c r="C262" s="9">
        <f>Scenario_Analysis!D142</f>
        <v>0.37181442524417724</v>
      </c>
      <c r="D262" s="11" t="str">
        <f>Scenario_Analysis!E142</f>
        <v>SCALE</v>
      </c>
      <c r="E262" s="5">
        <f>Scenario_Analysis!G142</f>
        <v>0.31481442524417724</v>
      </c>
      <c r="F262" s="11" t="str">
        <f>Scenario_Analysis!I142</f>
        <v>SCALE</v>
      </c>
      <c r="G262" s="9">
        <f>Scenario_Analysis!K142</f>
        <v>0.37073253193087907</v>
      </c>
      <c r="H262" s="11" t="str">
        <f>Scenario_Analysis!M142</f>
        <v>SCALE</v>
      </c>
      <c r="I262" s="9">
        <f>Scenario_Analysis!O142</f>
        <v>0.33875202657281817</v>
      </c>
      <c r="J262" s="11" t="str">
        <f>Scenario_Analysis!Q142</f>
        <v>SCALE</v>
      </c>
      <c r="K262" s="53" t="str">
        <f>Scenario_Analysis!R142</f>
        <v>Stable</v>
      </c>
    </row>
    <row r="263" spans="1:11" x14ac:dyDescent="0.35">
      <c r="A263" s="218" t="str">
        <f>Scenario_Analysis!A143</f>
        <v>df0c26d7ddb998e2517658a55e46e48a</v>
      </c>
      <c r="B263" t="str">
        <f>Scenario_Analysis!B143</f>
        <v>home_appliances_2</v>
      </c>
      <c r="C263" s="9">
        <f>Scenario_Analysis!D143</f>
        <v>0.36745184439128786</v>
      </c>
      <c r="D263" s="11" t="str">
        <f>Scenario_Analysis!E143</f>
        <v>SCALE</v>
      </c>
      <c r="E263" s="5">
        <f>Scenario_Analysis!G143</f>
        <v>0.31045184439128787</v>
      </c>
      <c r="F263" s="11" t="str">
        <f>Scenario_Analysis!I143</f>
        <v>SCALE</v>
      </c>
      <c r="G263" s="9">
        <f>Scenario_Analysis!K143</f>
        <v>0.36722522976205457</v>
      </c>
      <c r="H263" s="11" t="str">
        <f>Scenario_Analysis!M143</f>
        <v>SCALE</v>
      </c>
      <c r="I263" s="9">
        <f>Scenario_Analysis!O143</f>
        <v>0.33415983620135559</v>
      </c>
      <c r="J263" s="11" t="str">
        <f>Scenario_Analysis!Q143</f>
        <v>SCALE</v>
      </c>
      <c r="K263" s="53" t="str">
        <f>Scenario_Analysis!R143</f>
        <v>Stable</v>
      </c>
    </row>
    <row r="264" spans="1:11" x14ac:dyDescent="0.35">
      <c r="A264" s="218" t="str">
        <f>Scenario_Analysis!A144</f>
        <v>617186c3d97ea56c9c683a8a3974e8c1</v>
      </c>
      <c r="B264" t="str">
        <f>Scenario_Analysis!B144</f>
        <v>perfumery</v>
      </c>
      <c r="C264" s="9">
        <f>Scenario_Analysis!D144</f>
        <v>0.33040301361046437</v>
      </c>
      <c r="D264" s="11" t="str">
        <f>Scenario_Analysis!E144</f>
        <v>SCALE</v>
      </c>
      <c r="E264" s="5">
        <f>Scenario_Analysis!G144</f>
        <v>0.28840302623027375</v>
      </c>
      <c r="F264" s="11" t="str">
        <f>Scenario_Analysis!I144</f>
        <v>SCALE</v>
      </c>
      <c r="G264" s="9">
        <f>Scenario_Analysis!K144</f>
        <v>0.32608703882484352</v>
      </c>
      <c r="H264" s="11" t="str">
        <f>Scenario_Analysis!M144</f>
        <v>SCALE</v>
      </c>
      <c r="I264" s="9">
        <f>Scenario_Analysis!O144</f>
        <v>0.29516106695838362</v>
      </c>
      <c r="J264" s="11" t="str">
        <f>Scenario_Analysis!Q144</f>
        <v>SCALE</v>
      </c>
      <c r="K264" s="53" t="str">
        <f>Scenario_Analysis!R144</f>
        <v>Stable</v>
      </c>
    </row>
    <row r="265" spans="1:11" x14ac:dyDescent="0.35">
      <c r="A265" s="218" t="str">
        <f>Scenario_Analysis!A145</f>
        <v>1f411e9a31196b71ed8438c8254b858e</v>
      </c>
      <c r="B265" t="str">
        <f>Scenario_Analysis!B145</f>
        <v>computers</v>
      </c>
      <c r="C265" s="9">
        <f>Scenario_Analysis!D145</f>
        <v>0.35601249758880793</v>
      </c>
      <c r="D265" s="11" t="str">
        <f>Scenario_Analysis!E145</f>
        <v>SCALE</v>
      </c>
      <c r="E265" s="5">
        <f>Scenario_Analysis!G145</f>
        <v>0.29901255342693817</v>
      </c>
      <c r="F265" s="11" t="str">
        <f>Scenario_Analysis!I145</f>
        <v>SCALE</v>
      </c>
      <c r="G265" s="9">
        <f>Scenario_Analysis!K145</f>
        <v>0.3546419252987339</v>
      </c>
      <c r="H265" s="11" t="str">
        <f>Scenario_Analysis!M145</f>
        <v>SCALE</v>
      </c>
      <c r="I265" s="9">
        <f>Scenario_Analysis!O145</f>
        <v>0.32211841851453465</v>
      </c>
      <c r="J265" s="11" t="str">
        <f>Scenario_Analysis!Q145</f>
        <v>SCALE</v>
      </c>
      <c r="K265" s="53" t="str">
        <f>Scenario_Analysis!R145</f>
        <v>Stable</v>
      </c>
    </row>
    <row r="266" spans="1:11" x14ac:dyDescent="0.35">
      <c r="A266" s="218" t="str">
        <f>Scenario_Analysis!A150</f>
        <v>dd113cb02b2af9c8e5787e8f1f0722f6</v>
      </c>
      <c r="B266" t="str">
        <f>Scenario_Analysis!B150</f>
        <v>sports_leisure</v>
      </c>
      <c r="C266" s="9">
        <f>Scenario_Analysis!D150</f>
        <v>0.54650793650793639</v>
      </c>
      <c r="D266" s="11" t="str">
        <f>Scenario_Analysis!E150</f>
        <v>SCALE</v>
      </c>
      <c r="E266" s="5">
        <f>Scenario_Analysis!G150</f>
        <v>0.50450793650793657</v>
      </c>
      <c r="F266" s="11" t="str">
        <f>Scenario_Analysis!I150</f>
        <v>SCALE</v>
      </c>
      <c r="G266" s="9">
        <f>Scenario_Analysis!K150</f>
        <v>0.54641502129307007</v>
      </c>
      <c r="H266" s="11" t="str">
        <f>Scenario_Analysis!M150</f>
        <v>SCALE</v>
      </c>
      <c r="I266" s="9">
        <f>Scenario_Analysis!O150</f>
        <v>0.5226399331662489</v>
      </c>
      <c r="J266" s="11" t="str">
        <f>Scenario_Analysis!Q150</f>
        <v>SCALE</v>
      </c>
      <c r="K266" s="53" t="str">
        <f>Scenario_Analysis!R150</f>
        <v>Stable</v>
      </c>
    </row>
    <row r="267" spans="1:11" x14ac:dyDescent="0.35">
      <c r="A267" s="218" t="str">
        <f>Scenario_Analysis!A153</f>
        <v>7614c62b86a81021243e438cfde78ccc</v>
      </c>
      <c r="B267" t="str">
        <f>Scenario_Analysis!B153</f>
        <v>health_beauty</v>
      </c>
      <c r="C267" s="9">
        <f>Scenario_Analysis!D153</f>
        <v>0.50358179775608758</v>
      </c>
      <c r="D267" s="11" t="str">
        <f>Scenario_Analysis!E153</f>
        <v>SCALE</v>
      </c>
      <c r="E267" s="5">
        <f>Scenario_Analysis!G153</f>
        <v>0.46158185346262559</v>
      </c>
      <c r="F267" s="11" t="str">
        <f>Scenario_Analysis!I153</f>
        <v>SCALE</v>
      </c>
      <c r="G267" s="9">
        <f>Scenario_Analysis!K153</f>
        <v>0.50286557083948424</v>
      </c>
      <c r="H267" s="11" t="str">
        <f>Scenario_Analysis!M153</f>
        <v>SCALE</v>
      </c>
      <c r="I267" s="9">
        <f>Scenario_Analysis!O153</f>
        <v>0.47745452395377641</v>
      </c>
      <c r="J267" s="11" t="str">
        <f>Scenario_Analysis!Q153</f>
        <v>SCALE</v>
      </c>
      <c r="K267" s="53" t="str">
        <f>Scenario_Analysis!R153</f>
        <v>Stable</v>
      </c>
    </row>
    <row r="268" spans="1:11" x14ac:dyDescent="0.35">
      <c r="A268" s="218" t="str">
        <f>Scenario_Analysis!A154</f>
        <v>f8b624d4e475bb8d1bddf1b65c6a64f6</v>
      </c>
      <c r="B268" t="str">
        <f>Scenario_Analysis!B154</f>
        <v>housewares</v>
      </c>
      <c r="C268" s="9">
        <f>Scenario_Analysis!D154</f>
        <v>0.37052540569300352</v>
      </c>
      <c r="D268" s="11" t="str">
        <f>Scenario_Analysis!E154</f>
        <v>SCALE</v>
      </c>
      <c r="E268" s="5">
        <f>Scenario_Analysis!G154</f>
        <v>0.32552540569300342</v>
      </c>
      <c r="F268" s="11" t="str">
        <f>Scenario_Analysis!I154</f>
        <v>SCALE</v>
      </c>
      <c r="G268" s="9">
        <f>Scenario_Analysis!K154</f>
        <v>0.3685142325086459</v>
      </c>
      <c r="H268" s="11" t="str">
        <f>Scenario_Analysis!M154</f>
        <v>SCALE</v>
      </c>
      <c r="I268" s="9">
        <f>Scenario_Analysis!O154</f>
        <v>0.33739516388737201</v>
      </c>
      <c r="J268" s="11" t="str">
        <f>Scenario_Analysis!Q154</f>
        <v>SCALE</v>
      </c>
      <c r="K268" s="53" t="str">
        <f>Scenario_Analysis!R154</f>
        <v>Stable</v>
      </c>
    </row>
    <row r="269" spans="1:11" x14ac:dyDescent="0.35">
      <c r="A269" s="218" t="str">
        <f>Scenario_Analysis!A158</f>
        <v>d04e48982547095af81c231c3d581cb6</v>
      </c>
      <c r="B269" t="str">
        <f>Scenario_Analysis!B158</f>
        <v>watches_gifts</v>
      </c>
      <c r="C269" s="9">
        <f>Scenario_Analysis!D158</f>
        <v>0.49023953343053533</v>
      </c>
      <c r="D269" s="11" t="str">
        <f>Scenario_Analysis!E158</f>
        <v>SCALE</v>
      </c>
      <c r="E269" s="5">
        <f>Scenario_Analysis!G158</f>
        <v>0.44823953343053535</v>
      </c>
      <c r="F269" s="11" t="str">
        <f>Scenario_Analysis!I158</f>
        <v>SCALE</v>
      </c>
      <c r="G269" s="9">
        <f>Scenario_Analysis!K158</f>
        <v>0.48878983545094767</v>
      </c>
      <c r="H269" s="11" t="str">
        <f>Scenario_Analysis!M158</f>
        <v>SCALE</v>
      </c>
      <c r="I269" s="9">
        <f>Scenario_Analysis!O158</f>
        <v>0.4634100351900371</v>
      </c>
      <c r="J269" s="11" t="str">
        <f>Scenario_Analysis!Q158</f>
        <v>SCALE</v>
      </c>
      <c r="K269" s="53" t="str">
        <f>Scenario_Analysis!R158</f>
        <v>Stable</v>
      </c>
    </row>
    <row r="270" spans="1:11" x14ac:dyDescent="0.35">
      <c r="A270" s="218" t="str">
        <f>Scenario_Analysis!A159</f>
        <v>2d4500a3d35334916c955b3c365dbefe</v>
      </c>
      <c r="B270" t="str">
        <f>Scenario_Analysis!B159</f>
        <v>small_appliances</v>
      </c>
      <c r="C270" s="9">
        <f>Scenario_Analysis!D159</f>
        <v>0.39990686683347237</v>
      </c>
      <c r="D270" s="11" t="str">
        <f>Scenario_Analysis!E159</f>
        <v>SCALE</v>
      </c>
      <c r="E270" s="5">
        <f>Scenario_Analysis!G159</f>
        <v>0.34290686683347238</v>
      </c>
      <c r="F270" s="11" t="str">
        <f>Scenario_Analysis!I159</f>
        <v>SCALE</v>
      </c>
      <c r="G270" s="9">
        <f>Scenario_Analysis!K159</f>
        <v>0.39960661662496533</v>
      </c>
      <c r="H270" s="11" t="str">
        <f>Scenario_Analysis!M159</f>
        <v>SCALE</v>
      </c>
      <c r="I270" s="9">
        <f>Scenario_Analysis!O159</f>
        <v>0.36832301771944453</v>
      </c>
      <c r="J270" s="11" t="str">
        <f>Scenario_Analysis!Q159</f>
        <v>SCALE</v>
      </c>
      <c r="K270" s="53" t="str">
        <f>Scenario_Analysis!R159</f>
        <v>Stable</v>
      </c>
    </row>
    <row r="271" spans="1:11" x14ac:dyDescent="0.35">
      <c r="A271" s="218" t="str">
        <f>Scenario_Analysis!A160</f>
        <v>7fb04722aba7a2b632bac8f9819796f3</v>
      </c>
      <c r="B271" t="str">
        <f>Scenario_Analysis!B160</f>
        <v>health_beauty</v>
      </c>
      <c r="C271" s="9">
        <f>Scenario_Analysis!D160</f>
        <v>0.27037619518169559</v>
      </c>
      <c r="D271" s="11" t="str">
        <f>Scenario_Analysis!E160</f>
        <v>SCALE</v>
      </c>
      <c r="E271" s="5">
        <f>Scenario_Analysis!G160</f>
        <v>0.22837622301707711</v>
      </c>
      <c r="F271" s="11" t="str">
        <f>Scenario_Analysis!I160</f>
        <v>OPTIMIZE</v>
      </c>
      <c r="G271" s="9">
        <f>Scenario_Analysis!K160</f>
        <v>0.26601717443041856</v>
      </c>
      <c r="H271" s="11" t="str">
        <f>Scenario_Analysis!M160</f>
        <v>SCALE</v>
      </c>
      <c r="I271" s="9">
        <f>Scenario_Analysis!O160</f>
        <v>0.23197494229652169</v>
      </c>
      <c r="J271" s="11" t="str">
        <f>Scenario_Analysis!Q160</f>
        <v>OPTIMIZE</v>
      </c>
      <c r="K271" s="53" t="str">
        <f>Scenario_Analysis!R160</f>
        <v>Decision changes</v>
      </c>
    </row>
    <row r="272" spans="1:11" x14ac:dyDescent="0.35">
      <c r="A272" s="218" t="str">
        <f>Scenario_Analysis!A162</f>
        <v>61937887eb6ee0b405a5759756426486</v>
      </c>
      <c r="B272" t="str">
        <f>Scenario_Analysis!B162</f>
        <v>health_beauty</v>
      </c>
      <c r="C272" s="9">
        <f>Scenario_Analysis!D162</f>
        <v>0.53873567259686383</v>
      </c>
      <c r="D272" s="11" t="str">
        <f>Scenario_Analysis!E162</f>
        <v>SCALE</v>
      </c>
      <c r="E272" s="5">
        <f>Scenario_Analysis!G162</f>
        <v>0.4967356725968638</v>
      </c>
      <c r="F272" s="11" t="str">
        <f>Scenario_Analysis!I162</f>
        <v>SCALE</v>
      </c>
      <c r="G272" s="9">
        <f>Scenario_Analysis!K162</f>
        <v>0.53828000843822521</v>
      </c>
      <c r="H272" s="11" t="str">
        <f>Scenario_Analysis!M162</f>
        <v>SCALE</v>
      </c>
      <c r="I272" s="9">
        <f>Scenario_Analysis!O162</f>
        <v>0.51445860273354083</v>
      </c>
      <c r="J272" s="11" t="str">
        <f>Scenario_Analysis!Q162</f>
        <v>SCALE</v>
      </c>
      <c r="K272" s="53" t="str">
        <f>Scenario_Analysis!R162</f>
        <v>Stable</v>
      </c>
    </row>
    <row r="273" spans="1:11" x14ac:dyDescent="0.35">
      <c r="A273" s="218" t="str">
        <f>Scenario_Analysis!A164</f>
        <v>a3cd9517ebf5a50dca25acce54f3b171</v>
      </c>
      <c r="B273" t="str">
        <f>Scenario_Analysis!B164</f>
        <v>housewares</v>
      </c>
      <c r="C273" s="9">
        <f>Scenario_Analysis!D164</f>
        <v>0.41422734323319416</v>
      </c>
      <c r="D273" s="11" t="str">
        <f>Scenario_Analysis!E164</f>
        <v>SCALE</v>
      </c>
      <c r="E273" s="5">
        <f>Scenario_Analysis!G164</f>
        <v>0.36922731471977011</v>
      </c>
      <c r="F273" s="11" t="str">
        <f>Scenario_Analysis!I164</f>
        <v>SCALE</v>
      </c>
      <c r="G273" s="9">
        <f>Scenario_Analysis!K164</f>
        <v>0.41407337074294576</v>
      </c>
      <c r="H273" s="11" t="str">
        <f>Scenario_Analysis!M164</f>
        <v>SCALE</v>
      </c>
      <c r="I273" s="9">
        <f>Scenario_Analysis!O164</f>
        <v>0.38339720340336225</v>
      </c>
      <c r="J273" s="11" t="str">
        <f>Scenario_Analysis!Q164</f>
        <v>SCALE</v>
      </c>
      <c r="K273" s="53" t="str">
        <f>Scenario_Analysis!R164</f>
        <v>Stable</v>
      </c>
    </row>
    <row r="274" spans="1:11" x14ac:dyDescent="0.35">
      <c r="A274" s="218" t="str">
        <f>Scenario_Analysis!A165</f>
        <v>5328338cfaa16ba10561cd970c73ca11</v>
      </c>
      <c r="B274" t="str">
        <f>Scenario_Analysis!B165</f>
        <v>cool_stuff</v>
      </c>
      <c r="C274" s="9">
        <f>Scenario_Analysis!D165</f>
        <v>0.3793846373500856</v>
      </c>
      <c r="D274" s="11" t="str">
        <f>Scenario_Analysis!E165</f>
        <v>SCALE</v>
      </c>
      <c r="E274" s="5">
        <f>Scenario_Analysis!G165</f>
        <v>0.33438463735008556</v>
      </c>
      <c r="F274" s="11" t="str">
        <f>Scenario_Analysis!I165</f>
        <v>SCALE</v>
      </c>
      <c r="G274" s="9">
        <f>Scenario_Analysis!K165</f>
        <v>0.37758566533409482</v>
      </c>
      <c r="H274" s="11" t="str">
        <f>Scenario_Analysis!M165</f>
        <v>SCALE</v>
      </c>
      <c r="I274" s="9">
        <f>Scenario_Analysis!O165</f>
        <v>0.34672067089482689</v>
      </c>
      <c r="J274" s="11" t="str">
        <f>Scenario_Analysis!Q165</f>
        <v>SCALE</v>
      </c>
      <c r="K274" s="53" t="str">
        <f>Scenario_Analysis!R165</f>
        <v>Stable</v>
      </c>
    </row>
    <row r="275" spans="1:11" x14ac:dyDescent="0.35">
      <c r="A275" s="218" t="str">
        <f>Scenario_Analysis!A166</f>
        <v>43944a8f8f0b7ae86b6c3d3c2f257375</v>
      </c>
      <c r="B275" t="str">
        <f>Scenario_Analysis!B166</f>
        <v>home_appliances</v>
      </c>
      <c r="C275" s="9">
        <f>Scenario_Analysis!D166</f>
        <v>0.34538197424892697</v>
      </c>
      <c r="D275" s="11" t="str">
        <f>Scenario_Analysis!E166</f>
        <v>SCALE</v>
      </c>
      <c r="E275" s="5">
        <f>Scenario_Analysis!G166</f>
        <v>0.28838197424892692</v>
      </c>
      <c r="F275" s="11" t="str">
        <f>Scenario_Analysis!I166</f>
        <v>SCALE</v>
      </c>
      <c r="G275" s="9">
        <f>Scenario_Analysis!K166</f>
        <v>0.34486695278969953</v>
      </c>
      <c r="H275" s="11" t="str">
        <f>Scenario_Analysis!M166</f>
        <v>SCALE</v>
      </c>
      <c r="I275" s="9">
        <f>Scenario_Analysis!O166</f>
        <v>0.31092839394623889</v>
      </c>
      <c r="J275" s="11" t="str">
        <f>Scenario_Analysis!Q166</f>
        <v>SCALE</v>
      </c>
      <c r="K275" s="53" t="str">
        <f>Scenario_Analysis!R166</f>
        <v>Stable</v>
      </c>
    </row>
    <row r="276" spans="1:11" x14ac:dyDescent="0.35">
      <c r="A276" s="218" t="str">
        <f>Scenario_Analysis!A169</f>
        <v>363218ba55c610b750224f90bdd34be1</v>
      </c>
      <c r="B276" t="str">
        <f>Scenario_Analysis!B169</f>
        <v>bed_bath_table</v>
      </c>
      <c r="C276" s="9">
        <f>Scenario_Analysis!D169</f>
        <v>0.27188939426547626</v>
      </c>
      <c r="D276" s="11" t="str">
        <f>Scenario_Analysis!E169</f>
        <v>SCALE</v>
      </c>
      <c r="E276" s="5">
        <f>Scenario_Analysis!G169</f>
        <v>0.2268893725996016</v>
      </c>
      <c r="F276" s="11" t="str">
        <f>Scenario_Analysis!I169</f>
        <v>OPTIMIZE</v>
      </c>
      <c r="G276" s="9">
        <f>Scenario_Analysis!K169</f>
        <v>0.26741755773594494</v>
      </c>
      <c r="H276" s="11" t="str">
        <f>Scenario_Analysis!M169</f>
        <v>SCALE</v>
      </c>
      <c r="I276" s="9">
        <f>Scenario_Analysis!O169</f>
        <v>0.23356778343734341</v>
      </c>
      <c r="J276" s="11" t="str">
        <f>Scenario_Analysis!Q169</f>
        <v>OPTIMIZE</v>
      </c>
      <c r="K276" s="53" t="str">
        <f>Scenario_Analysis!R169</f>
        <v>Decision changes</v>
      </c>
    </row>
    <row r="277" spans="1:11" x14ac:dyDescent="0.35">
      <c r="A277" s="218" t="str">
        <f>Scenario_Analysis!A171</f>
        <v>4178e16324fd0c9a8e18463caf390cc6</v>
      </c>
      <c r="B277" t="str">
        <f>Scenario_Analysis!B171</f>
        <v>cool_stuff</v>
      </c>
      <c r="C277" s="9">
        <f>Scenario_Analysis!D171</f>
        <v>0.39131974559121141</v>
      </c>
      <c r="D277" s="11" t="str">
        <f>Scenario_Analysis!E171</f>
        <v>SCALE</v>
      </c>
      <c r="E277" s="5">
        <f>Scenario_Analysis!G171</f>
        <v>0.34631974559121137</v>
      </c>
      <c r="F277" s="11" t="str">
        <f>Scenario_Analysis!I171</f>
        <v>SCALE</v>
      </c>
      <c r="G277" s="9">
        <f>Scenario_Analysis!K171</f>
        <v>0.38996675339693554</v>
      </c>
      <c r="H277" s="11" t="str">
        <f>Scenario_Analysis!M171</f>
        <v>SCALE</v>
      </c>
      <c r="I277" s="9">
        <f>Scenario_Analysis!O171</f>
        <v>0.3592839427275909</v>
      </c>
      <c r="J277" s="11" t="str">
        <f>Scenario_Analysis!Q171</f>
        <v>SCALE</v>
      </c>
      <c r="K277" s="53" t="str">
        <f>Scenario_Analysis!R171</f>
        <v>Stable</v>
      </c>
    </row>
    <row r="278" spans="1:11" x14ac:dyDescent="0.35">
      <c r="A278" s="218" t="str">
        <f>Scenario_Analysis!A172</f>
        <v>672e757f331900b9deea127a2a7b79fd</v>
      </c>
      <c r="B278" t="str">
        <f>Scenario_Analysis!B172</f>
        <v>agro_industry_and_commerce</v>
      </c>
      <c r="C278" s="9">
        <f>Scenario_Analysis!D172</f>
        <v>0.47019462599854756</v>
      </c>
      <c r="D278" s="11" t="str">
        <f>Scenario_Analysis!E172</f>
        <v>SCALE</v>
      </c>
      <c r="E278" s="5">
        <f>Scenario_Analysis!G172</f>
        <v>0.42519462599854757</v>
      </c>
      <c r="F278" s="11" t="str">
        <f>Scenario_Analysis!I172</f>
        <v>SCALE</v>
      </c>
      <c r="G278" s="9">
        <f>Scenario_Analysis!K172</f>
        <v>0.46930573710965867</v>
      </c>
      <c r="H278" s="11" t="str">
        <f>Scenario_Analysis!M172</f>
        <v>SCALE</v>
      </c>
      <c r="I278" s="9">
        <f>Scenario_Analysis!O172</f>
        <v>0.44231013263005009</v>
      </c>
      <c r="J278" s="11" t="str">
        <f>Scenario_Analysis!Q172</f>
        <v>SCALE</v>
      </c>
      <c r="K278" s="53" t="str">
        <f>Scenario_Analysis!R172</f>
        <v>Stable</v>
      </c>
    </row>
    <row r="279" spans="1:11" x14ac:dyDescent="0.35">
      <c r="A279" s="218" t="str">
        <f>Scenario_Analysis!A173</f>
        <v>fbc1488c1a1e72ba175f53ab29a248e8</v>
      </c>
      <c r="B279" t="str">
        <f>Scenario_Analysis!B173</f>
        <v>perfumery</v>
      </c>
      <c r="C279" s="9">
        <f>Scenario_Analysis!D173</f>
        <v>0.40605952136707363</v>
      </c>
      <c r="D279" s="11" t="str">
        <f>Scenario_Analysis!E173</f>
        <v>SCALE</v>
      </c>
      <c r="E279" s="5">
        <f>Scenario_Analysis!G173</f>
        <v>0.36405946025385261</v>
      </c>
      <c r="F279" s="11" t="str">
        <f>Scenario_Analysis!I173</f>
        <v>SCALE</v>
      </c>
      <c r="G279" s="9">
        <f>Scenario_Analysis!K173</f>
        <v>0.40302132123873585</v>
      </c>
      <c r="H279" s="11" t="str">
        <f>Scenario_Analysis!M173</f>
        <v>SCALE</v>
      </c>
      <c r="I279" s="9">
        <f>Scenario_Analysis!O173</f>
        <v>0.374799496175867</v>
      </c>
      <c r="J279" s="11" t="str">
        <f>Scenario_Analysis!Q173</f>
        <v>SCALE</v>
      </c>
      <c r="K279" s="53" t="str">
        <f>Scenario_Analysis!R173</f>
        <v>Stable</v>
      </c>
    </row>
    <row r="280" spans="1:11" x14ac:dyDescent="0.35">
      <c r="A280" s="218" t="str">
        <f>Scenario_Analysis!A175</f>
        <v>41c24b8ce92d1a2cac62db5edfd088b2</v>
      </c>
      <c r="B280" t="str">
        <f>Scenario_Analysis!B175</f>
        <v>watches_gifts</v>
      </c>
      <c r="C280" s="9">
        <f>Scenario_Analysis!D175</f>
        <v>0.37689382067433352</v>
      </c>
      <c r="D280" s="11" t="str">
        <f>Scenario_Analysis!E175</f>
        <v>SCALE</v>
      </c>
      <c r="E280" s="5">
        <f>Scenario_Analysis!G175</f>
        <v>0.33489382358986619</v>
      </c>
      <c r="F280" s="11" t="str">
        <f>Scenario_Analysis!I175</f>
        <v>SCALE</v>
      </c>
      <c r="G280" s="9">
        <f>Scenario_Analysis!K175</f>
        <v>0.37358760665382867</v>
      </c>
      <c r="H280" s="11" t="str">
        <f>Scenario_Analysis!M175</f>
        <v>SCALE</v>
      </c>
      <c r="I280" s="9">
        <f>Scenario_Analysis!O175</f>
        <v>0.34409875860456163</v>
      </c>
      <c r="J280" s="11" t="str">
        <f>Scenario_Analysis!Q175</f>
        <v>SCALE</v>
      </c>
      <c r="K280" s="53" t="str">
        <f>Scenario_Analysis!R175</f>
        <v>Stable</v>
      </c>
    </row>
    <row r="281" spans="1:11" x14ac:dyDescent="0.35">
      <c r="A281" s="218" t="str">
        <f>Scenario_Analysis!A178</f>
        <v>223d34a3d9334039f5ff9511dc044bbb</v>
      </c>
      <c r="B281" t="str">
        <f>Scenario_Analysis!B178</f>
        <v>telephony</v>
      </c>
      <c r="C281" s="9">
        <f>Scenario_Analysis!D178</f>
        <v>0.30546190651453814</v>
      </c>
      <c r="D281" s="11" t="str">
        <f>Scenario_Analysis!E178</f>
        <v>SCALE</v>
      </c>
      <c r="E281" s="5">
        <f>Scenario_Analysis!G178</f>
        <v>0.24846198012513807</v>
      </c>
      <c r="F281" s="11" t="str">
        <f>Scenario_Analysis!I178</f>
        <v>OPTIMIZE</v>
      </c>
      <c r="G281" s="9">
        <f>Scenario_Analysis!K178</f>
        <v>0.30175193227824815</v>
      </c>
      <c r="H281" s="11" t="str">
        <f>Scenario_Analysis!M178</f>
        <v>SCALE</v>
      </c>
      <c r="I281" s="9">
        <f>Scenario_Analysis!O178</f>
        <v>0.26890727001530329</v>
      </c>
      <c r="J281" s="11" t="str">
        <f>Scenario_Analysis!Q178</f>
        <v>SCALE</v>
      </c>
      <c r="K281" s="53" t="str">
        <f>Scenario_Analysis!R178</f>
        <v>Decision changes</v>
      </c>
    </row>
    <row r="282" spans="1:11" x14ac:dyDescent="0.35">
      <c r="A282" s="218" t="str">
        <f>Scenario_Analysis!A179</f>
        <v>8f211599d0cde9d8551a6984d758e1f4</v>
      </c>
      <c r="B282" t="str">
        <f>Scenario_Analysis!B179</f>
        <v>housewares</v>
      </c>
      <c r="C282" s="9">
        <f>Scenario_Analysis!D179</f>
        <v>0.48716906077348066</v>
      </c>
      <c r="D282" s="11" t="str">
        <f>Scenario_Analysis!E179</f>
        <v>SCALE</v>
      </c>
      <c r="E282" s="5">
        <f>Scenario_Analysis!G179</f>
        <v>0.4421689871086556</v>
      </c>
      <c r="F282" s="11" t="str">
        <f>Scenario_Analysis!I179</f>
        <v>SCALE</v>
      </c>
      <c r="G282" s="9">
        <f>Scenario_Analysis!K179</f>
        <v>0.48690386740331487</v>
      </c>
      <c r="H282" s="11" t="str">
        <f>Scenario_Analysis!M179</f>
        <v>SCALE</v>
      </c>
      <c r="I282" s="9">
        <f>Scenario_Analysis!O179</f>
        <v>0.46017795870892697</v>
      </c>
      <c r="J282" s="11" t="str">
        <f>Scenario_Analysis!Q179</f>
        <v>SCALE</v>
      </c>
      <c r="K282" s="53" t="str">
        <f>Scenario_Analysis!R179</f>
        <v>Stable</v>
      </c>
    </row>
    <row r="283" spans="1:11" x14ac:dyDescent="0.35">
      <c r="A283" s="218" t="str">
        <f>Scenario_Analysis!A180</f>
        <v>fb55982be901439613a95940feefd9ee</v>
      </c>
      <c r="B283" t="str">
        <f>Scenario_Analysis!B180</f>
        <v>stationery</v>
      </c>
      <c r="C283" s="9">
        <f>Scenario_Analysis!D180</f>
        <v>0.30248305334512238</v>
      </c>
      <c r="D283" s="11" t="str">
        <f>Scenario_Analysis!E180</f>
        <v>SCALE</v>
      </c>
      <c r="E283" s="5">
        <f>Scenario_Analysis!G180</f>
        <v>0.26248305334512234</v>
      </c>
      <c r="F283" s="11" t="str">
        <f>Scenario_Analysis!I180</f>
        <v>SCALE</v>
      </c>
      <c r="G283" s="9">
        <f>Scenario_Analysis!K180</f>
        <v>0.30124521072796934</v>
      </c>
      <c r="H283" s="11" t="str">
        <f>Scenario_Analysis!M180</f>
        <v>SCALE</v>
      </c>
      <c r="I283" s="9">
        <f>Scenario_Analysis!O180</f>
        <v>0.2657716351001288</v>
      </c>
      <c r="J283" s="11" t="str">
        <f>Scenario_Analysis!Q180</f>
        <v>SCALE</v>
      </c>
      <c r="K283" s="53" t="str">
        <f>Scenario_Analysis!R180</f>
        <v>Stable</v>
      </c>
    </row>
    <row r="284" spans="1:11" x14ac:dyDescent="0.35">
      <c r="A284" s="218" t="str">
        <f>Scenario_Analysis!A181</f>
        <v>7b35be468d9795a7529f65c50ec87668</v>
      </c>
      <c r="B284" t="str">
        <f>Scenario_Analysis!B181</f>
        <v>watches_gifts</v>
      </c>
      <c r="C284" s="9">
        <f>Scenario_Analysis!D181</f>
        <v>0.54021899706766641</v>
      </c>
      <c r="D284" s="11" t="str">
        <f>Scenario_Analysis!E181</f>
        <v>SCALE</v>
      </c>
      <c r="E284" s="5">
        <f>Scenario_Analysis!G181</f>
        <v>0.49821892283137226</v>
      </c>
      <c r="F284" s="11" t="str">
        <f>Scenario_Analysis!I181</f>
        <v>SCALE</v>
      </c>
      <c r="G284" s="9">
        <f>Scenario_Analysis!K181</f>
        <v>0.53963104561820274</v>
      </c>
      <c r="H284" s="11" t="str">
        <f>Scenario_Analysis!M181</f>
        <v>SCALE</v>
      </c>
      <c r="I284" s="9">
        <f>Scenario_Analysis!O181</f>
        <v>0.516019996913333</v>
      </c>
      <c r="J284" s="11" t="str">
        <f>Scenario_Analysis!Q181</f>
        <v>SCALE</v>
      </c>
      <c r="K284" s="53" t="str">
        <f>Scenario_Analysis!R181</f>
        <v>Stable</v>
      </c>
    </row>
    <row r="285" spans="1:11" x14ac:dyDescent="0.35">
      <c r="A285" s="218" t="str">
        <f>Scenario_Analysis!A182</f>
        <v>489ae2aa008f021502940f251d4cce7f</v>
      </c>
      <c r="B285" t="str">
        <f>Scenario_Analysis!B182</f>
        <v>housewares</v>
      </c>
      <c r="C285" s="9">
        <f>Scenario_Analysis!D182</f>
        <v>0.51979658500371206</v>
      </c>
      <c r="D285" s="11" t="str">
        <f>Scenario_Analysis!E182</f>
        <v>SCALE</v>
      </c>
      <c r="E285" s="5">
        <f>Scenario_Analysis!G182</f>
        <v>0.47479658500371197</v>
      </c>
      <c r="F285" s="11" t="str">
        <f>Scenario_Analysis!I182</f>
        <v>SCALE</v>
      </c>
      <c r="G285" s="9">
        <f>Scenario_Analysis!K182</f>
        <v>0.51974313288789897</v>
      </c>
      <c r="H285" s="11" t="str">
        <f>Scenario_Analysis!M182</f>
        <v>SCALE</v>
      </c>
      <c r="I285" s="9">
        <f>Scenario_Analysis!O182</f>
        <v>0.49452272105653894</v>
      </c>
      <c r="J285" s="11" t="str">
        <f>Scenario_Analysis!Q182</f>
        <v>SCALE</v>
      </c>
      <c r="K285" s="53" t="str">
        <f>Scenario_Analysis!R182</f>
        <v>Stable</v>
      </c>
    </row>
    <row r="286" spans="1:11" x14ac:dyDescent="0.35">
      <c r="A286" s="218" t="str">
        <f>Scenario_Analysis!A184</f>
        <v>4d0322b5ddf89ce6a3564aca2e261a3a</v>
      </c>
      <c r="B286" t="str">
        <f>Scenario_Analysis!B184</f>
        <v>garden_tools</v>
      </c>
      <c r="C286" s="9">
        <f>Scenario_Analysis!D184</f>
        <v>0.4770135275754423</v>
      </c>
      <c r="D286" s="11" t="str">
        <f>Scenario_Analysis!E184</f>
        <v>SCALE</v>
      </c>
      <c r="E286" s="5">
        <f>Scenario_Analysis!G184</f>
        <v>0.43201352757544226</v>
      </c>
      <c r="F286" s="11" t="str">
        <f>Scenario_Analysis!I184</f>
        <v>SCALE</v>
      </c>
      <c r="G286" s="9">
        <f>Scenario_Analysis!K184</f>
        <v>0.47679946484316932</v>
      </c>
      <c r="H286" s="11" t="str">
        <f>Scenario_Analysis!M184</f>
        <v>SCALE</v>
      </c>
      <c r="I286" s="9">
        <f>Scenario_Analysis!O184</f>
        <v>0.44948792376362345</v>
      </c>
      <c r="J286" s="11" t="str">
        <f>Scenario_Analysis!Q184</f>
        <v>SCALE</v>
      </c>
      <c r="K286" s="53" t="str">
        <f>Scenario_Analysis!R184</f>
        <v>Stable</v>
      </c>
    </row>
    <row r="287" spans="1:11" x14ac:dyDescent="0.35">
      <c r="A287" s="218" t="str">
        <f>Scenario_Analysis!A185</f>
        <v>11fd9d7ba552e1d28872e008acf1e050</v>
      </c>
      <c r="B287" t="str">
        <f>Scenario_Analysis!B185</f>
        <v>cool_stuff</v>
      </c>
      <c r="C287" s="9">
        <f>Scenario_Analysis!D185</f>
        <v>0.39213008566908442</v>
      </c>
      <c r="D287" s="11" t="str">
        <f>Scenario_Analysis!E185</f>
        <v>SCALE</v>
      </c>
      <c r="E287" s="5">
        <f>Scenario_Analysis!G185</f>
        <v>0.34713008566908438</v>
      </c>
      <c r="F287" s="11" t="str">
        <f>Scenario_Analysis!I185</f>
        <v>SCALE</v>
      </c>
      <c r="G287" s="9">
        <f>Scenario_Analysis!K185</f>
        <v>0.38949732843795709</v>
      </c>
      <c r="H287" s="11" t="str">
        <f>Scenario_Analysis!M185</f>
        <v>SCALE</v>
      </c>
      <c r="I287" s="9">
        <f>Scenario_Analysis!O185</f>
        <v>0.36013693228324672</v>
      </c>
      <c r="J287" s="11" t="str">
        <f>Scenario_Analysis!Q185</f>
        <v>SCALE</v>
      </c>
      <c r="K287" s="53" t="str">
        <f>Scenario_Analysis!R185</f>
        <v>Stable</v>
      </c>
    </row>
    <row r="288" spans="1:11" x14ac:dyDescent="0.35">
      <c r="A288" s="218" t="str">
        <f>Scenario_Analysis!A186</f>
        <v>9545d45c37449ccbc376de3a04c66e71</v>
      </c>
      <c r="B288" t="str">
        <f>Scenario_Analysis!B186</f>
        <v>health_beauty</v>
      </c>
      <c r="C288" s="9">
        <f>Scenario_Analysis!D186</f>
        <v>0.39500201531640466</v>
      </c>
      <c r="D288" s="11" t="str">
        <f>Scenario_Analysis!E186</f>
        <v>SCALE</v>
      </c>
      <c r="E288" s="5">
        <f>Scenario_Analysis!G186</f>
        <v>0.35300207502948333</v>
      </c>
      <c r="F288" s="11" t="str">
        <f>Scenario_Analysis!I186</f>
        <v>SCALE</v>
      </c>
      <c r="G288" s="9">
        <f>Scenario_Analysis!K186</f>
        <v>0.39215370146446327</v>
      </c>
      <c r="H288" s="11" t="str">
        <f>Scenario_Analysis!M186</f>
        <v>SCALE</v>
      </c>
      <c r="I288" s="9">
        <f>Scenario_Analysis!O186</f>
        <v>0.36316001612253118</v>
      </c>
      <c r="J288" s="11" t="str">
        <f>Scenario_Analysis!Q186</f>
        <v>SCALE</v>
      </c>
      <c r="K288" s="53" t="str">
        <f>Scenario_Analysis!R186</f>
        <v>Stable</v>
      </c>
    </row>
    <row r="289" spans="1:11" x14ac:dyDescent="0.35">
      <c r="A289" s="218" t="str">
        <f>Scenario_Analysis!A188</f>
        <v>69455f41626a745aea9ee9164cb9eafd</v>
      </c>
      <c r="B289" t="str">
        <f>Scenario_Analysis!B188</f>
        <v>watches_gifts</v>
      </c>
      <c r="C289" s="9">
        <f>Scenario_Analysis!D188</f>
        <v>0.43796298523257488</v>
      </c>
      <c r="D289" s="11" t="str">
        <f>Scenario_Analysis!E188</f>
        <v>SCALE</v>
      </c>
      <c r="E289" s="5">
        <f>Scenario_Analysis!G188</f>
        <v>0.39596300928375572</v>
      </c>
      <c r="F289" s="11" t="str">
        <f>Scenario_Analysis!I188</f>
        <v>SCALE</v>
      </c>
      <c r="G289" s="9">
        <f>Scenario_Analysis!K188</f>
        <v>0.43574426379335218</v>
      </c>
      <c r="H289" s="11" t="str">
        <f>Scenario_Analysis!M188</f>
        <v>SCALE</v>
      </c>
      <c r="I289" s="9">
        <f>Scenario_Analysis!O188</f>
        <v>0.40838208971849982</v>
      </c>
      <c r="J289" s="11" t="str">
        <f>Scenario_Analysis!Q188</f>
        <v>SCALE</v>
      </c>
      <c r="K289" s="53" t="str">
        <f>Scenario_Analysis!R188</f>
        <v>Stable</v>
      </c>
    </row>
    <row r="290" spans="1:11" x14ac:dyDescent="0.35">
      <c r="A290" s="218" t="str">
        <f>Scenario_Analysis!A189</f>
        <v>e9c1abcc7126360336d8f56d49041a8c</v>
      </c>
      <c r="B290" t="str">
        <f>Scenario_Analysis!B189</f>
        <v>health_beauty</v>
      </c>
      <c r="C290" s="9">
        <f>Scenario_Analysis!D189</f>
        <v>0.50514402050972695</v>
      </c>
      <c r="D290" s="11" t="str">
        <f>Scenario_Analysis!E189</f>
        <v>SCALE</v>
      </c>
      <c r="E290" s="5">
        <f>Scenario_Analysis!G189</f>
        <v>0.46314402050972692</v>
      </c>
      <c r="F290" s="11" t="str">
        <f>Scenario_Analysis!I189</f>
        <v>SCALE</v>
      </c>
      <c r="G290" s="9">
        <f>Scenario_Analysis!K189</f>
        <v>0.50411250188508516</v>
      </c>
      <c r="H290" s="11" t="str">
        <f>Scenario_Analysis!M189</f>
        <v>SCALE</v>
      </c>
      <c r="I290" s="9">
        <f>Scenario_Analysis!O189</f>
        <v>0.47909896895760734</v>
      </c>
      <c r="J290" s="11" t="str">
        <f>Scenario_Analysis!Q189</f>
        <v>SCALE</v>
      </c>
      <c r="K290" s="53" t="str">
        <f>Scenario_Analysis!R189</f>
        <v>Stable</v>
      </c>
    </row>
    <row r="291" spans="1:11" x14ac:dyDescent="0.35">
      <c r="A291" s="218" t="str">
        <f>Scenario_Analysis!A190</f>
        <v>5d6bea33648f018dbb563f3a2fab09f3</v>
      </c>
      <c r="B291" t="str">
        <f>Scenario_Analysis!B190</f>
        <v>furniture_decor</v>
      </c>
      <c r="C291" s="9">
        <f>Scenario_Analysis!D190</f>
        <v>0.29340978547005964</v>
      </c>
      <c r="D291" s="11" t="str">
        <f>Scenario_Analysis!E190</f>
        <v>SCALE</v>
      </c>
      <c r="E291" s="5">
        <f>Scenario_Analysis!G190</f>
        <v>0.24840978547005957</v>
      </c>
      <c r="F291" s="11" t="str">
        <f>Scenario_Analysis!I190</f>
        <v>OPTIMIZE</v>
      </c>
      <c r="G291" s="9">
        <f>Scenario_Analysis!K190</f>
        <v>0.29101334382280852</v>
      </c>
      <c r="H291" s="11" t="str">
        <f>Scenario_Analysis!M190</f>
        <v>SCALE</v>
      </c>
      <c r="I291" s="9">
        <f>Scenario_Analysis!O190</f>
        <v>0.256220826810589</v>
      </c>
      <c r="J291" s="11" t="str">
        <f>Scenario_Analysis!Q190</f>
        <v>SCALE</v>
      </c>
      <c r="K291" s="53" t="str">
        <f>Scenario_Analysis!R190</f>
        <v>Decision changes</v>
      </c>
    </row>
    <row r="292" spans="1:11" x14ac:dyDescent="0.35">
      <c r="A292" s="218" t="str">
        <f>Scenario_Analysis!A192</f>
        <v>cb26d15d1b6eabaac7c0803774245884</v>
      </c>
      <c r="B292" t="str">
        <f>Scenario_Analysis!B192</f>
        <v>sports_leisure</v>
      </c>
      <c r="C292" s="9">
        <f>Scenario_Analysis!D192</f>
        <v>0.43177402162326778</v>
      </c>
      <c r="D292" s="11" t="str">
        <f>Scenario_Analysis!E192</f>
        <v>SCALE</v>
      </c>
      <c r="E292" s="5">
        <f>Scenario_Analysis!G192</f>
        <v>0.38977402162326774</v>
      </c>
      <c r="F292" s="11" t="str">
        <f>Scenario_Analysis!I192</f>
        <v>SCALE</v>
      </c>
      <c r="G292" s="9">
        <f>Scenario_Analysis!K192</f>
        <v>0.43139028475711894</v>
      </c>
      <c r="H292" s="11" t="str">
        <f>Scenario_Analysis!M192</f>
        <v>SCALE</v>
      </c>
      <c r="I292" s="9">
        <f>Scenario_Analysis!O192</f>
        <v>0.40186739118238712</v>
      </c>
      <c r="J292" s="11" t="str">
        <f>Scenario_Analysis!Q192</f>
        <v>SCALE</v>
      </c>
      <c r="K292" s="53" t="str">
        <f>Scenario_Analysis!R192</f>
        <v>Stable</v>
      </c>
    </row>
    <row r="293" spans="1:11" x14ac:dyDescent="0.35">
      <c r="A293" s="218" t="str">
        <f>Scenario_Analysis!A195</f>
        <v>f35927953ed82e19d06ad3aac2f06353</v>
      </c>
      <c r="B293" t="str">
        <f>Scenario_Analysis!B195</f>
        <v>books_general_interest</v>
      </c>
      <c r="C293" s="9">
        <f>Scenario_Analysis!D195</f>
        <v>0.39019172812190844</v>
      </c>
      <c r="D293" s="11" t="str">
        <f>Scenario_Analysis!E195</f>
        <v>SCALE</v>
      </c>
      <c r="E293" s="5">
        <f>Scenario_Analysis!G195</f>
        <v>0.35019166695973536</v>
      </c>
      <c r="F293" s="11" t="str">
        <f>Scenario_Analysis!I195</f>
        <v>SCALE</v>
      </c>
      <c r="G293" s="9">
        <f>Scenario_Analysis!K195</f>
        <v>0.38932016715621892</v>
      </c>
      <c r="H293" s="11" t="str">
        <f>Scenario_Analysis!M195</f>
        <v>SCALE</v>
      </c>
      <c r="I293" s="9">
        <f>Scenario_Analysis!O195</f>
        <v>0.35809655591779838</v>
      </c>
      <c r="J293" s="11" t="str">
        <f>Scenario_Analysis!Q195</f>
        <v>SCALE</v>
      </c>
      <c r="K293" s="53" t="str">
        <f>Scenario_Analysis!R195</f>
        <v>Stable</v>
      </c>
    </row>
    <row r="294" spans="1:11" x14ac:dyDescent="0.35">
      <c r="A294" s="218" t="str">
        <f>Scenario_Analysis!A197</f>
        <v>79c0ace2ccf0da036e787875a49151a4</v>
      </c>
      <c r="B294" t="str">
        <f>Scenario_Analysis!B197</f>
        <v>kitchen_dining_laundry_garden_furniture</v>
      </c>
      <c r="C294" s="9">
        <f>Scenario_Analysis!D197</f>
        <v>0.30898495085995087</v>
      </c>
      <c r="D294" s="11" t="str">
        <f>Scenario_Analysis!E197</f>
        <v>SCALE</v>
      </c>
      <c r="E294" s="5">
        <f>Scenario_Analysis!G197</f>
        <v>0.26398495085995083</v>
      </c>
      <c r="F294" s="11" t="str">
        <f>Scenario_Analysis!I197</f>
        <v>SCALE</v>
      </c>
      <c r="G294" s="9">
        <f>Scenario_Analysis!K197</f>
        <v>0.30804514742014744</v>
      </c>
      <c r="H294" s="11" t="str">
        <f>Scenario_Analysis!M197</f>
        <v>SCALE</v>
      </c>
      <c r="I294" s="9">
        <f>Scenario_Analysis!O197</f>
        <v>0.27261573774731668</v>
      </c>
      <c r="J294" s="11" t="str">
        <f>Scenario_Analysis!Q197</f>
        <v>SCALE</v>
      </c>
      <c r="K294" s="53" t="str">
        <f>Scenario_Analysis!R197</f>
        <v>Stable</v>
      </c>
    </row>
    <row r="295" spans="1:11" x14ac:dyDescent="0.35">
      <c r="A295" s="218" t="str">
        <f>Scenario_Analysis!A198</f>
        <v>3354a4e684f5e7199f9407db70ccd92b</v>
      </c>
      <c r="B295" t="str">
        <f>Scenario_Analysis!B198</f>
        <v>cool_stuff</v>
      </c>
      <c r="C295" s="9">
        <f>Scenario_Analysis!D198</f>
        <v>0.28636039623429932</v>
      </c>
      <c r="D295" s="11" t="str">
        <f>Scenario_Analysis!E198</f>
        <v>SCALE</v>
      </c>
      <c r="E295" s="5">
        <f>Scenario_Analysis!G198</f>
        <v>0.2413603347835705</v>
      </c>
      <c r="F295" s="11" t="str">
        <f>Scenario_Analysis!I198</f>
        <v>OPTIMIZE</v>
      </c>
      <c r="G295" s="9">
        <f>Scenario_Analysis!K198</f>
        <v>0.28237838900769358</v>
      </c>
      <c r="H295" s="11" t="str">
        <f>Scenario_Analysis!M198</f>
        <v>SCALE</v>
      </c>
      <c r="I295" s="9">
        <f>Scenario_Analysis!O198</f>
        <v>0.24880041708873613</v>
      </c>
      <c r="J295" s="11" t="str">
        <f>Scenario_Analysis!Q198</f>
        <v>OPTIMIZE</v>
      </c>
      <c r="K295" s="53" t="str">
        <f>Scenario_Analysis!R198</f>
        <v>Decision changes</v>
      </c>
    </row>
    <row r="296" spans="1:11" x14ac:dyDescent="0.35">
      <c r="A296" s="218" t="str">
        <f>Scenario_Analysis!A199</f>
        <v>1bdf5e6731585cf01aa8169c7028d6ad</v>
      </c>
      <c r="B296" t="str">
        <f>Scenario_Analysis!B199</f>
        <v>art</v>
      </c>
      <c r="C296" s="9">
        <f>Scenario_Analysis!D199</f>
        <v>0.56414525311586405</v>
      </c>
      <c r="D296" s="11" t="str">
        <f>Scenario_Analysis!E199</f>
        <v>SCALE</v>
      </c>
      <c r="E296" s="5">
        <f>Scenario_Analysis!G199</f>
        <v>0.52414525311586402</v>
      </c>
      <c r="F296" s="11" t="str">
        <f>Scenario_Analysis!I199</f>
        <v>SCALE</v>
      </c>
      <c r="G296" s="9">
        <f>Scenario_Analysis!K199</f>
        <v>0.56408985997845817</v>
      </c>
      <c r="H296" s="11" t="str">
        <f>Scenario_Analysis!M199</f>
        <v>SCALE</v>
      </c>
      <c r="I296" s="9">
        <f>Scenario_Analysis!O199</f>
        <v>0.54120552959564638</v>
      </c>
      <c r="J296" s="11" t="str">
        <f>Scenario_Analysis!Q199</f>
        <v>SCALE</v>
      </c>
      <c r="K296" s="53" t="str">
        <f>Scenario_Analysis!R199</f>
        <v>Stable</v>
      </c>
    </row>
    <row r="297" spans="1:11" x14ac:dyDescent="0.35">
      <c r="A297" s="218" t="str">
        <f>Scenario_Analysis!A200</f>
        <v>89f59eee27a6a49b9f0d887136c71cd4</v>
      </c>
      <c r="B297" t="str">
        <f>Scenario_Analysis!B200</f>
        <v>health_beauty</v>
      </c>
      <c r="C297" s="9">
        <f>Scenario_Analysis!D200</f>
        <v>0.55721001808179127</v>
      </c>
      <c r="D297" s="11" t="str">
        <f>Scenario_Analysis!E200</f>
        <v>SCALE</v>
      </c>
      <c r="E297" s="5">
        <f>Scenario_Analysis!G200</f>
        <v>0.51520994113799867</v>
      </c>
      <c r="F297" s="11" t="str">
        <f>Scenario_Analysis!I200</f>
        <v>SCALE</v>
      </c>
      <c r="G297" s="9">
        <f>Scenario_Analysis!K200</f>
        <v>0.55693302042857684</v>
      </c>
      <c r="H297" s="11" t="str">
        <f>Scenario_Analysis!M200</f>
        <v>SCALE</v>
      </c>
      <c r="I297" s="9">
        <f>Scenario_Analysis!O200</f>
        <v>0.53390528219135913</v>
      </c>
      <c r="J297" s="11" t="str">
        <f>Scenario_Analysis!Q200</f>
        <v>SCALE</v>
      </c>
      <c r="K297" s="53" t="str">
        <f>Scenario_Analysis!R200</f>
        <v>Stable</v>
      </c>
    </row>
    <row r="298" spans="1:11" x14ac:dyDescent="0.35">
      <c r="A298" s="218" t="str">
        <f>Scenario_Analysis!A201</f>
        <v>fe01b643060a6446e59f58e3021e66b3</v>
      </c>
      <c r="B298" t="str">
        <f>Scenario_Analysis!B201</f>
        <v>perfumery</v>
      </c>
      <c r="C298" s="9">
        <f>Scenario_Analysis!D201</f>
        <v>0.27836992537082339</v>
      </c>
      <c r="D298" s="11" t="str">
        <f>Scenario_Analysis!E201</f>
        <v>SCALE</v>
      </c>
      <c r="E298" s="5">
        <f>Scenario_Analysis!G201</f>
        <v>0.23636995633728664</v>
      </c>
      <c r="F298" s="11" t="str">
        <f>Scenario_Analysis!I201</f>
        <v>OPTIMIZE</v>
      </c>
      <c r="G298" s="9">
        <f>Scenario_Analysis!K201</f>
        <v>0.2758059022079089</v>
      </c>
      <c r="H298" s="11" t="str">
        <f>Scenario_Analysis!M201</f>
        <v>SCALE</v>
      </c>
      <c r="I298" s="9">
        <f>Scenario_Analysis!O201</f>
        <v>0.24038939512718246</v>
      </c>
      <c r="J298" s="11" t="str">
        <f>Scenario_Analysis!Q201</f>
        <v>OPTIMIZE</v>
      </c>
      <c r="K298" s="53" t="str">
        <f>Scenario_Analysis!R201</f>
        <v>Decision changes</v>
      </c>
    </row>
    <row r="299" spans="1:11" x14ac:dyDescent="0.35">
      <c r="A299" s="218" t="str">
        <f>Scenario_Analysis!A202</f>
        <v>781afe929e3016a667f5f439afd55fce</v>
      </c>
      <c r="B299" t="str">
        <f>Scenario_Analysis!B202</f>
        <v>sports_leisure</v>
      </c>
      <c r="C299" s="9">
        <f>Scenario_Analysis!D202</f>
        <v>0.36764380444776912</v>
      </c>
      <c r="D299" s="11" t="str">
        <f>Scenario_Analysis!E202</f>
        <v>SCALE</v>
      </c>
      <c r="E299" s="5">
        <f>Scenario_Analysis!G202</f>
        <v>0.32564386678510759</v>
      </c>
      <c r="F299" s="11" t="str">
        <f>Scenario_Analysis!I202</f>
        <v>SCALE</v>
      </c>
      <c r="G299" s="9">
        <f>Scenario_Analysis!K202</f>
        <v>0.36433369177302977</v>
      </c>
      <c r="H299" s="11" t="str">
        <f>Scenario_Analysis!M202</f>
        <v>SCALE</v>
      </c>
      <c r="I299" s="9">
        <f>Scenario_Analysis!O202</f>
        <v>0.33436189941870431</v>
      </c>
      <c r="J299" s="11" t="str">
        <f>Scenario_Analysis!Q202</f>
        <v>SCALE</v>
      </c>
      <c r="K299" s="53" t="str">
        <f>Scenario_Analysis!R202</f>
        <v>Stable</v>
      </c>
    </row>
    <row r="300" spans="1:11" x14ac:dyDescent="0.35">
      <c r="A300" s="218" t="str">
        <f>Scenario_Analysis!A203</f>
        <v>b3bcd6f54c943fecf8f51e0b988e5cc9</v>
      </c>
      <c r="B300" t="str">
        <f>Scenario_Analysis!B203</f>
        <v>health_beauty</v>
      </c>
      <c r="C300" s="9">
        <f>Scenario_Analysis!D203</f>
        <v>0.54372833613708382</v>
      </c>
      <c r="D300" s="11" t="str">
        <f>Scenario_Analysis!E203</f>
        <v>SCALE</v>
      </c>
      <c r="E300" s="5">
        <f>Scenario_Analysis!G203</f>
        <v>0.50172825789288367</v>
      </c>
      <c r="F300" s="11" t="str">
        <f>Scenario_Analysis!I203</f>
        <v>SCALE</v>
      </c>
      <c r="G300" s="9">
        <f>Scenario_Analysis!K203</f>
        <v>0.5434466570165486</v>
      </c>
      <c r="H300" s="11" t="str">
        <f>Scenario_Analysis!M203</f>
        <v>SCALE</v>
      </c>
      <c r="I300" s="9">
        <f>Scenario_Analysis!O203</f>
        <v>0.5197140380390356</v>
      </c>
      <c r="J300" s="11" t="str">
        <f>Scenario_Analysis!Q203</f>
        <v>SCALE</v>
      </c>
      <c r="K300" s="53" t="str">
        <f>Scenario_Analysis!R203</f>
        <v>Stable</v>
      </c>
    </row>
    <row r="301" spans="1:11" x14ac:dyDescent="0.35">
      <c r="A301" s="218" t="str">
        <f>Scenario_Analysis!A207</f>
        <v>23ed7a10a36c6f88a757a9c83df9ea20</v>
      </c>
      <c r="B301" t="str">
        <f>Scenario_Analysis!B207</f>
        <v>perfumery</v>
      </c>
      <c r="C301" s="9">
        <f>Scenario_Analysis!D207</f>
        <v>0.52155120814037748</v>
      </c>
      <c r="D301" s="11" t="str">
        <f>Scenario_Analysis!E207</f>
        <v>SCALE</v>
      </c>
      <c r="E301" s="5">
        <f>Scenario_Analysis!G207</f>
        <v>0.47955123964338597</v>
      </c>
      <c r="F301" s="11" t="str">
        <f>Scenario_Analysis!I207</f>
        <v>SCALE</v>
      </c>
      <c r="G301" s="9">
        <f>Scenario_Analysis!K207</f>
        <v>0.52075733232523713</v>
      </c>
      <c r="H301" s="11" t="str">
        <f>Scenario_Analysis!M207</f>
        <v>SCALE</v>
      </c>
      <c r="I301" s="9">
        <f>Scenario_Analysis!O207</f>
        <v>0.49636969277934473</v>
      </c>
      <c r="J301" s="11" t="str">
        <f>Scenario_Analysis!Q207</f>
        <v>SCALE</v>
      </c>
      <c r="K301" s="53" t="str">
        <f>Scenario_Analysis!R207</f>
        <v>Stable</v>
      </c>
    </row>
    <row r="302" spans="1:11" x14ac:dyDescent="0.35">
      <c r="A302" s="218" t="str">
        <f>Scenario_Analysis!A209</f>
        <v>349ce46a0e2e20054aa9d80c48af8816</v>
      </c>
      <c r="B302" t="str">
        <f>Scenario_Analysis!B209</f>
        <v>construction_tools_lights</v>
      </c>
      <c r="C302" s="9">
        <f>Scenario_Analysis!D209</f>
        <v>0.36173266347561223</v>
      </c>
      <c r="D302" s="11" t="str">
        <f>Scenario_Analysis!E209</f>
        <v>SCALE</v>
      </c>
      <c r="E302" s="5">
        <f>Scenario_Analysis!G209</f>
        <v>0.3167326239170854</v>
      </c>
      <c r="F302" s="11" t="str">
        <f>Scenario_Analysis!I209</f>
        <v>SCALE</v>
      </c>
      <c r="G302" s="9">
        <f>Scenario_Analysis!K209</f>
        <v>0.35934016377230121</v>
      </c>
      <c r="H302" s="11" t="str">
        <f>Scenario_Analysis!M209</f>
        <v>SCALE</v>
      </c>
      <c r="I302" s="9">
        <f>Scenario_Analysis!O209</f>
        <v>0.32813964576380233</v>
      </c>
      <c r="J302" s="11" t="str">
        <f>Scenario_Analysis!Q209</f>
        <v>SCALE</v>
      </c>
      <c r="K302" s="53" t="str">
        <f>Scenario_Analysis!R209</f>
        <v>Stable</v>
      </c>
    </row>
    <row r="303" spans="1:11" x14ac:dyDescent="0.35">
      <c r="A303" s="218" t="str">
        <f>Scenario_Analysis!A211</f>
        <v>bc2d6310e5cbd60facb2f9c8d9471597</v>
      </c>
      <c r="B303" t="str">
        <f>Scenario_Analysis!B211</f>
        <v>cool_stuff</v>
      </c>
      <c r="C303" s="9">
        <f>Scenario_Analysis!D211</f>
        <v>0.46943879173290931</v>
      </c>
      <c r="D303" s="11" t="str">
        <f>Scenario_Analysis!E211</f>
        <v>SCALE</v>
      </c>
      <c r="E303" s="5">
        <f>Scenario_Analysis!G211</f>
        <v>0.42443879173290927</v>
      </c>
      <c r="F303" s="11" t="str">
        <f>Scenario_Analysis!I211</f>
        <v>SCALE</v>
      </c>
      <c r="G303" s="9">
        <f>Scenario_Analysis!K211</f>
        <v>0.46886645468998411</v>
      </c>
      <c r="H303" s="11" t="str">
        <f>Scenario_Analysis!M211</f>
        <v>SCALE</v>
      </c>
      <c r="I303" s="9">
        <f>Scenario_Analysis!O211</f>
        <v>0.44151451761358873</v>
      </c>
      <c r="J303" s="11" t="str">
        <f>Scenario_Analysis!Q211</f>
        <v>SCALE</v>
      </c>
      <c r="K303" s="53" t="str">
        <f>Scenario_Analysis!R211</f>
        <v>Stable</v>
      </c>
    </row>
    <row r="304" spans="1:11" x14ac:dyDescent="0.35">
      <c r="A304" s="218" t="str">
        <f>Scenario_Analysis!A212</f>
        <v>11bbef4e2a44601d9dd471aa1fb433e6</v>
      </c>
      <c r="B304" t="str">
        <f>Scenario_Analysis!B212</f>
        <v>health_beauty</v>
      </c>
      <c r="C304" s="9">
        <f>Scenario_Analysis!D212</f>
        <v>0.52171960616642865</v>
      </c>
      <c r="D304" s="11" t="str">
        <f>Scenario_Analysis!E212</f>
        <v>SCALE</v>
      </c>
      <c r="E304" s="5">
        <f>Scenario_Analysis!G212</f>
        <v>0.47971960935123825</v>
      </c>
      <c r="F304" s="11" t="str">
        <f>Scenario_Analysis!I212</f>
        <v>SCALE</v>
      </c>
      <c r="G304" s="9">
        <f>Scenario_Analysis!K212</f>
        <v>0.52063040123825399</v>
      </c>
      <c r="H304" s="11" t="str">
        <f>Scenario_Analysis!M212</f>
        <v>SCALE</v>
      </c>
      <c r="I304" s="9">
        <f>Scenario_Analysis!O212</f>
        <v>0.49654695385939851</v>
      </c>
      <c r="J304" s="11" t="str">
        <f>Scenario_Analysis!Q212</f>
        <v>SCALE</v>
      </c>
      <c r="K304" s="53" t="str">
        <f>Scenario_Analysis!R212</f>
        <v>Stable</v>
      </c>
    </row>
    <row r="305" spans="1:11" x14ac:dyDescent="0.35">
      <c r="A305" s="218" t="str">
        <f>Scenario_Analysis!A216</f>
        <v>98d61056e0568ba048e5d78038790e77</v>
      </c>
      <c r="B305" t="str">
        <f>Scenario_Analysis!B216</f>
        <v>auto</v>
      </c>
      <c r="C305" s="9">
        <f>Scenario_Analysis!D216</f>
        <v>0.36144307562970868</v>
      </c>
      <c r="D305" s="11" t="str">
        <f>Scenario_Analysis!E216</f>
        <v>SCALE</v>
      </c>
      <c r="E305" s="5">
        <f>Scenario_Analysis!G216</f>
        <v>0.31644307562970864</v>
      </c>
      <c r="F305" s="11" t="str">
        <f>Scenario_Analysis!I216</f>
        <v>SCALE</v>
      </c>
      <c r="G305" s="9">
        <f>Scenario_Analysis!K216</f>
        <v>0.35928961748633875</v>
      </c>
      <c r="H305" s="11" t="str">
        <f>Scenario_Analysis!M216</f>
        <v>SCALE</v>
      </c>
      <c r="I305" s="9">
        <f>Scenario_Analysis!O216</f>
        <v>0.32783481645232487</v>
      </c>
      <c r="J305" s="11" t="str">
        <f>Scenario_Analysis!Q216</f>
        <v>SCALE</v>
      </c>
      <c r="K305" s="53" t="str">
        <f>Scenario_Analysis!R216</f>
        <v>Stable</v>
      </c>
    </row>
    <row r="306" spans="1:11" x14ac:dyDescent="0.35">
      <c r="A306" s="218" t="str">
        <f>Scenario_Analysis!A219</f>
        <v>f96ff9b997681965689f78bef092fdd9</v>
      </c>
      <c r="B306" t="str">
        <f>Scenario_Analysis!B219</f>
        <v>health_beauty</v>
      </c>
      <c r="C306" s="9">
        <f>Scenario_Analysis!D219</f>
        <v>0.54155306718597851</v>
      </c>
      <c r="D306" s="11" t="str">
        <f>Scenario_Analysis!E219</f>
        <v>SCALE</v>
      </c>
      <c r="E306" s="5">
        <f>Scenario_Analysis!G219</f>
        <v>0.49955306718597853</v>
      </c>
      <c r="F306" s="11" t="str">
        <f>Scenario_Analysis!I219</f>
        <v>SCALE</v>
      </c>
      <c r="G306" s="9">
        <f>Scenario_Analysis!K219</f>
        <v>0.5410856864654332</v>
      </c>
      <c r="H306" s="11" t="str">
        <f>Scenario_Analysis!M219</f>
        <v>SCALE</v>
      </c>
      <c r="I306" s="9">
        <f>Scenario_Analysis!O219</f>
        <v>0.51742428124839845</v>
      </c>
      <c r="J306" s="11" t="str">
        <f>Scenario_Analysis!Q219</f>
        <v>SCALE</v>
      </c>
      <c r="K306" s="53" t="str">
        <f>Scenario_Analysis!R219</f>
        <v>Stable</v>
      </c>
    </row>
    <row r="307" spans="1:11" x14ac:dyDescent="0.35">
      <c r="A307" s="218" t="str">
        <f>Scenario_Analysis!A221</f>
        <v>e3dd336775af78a83fc27ed85f0f15da</v>
      </c>
      <c r="B307" t="str">
        <f>Scenario_Analysis!B221</f>
        <v>health_beauty</v>
      </c>
      <c r="C307" s="9">
        <f>Scenario_Analysis!D221</f>
        <v>0.52265152069164467</v>
      </c>
      <c r="D307" s="11" t="str">
        <f>Scenario_Analysis!E221</f>
        <v>SCALE</v>
      </c>
      <c r="E307" s="5">
        <f>Scenario_Analysis!G221</f>
        <v>0.4806515044405984</v>
      </c>
      <c r="F307" s="11" t="str">
        <f>Scenario_Analysis!I221</f>
        <v>SCALE</v>
      </c>
      <c r="G307" s="9">
        <f>Scenario_Analysis!K221</f>
        <v>0.52177396419894528</v>
      </c>
      <c r="H307" s="11" t="str">
        <f>Scenario_Analysis!M221</f>
        <v>SCALE</v>
      </c>
      <c r="I307" s="9">
        <f>Scenario_Analysis!O221</f>
        <v>0.4975279165175206</v>
      </c>
      <c r="J307" s="11" t="str">
        <f>Scenario_Analysis!Q221</f>
        <v>SCALE</v>
      </c>
      <c r="K307" s="53" t="str">
        <f>Scenario_Analysis!R221</f>
        <v>Stable</v>
      </c>
    </row>
    <row r="308" spans="1:11" x14ac:dyDescent="0.35">
      <c r="A308" s="218" t="str">
        <f>Scenario_Analysis!A222</f>
        <v>31a2f42a87890f87d77daebdfabc182e</v>
      </c>
      <c r="B308" t="str">
        <f>Scenario_Analysis!B222</f>
        <v>toys</v>
      </c>
      <c r="C308" s="9">
        <f>Scenario_Analysis!D222</f>
        <v>0.41857036025490962</v>
      </c>
      <c r="D308" s="11" t="str">
        <f>Scenario_Analysis!E222</f>
        <v>SCALE</v>
      </c>
      <c r="E308" s="5">
        <f>Scenario_Analysis!G222</f>
        <v>0.3765704252828716</v>
      </c>
      <c r="F308" s="11" t="str">
        <f>Scenario_Analysis!I222</f>
        <v>SCALE</v>
      </c>
      <c r="G308" s="9">
        <f>Scenario_Analysis!K222</f>
        <v>0.41611230329041493</v>
      </c>
      <c r="H308" s="11" t="str">
        <f>Scenario_Analysis!M222</f>
        <v>SCALE</v>
      </c>
      <c r="I308" s="9">
        <f>Scenario_Analysis!O222</f>
        <v>0.38796880026832586</v>
      </c>
      <c r="J308" s="11" t="str">
        <f>Scenario_Analysis!Q222</f>
        <v>SCALE</v>
      </c>
      <c r="K308" s="53" t="str">
        <f>Scenario_Analysis!R222</f>
        <v>Stable</v>
      </c>
    </row>
    <row r="309" spans="1:11" x14ac:dyDescent="0.35">
      <c r="A309" s="218" t="str">
        <f>Scenario_Analysis!A223</f>
        <v>ff92ca9bb0b3f4ec00a9b76c9f68cb3a</v>
      </c>
      <c r="B309" t="str">
        <f>Scenario_Analysis!B223</f>
        <v>small_appliances_home_oven_and_coffee</v>
      </c>
      <c r="C309" s="9">
        <f>Scenario_Analysis!D223</f>
        <v>0.39347095848416658</v>
      </c>
      <c r="D309" s="11" t="str">
        <f>Scenario_Analysis!E223</f>
        <v>SCALE</v>
      </c>
      <c r="E309" s="5">
        <f>Scenario_Analysis!G223</f>
        <v>0.33647099109676148</v>
      </c>
      <c r="F309" s="11" t="str">
        <f>Scenario_Analysis!I223</f>
        <v>SCALE</v>
      </c>
      <c r="G309" s="9">
        <f>Scenario_Analysis!K223</f>
        <v>0.39306003978736592</v>
      </c>
      <c r="H309" s="11" t="str">
        <f>Scenario_Analysis!M223</f>
        <v>SCALE</v>
      </c>
      <c r="I309" s="9">
        <f>Scenario_Analysis!O223</f>
        <v>0.36154837735175427</v>
      </c>
      <c r="J309" s="11" t="str">
        <f>Scenario_Analysis!Q223</f>
        <v>SCALE</v>
      </c>
      <c r="K309" s="53" t="str">
        <f>Scenario_Analysis!R223</f>
        <v>Stable</v>
      </c>
    </row>
    <row r="310" spans="1:11" x14ac:dyDescent="0.35">
      <c r="A310" s="218" t="str">
        <f>Scenario_Analysis!A225</f>
        <v>4b96786612ebe7463132fce2c4dca136</v>
      </c>
      <c r="B310" t="str">
        <f>Scenario_Analysis!B225</f>
        <v>housewares</v>
      </c>
      <c r="C310" s="9">
        <f>Scenario_Analysis!D225</f>
        <v>0.25663356585966346</v>
      </c>
      <c r="D310" s="11" t="str">
        <f>Scenario_Analysis!E225</f>
        <v>SCALE</v>
      </c>
      <c r="E310" s="5">
        <f>Scenario_Analysis!G225</f>
        <v>0.21163348379154684</v>
      </c>
      <c r="F310" s="11" t="str">
        <f>Scenario_Analysis!I225</f>
        <v>OPTIMIZE</v>
      </c>
      <c r="G310" s="9">
        <f>Scenario_Analysis!K225</f>
        <v>0.25373820270824787</v>
      </c>
      <c r="H310" s="11" t="str">
        <f>Scenario_Analysis!M225</f>
        <v>SCALE</v>
      </c>
      <c r="I310" s="9">
        <f>Scenario_Analysis!O225</f>
        <v>0.21750901669438258</v>
      </c>
      <c r="J310" s="11" t="str">
        <f>Scenario_Analysis!Q225</f>
        <v>OPTIMIZE</v>
      </c>
      <c r="K310" s="53" t="str">
        <f>Scenario_Analysis!R225</f>
        <v>Decision changes</v>
      </c>
    </row>
    <row r="311" spans="1:11" x14ac:dyDescent="0.35">
      <c r="A311" s="218" t="str">
        <f>Scenario_Analysis!A227</f>
        <v>e7f85e7f0203b7b95cc1b4c21b4b070c</v>
      </c>
      <c r="B311" t="str">
        <f>Scenario_Analysis!B227</f>
        <v>cool_stuff</v>
      </c>
      <c r="C311" s="9">
        <f>Scenario_Analysis!D227</f>
        <v>0.36093194747169222</v>
      </c>
      <c r="D311" s="11" t="str">
        <f>Scenario_Analysis!E227</f>
        <v>SCALE</v>
      </c>
      <c r="E311" s="5">
        <f>Scenario_Analysis!G227</f>
        <v>0.31593197218391827</v>
      </c>
      <c r="F311" s="11" t="str">
        <f>Scenario_Analysis!I227</f>
        <v>SCALE</v>
      </c>
      <c r="G311" s="9">
        <f>Scenario_Analysis!K227</f>
        <v>0.35956783258949532</v>
      </c>
      <c r="H311" s="11" t="str">
        <f>Scenario_Analysis!M227</f>
        <v>SCALE</v>
      </c>
      <c r="I311" s="9">
        <f>Scenario_Analysis!O227</f>
        <v>0.32729678681230751</v>
      </c>
      <c r="J311" s="11" t="str">
        <f>Scenario_Analysis!Q227</f>
        <v>SCALE</v>
      </c>
      <c r="K311" s="53" t="str">
        <f>Scenario_Analysis!R227</f>
        <v>Stable</v>
      </c>
    </row>
    <row r="312" spans="1:11" x14ac:dyDescent="0.35">
      <c r="A312" s="218" t="str">
        <f>Scenario_Analysis!A229</f>
        <v>4e5e41fb7d296a6f776c63fee5cb9fac</v>
      </c>
      <c r="B312" t="str">
        <f>Scenario_Analysis!B229</f>
        <v>watches_gifts</v>
      </c>
      <c r="C312" s="9">
        <f>Scenario_Analysis!D229</f>
        <v>0.53979119062586267</v>
      </c>
      <c r="D312" s="11" t="str">
        <f>Scenario_Analysis!E229</f>
        <v>SCALE</v>
      </c>
      <c r="E312" s="5">
        <f>Scenario_Analysis!G229</f>
        <v>0.49779117066956696</v>
      </c>
      <c r="F312" s="11" t="str">
        <f>Scenario_Analysis!I229</f>
        <v>SCALE</v>
      </c>
      <c r="G312" s="9">
        <f>Scenario_Analysis!K229</f>
        <v>0.53919250175449107</v>
      </c>
      <c r="H312" s="11" t="str">
        <f>Scenario_Analysis!M229</f>
        <v>SCALE</v>
      </c>
      <c r="I312" s="9">
        <f>Scenario_Analysis!O229</f>
        <v>0.51556967434301337</v>
      </c>
      <c r="J312" s="11" t="str">
        <f>Scenario_Analysis!Q229</f>
        <v>SCALE</v>
      </c>
      <c r="K312" s="53" t="str">
        <f>Scenario_Analysis!R229</f>
        <v>Stable</v>
      </c>
    </row>
    <row r="313" spans="1:11" x14ac:dyDescent="0.35">
      <c r="A313" s="218" t="str">
        <f>Scenario_Analysis!A233</f>
        <v>06abf4be826ed1d548e8a22a3d75d912</v>
      </c>
      <c r="B313" t="str">
        <f>Scenario_Analysis!B233</f>
        <v>health_beauty</v>
      </c>
      <c r="C313" s="9">
        <f>Scenario_Analysis!D233</f>
        <v>0.51118697829716186</v>
      </c>
      <c r="D313" s="11" t="str">
        <f>Scenario_Analysis!E233</f>
        <v>SCALE</v>
      </c>
      <c r="E313" s="5">
        <f>Scenario_Analysis!G233</f>
        <v>0.46918697829716177</v>
      </c>
      <c r="F313" s="11" t="str">
        <f>Scenario_Analysis!I233</f>
        <v>SCALE</v>
      </c>
      <c r="G313" s="9">
        <f>Scenario_Analysis!K233</f>
        <v>0.51058597662771288</v>
      </c>
      <c r="H313" s="11" t="str">
        <f>Scenario_Analysis!M233</f>
        <v>SCALE</v>
      </c>
      <c r="I313" s="9">
        <f>Scenario_Analysis!O233</f>
        <v>0.48545997715490719</v>
      </c>
      <c r="J313" s="11" t="str">
        <f>Scenario_Analysis!Q233</f>
        <v>SCALE</v>
      </c>
      <c r="K313" s="53" t="str">
        <f>Scenario_Analysis!R233</f>
        <v>Stable</v>
      </c>
    </row>
    <row r="314" spans="1:11" x14ac:dyDescent="0.35">
      <c r="A314" s="218" t="str">
        <f>Scenario_Analysis!A235</f>
        <v>f40876e0ef3cd5f9132b1f16b04b1346</v>
      </c>
      <c r="B314" t="str">
        <f>Scenario_Analysis!B235</f>
        <v>health_beauty</v>
      </c>
      <c r="C314" s="9">
        <f>Scenario_Analysis!D235</f>
        <v>0.35869729231285102</v>
      </c>
      <c r="D314" s="11" t="str">
        <f>Scenario_Analysis!E235</f>
        <v>SCALE</v>
      </c>
      <c r="E314" s="5">
        <f>Scenario_Analysis!G235</f>
        <v>0.31669729231285099</v>
      </c>
      <c r="F314" s="11" t="str">
        <f>Scenario_Analysis!I235</f>
        <v>SCALE</v>
      </c>
      <c r="G314" s="9">
        <f>Scenario_Analysis!K235</f>
        <v>0.35537765110235553</v>
      </c>
      <c r="H314" s="11" t="str">
        <f>Scenario_Analysis!M235</f>
        <v>SCALE</v>
      </c>
      <c r="I314" s="9">
        <f>Scenario_Analysis!O235</f>
        <v>0.32494451822405362</v>
      </c>
      <c r="J314" s="11" t="str">
        <f>Scenario_Analysis!Q235</f>
        <v>SCALE</v>
      </c>
      <c r="K314" s="53" t="str">
        <f>Scenario_Analysis!R235</f>
        <v>Stable</v>
      </c>
    </row>
    <row r="315" spans="1:11" x14ac:dyDescent="0.35">
      <c r="A315" s="218" t="str">
        <f>Scenario_Analysis!A236</f>
        <v>caaa713799b547352795c831a14f1c3c</v>
      </c>
      <c r="B315" t="str">
        <f>Scenario_Analysis!B236</f>
        <v>computers</v>
      </c>
      <c r="C315" s="9">
        <f>Scenario_Analysis!D236</f>
        <v>0.36675389458363372</v>
      </c>
      <c r="D315" s="11" t="str">
        <f>Scenario_Analysis!E236</f>
        <v>SCALE</v>
      </c>
      <c r="E315" s="5">
        <f>Scenario_Analysis!G236</f>
        <v>0.30975389626432576</v>
      </c>
      <c r="F315" s="11" t="str">
        <f>Scenario_Analysis!I236</f>
        <v>SCALE</v>
      </c>
      <c r="G315" s="9">
        <f>Scenario_Analysis!K236</f>
        <v>0.36569505859732798</v>
      </c>
      <c r="H315" s="11" t="str">
        <f>Scenario_Analysis!M236</f>
        <v>SCALE</v>
      </c>
      <c r="I315" s="9">
        <f>Scenario_Analysis!O236</f>
        <v>0.33342515219329866</v>
      </c>
      <c r="J315" s="11" t="str">
        <f>Scenario_Analysis!Q236</f>
        <v>SCALE</v>
      </c>
      <c r="K315" s="53" t="str">
        <f>Scenario_Analysis!R236</f>
        <v>Stable</v>
      </c>
    </row>
    <row r="316" spans="1:11" x14ac:dyDescent="0.35">
      <c r="A316" s="218" t="str">
        <f>Scenario_Analysis!A237</f>
        <v>e272c7b6c21c38e8ee510666a28460d4</v>
      </c>
      <c r="B316" t="str">
        <f>Scenario_Analysis!B237</f>
        <v>computers_accessories</v>
      </c>
      <c r="C316" s="9">
        <f>Scenario_Analysis!D237</f>
        <v>0.39937152485256949</v>
      </c>
      <c r="D316" s="11" t="str">
        <f>Scenario_Analysis!E237</f>
        <v>SCALE</v>
      </c>
      <c r="E316" s="5">
        <f>Scenario_Analysis!G237</f>
        <v>0.34237152485256955</v>
      </c>
      <c r="F316" s="11" t="str">
        <f>Scenario_Analysis!I237</f>
        <v>SCALE</v>
      </c>
      <c r="G316" s="9">
        <f>Scenario_Analysis!K237</f>
        <v>0.39861331086773377</v>
      </c>
      <c r="H316" s="11" t="str">
        <f>Scenario_Analysis!M237</f>
        <v>SCALE</v>
      </c>
      <c r="I316" s="9">
        <f>Scenario_Analysis!O237</f>
        <v>0.36775949984480999</v>
      </c>
      <c r="J316" s="11" t="str">
        <f>Scenario_Analysis!Q237</f>
        <v>SCALE</v>
      </c>
      <c r="K316" s="53" t="str">
        <f>Scenario_Analysis!R237</f>
        <v>Stable</v>
      </c>
    </row>
    <row r="317" spans="1:11" x14ac:dyDescent="0.35">
      <c r="A317" s="218" t="str">
        <f>Scenario_Analysis!A241</f>
        <v>61a4100ccd6d9c4c808a1fd954ddb8ad</v>
      </c>
      <c r="B317" t="str">
        <f>Scenario_Analysis!B241</f>
        <v>small_appliances</v>
      </c>
      <c r="C317" s="9">
        <f>Scenario_Analysis!D241</f>
        <v>0.34912772062377667</v>
      </c>
      <c r="D317" s="11" t="str">
        <f>Scenario_Analysis!E241</f>
        <v>SCALE</v>
      </c>
      <c r="E317" s="5">
        <f>Scenario_Analysis!G241</f>
        <v>0.29212771719567926</v>
      </c>
      <c r="F317" s="11" t="str">
        <f>Scenario_Analysis!I241</f>
        <v>SCALE</v>
      </c>
      <c r="G317" s="9">
        <f>Scenario_Analysis!K241</f>
        <v>0.3483872515914942</v>
      </c>
      <c r="H317" s="11" t="str">
        <f>Scenario_Analysis!M241</f>
        <v>SCALE</v>
      </c>
      <c r="I317" s="9">
        <f>Scenario_Analysis!O241</f>
        <v>0.31487128486713328</v>
      </c>
      <c r="J317" s="11" t="str">
        <f>Scenario_Analysis!Q241</f>
        <v>SCALE</v>
      </c>
      <c r="K317" s="53" t="str">
        <f>Scenario_Analysis!R241</f>
        <v>Stable</v>
      </c>
    </row>
    <row r="318" spans="1:11" x14ac:dyDescent="0.35">
      <c r="A318" s="218" t="str">
        <f>Scenario_Analysis!A243</f>
        <v>57c9362442482cd2451f2eabf468e532</v>
      </c>
      <c r="B318" t="str">
        <f>Scenario_Analysis!B243</f>
        <v>watches_gifts</v>
      </c>
      <c r="C318" s="9">
        <f>Scenario_Analysis!D243</f>
        <v>0.55080970374096361</v>
      </c>
      <c r="D318" s="11" t="str">
        <f>Scenario_Analysis!E243</f>
        <v>SCALE</v>
      </c>
      <c r="E318" s="5">
        <f>Scenario_Analysis!G243</f>
        <v>0.50880965910554055</v>
      </c>
      <c r="F318" s="11" t="str">
        <f>Scenario_Analysis!I243</f>
        <v>SCALE</v>
      </c>
      <c r="G318" s="9">
        <f>Scenario_Analysis!K243</f>
        <v>0.55043888638053085</v>
      </c>
      <c r="H318" s="11" t="str">
        <f>Scenario_Analysis!M243</f>
        <v>SCALE</v>
      </c>
      <c r="I318" s="9">
        <f>Scenario_Analysis!O243</f>
        <v>0.5271681092010142</v>
      </c>
      <c r="J318" s="11" t="str">
        <f>Scenario_Analysis!Q243</f>
        <v>SCALE</v>
      </c>
      <c r="K318" s="53" t="str">
        <f>Scenario_Analysis!R243</f>
        <v>Stable</v>
      </c>
    </row>
    <row r="319" spans="1:11" x14ac:dyDescent="0.35">
      <c r="A319" s="218" t="str">
        <f>Scenario_Analysis!A244</f>
        <v>aef8207c2e91f4fcdbc0824737abf358</v>
      </c>
      <c r="B319" t="str">
        <f>Scenario_Analysis!B244</f>
        <v>health_beauty</v>
      </c>
      <c r="C319" s="9">
        <f>Scenario_Analysis!D244</f>
        <v>0.51550565362373324</v>
      </c>
      <c r="D319" s="11" t="str">
        <f>Scenario_Analysis!E244</f>
        <v>SCALE</v>
      </c>
      <c r="E319" s="5">
        <f>Scenario_Analysis!G244</f>
        <v>0.47350572948815656</v>
      </c>
      <c r="F319" s="11" t="str">
        <f>Scenario_Analysis!I244</f>
        <v>SCALE</v>
      </c>
      <c r="G319" s="9">
        <f>Scenario_Analysis!K244</f>
        <v>0.5143883775703384</v>
      </c>
      <c r="H319" s="11" t="str">
        <f>Scenario_Analysis!M244</f>
        <v>SCALE</v>
      </c>
      <c r="I319" s="9">
        <f>Scenario_Analysis!O244</f>
        <v>0.49000595118287704</v>
      </c>
      <c r="J319" s="11" t="str">
        <f>Scenario_Analysis!Q244</f>
        <v>SCALE</v>
      </c>
      <c r="K319" s="53" t="str">
        <f>Scenario_Analysis!R244</f>
        <v>Stable</v>
      </c>
    </row>
    <row r="320" spans="1:11" x14ac:dyDescent="0.35">
      <c r="A320" s="218" t="str">
        <f>Scenario_Analysis!A246</f>
        <v>1cc61b32763a4d816212b3507b6b6c59</v>
      </c>
      <c r="B320" t="str">
        <f>Scenario_Analysis!B246</f>
        <v>books_general_interest</v>
      </c>
      <c r="C320" s="9">
        <f>Scenario_Analysis!D246</f>
        <v>0.52921941841736087</v>
      </c>
      <c r="D320" s="11" t="str">
        <f>Scenario_Analysis!E246</f>
        <v>SCALE</v>
      </c>
      <c r="E320" s="5">
        <f>Scenario_Analysis!G246</f>
        <v>0.48921941841736077</v>
      </c>
      <c r="F320" s="11" t="str">
        <f>Scenario_Analysis!I246</f>
        <v>SCALE</v>
      </c>
      <c r="G320" s="9">
        <f>Scenario_Analysis!K246</f>
        <v>0.52902890593879359</v>
      </c>
      <c r="H320" s="11" t="str">
        <f>Scenario_Analysis!M246</f>
        <v>SCALE</v>
      </c>
      <c r="I320" s="9">
        <f>Scenario_Analysis!O246</f>
        <v>0.50444149307090602</v>
      </c>
      <c r="J320" s="11" t="str">
        <f>Scenario_Analysis!Q246</f>
        <v>SCALE</v>
      </c>
      <c r="K320" s="53" t="str">
        <f>Scenario_Analysis!R246</f>
        <v>Stable</v>
      </c>
    </row>
    <row r="321" spans="1:11" x14ac:dyDescent="0.35">
      <c r="A321" s="218" t="str">
        <f>Scenario_Analysis!A248</f>
        <v>ffc9caf33e2d1e9f44e3e06da19085f7</v>
      </c>
      <c r="B321" t="str">
        <f>Scenario_Analysis!B248</f>
        <v>health_beauty</v>
      </c>
      <c r="C321" s="9">
        <f>Scenario_Analysis!D248</f>
        <v>0.48195960363000478</v>
      </c>
      <c r="D321" s="11" t="str">
        <f>Scenario_Analysis!E248</f>
        <v>SCALE</v>
      </c>
      <c r="E321" s="5">
        <f>Scenario_Analysis!G248</f>
        <v>0.43995964284632016</v>
      </c>
      <c r="F321" s="11" t="str">
        <f>Scenario_Analysis!I248</f>
        <v>SCALE</v>
      </c>
      <c r="G321" s="9">
        <f>Scenario_Analysis!K248</f>
        <v>0.48022695551265543</v>
      </c>
      <c r="H321" s="11" t="str">
        <f>Scenario_Analysis!M248</f>
        <v>SCALE</v>
      </c>
      <c r="I321" s="9">
        <f>Scenario_Analysis!O248</f>
        <v>0.45469431961053136</v>
      </c>
      <c r="J321" s="11" t="str">
        <f>Scenario_Analysis!Q248</f>
        <v>SCALE</v>
      </c>
      <c r="K321" s="53" t="str">
        <f>Scenario_Analysis!R248</f>
        <v>Stable</v>
      </c>
    </row>
    <row r="322" spans="1:11" x14ac:dyDescent="0.35">
      <c r="A322" s="218" t="str">
        <f>Scenario_Analysis!A250</f>
        <v>d2239567438e335a463191a43f2f02ff</v>
      </c>
      <c r="B322" t="str">
        <f>Scenario_Analysis!B250</f>
        <v>toys</v>
      </c>
      <c r="C322" s="9">
        <f>Scenario_Analysis!D250</f>
        <v>0.52842140981908448</v>
      </c>
      <c r="D322" s="11" t="str">
        <f>Scenario_Analysis!E250</f>
        <v>SCALE</v>
      </c>
      <c r="E322" s="5">
        <f>Scenario_Analysis!G250</f>
        <v>0.48642133838158336</v>
      </c>
      <c r="F322" s="11" t="str">
        <f>Scenario_Analysis!I250</f>
        <v>SCALE</v>
      </c>
      <c r="G322" s="9">
        <f>Scenario_Analysis!K250</f>
        <v>0.52797135356205249</v>
      </c>
      <c r="H322" s="11" t="str">
        <f>Scenario_Analysis!M250</f>
        <v>SCALE</v>
      </c>
      <c r="I322" s="9">
        <f>Scenario_Analysis!O250</f>
        <v>0.50360148402008897</v>
      </c>
      <c r="J322" s="11" t="str">
        <f>Scenario_Analysis!Q250</f>
        <v>SCALE</v>
      </c>
      <c r="K322" s="53" t="str">
        <f>Scenario_Analysis!R250</f>
        <v>Stable</v>
      </c>
    </row>
    <row r="323" spans="1:11" x14ac:dyDescent="0.35">
      <c r="A323" s="218" t="str">
        <f>Scenario_Analysis!A255</f>
        <v>3429d7e4892a2df967fae671f4c98deb</v>
      </c>
      <c r="B323" t="str">
        <f>Scenario_Analysis!B255</f>
        <v>health_beauty</v>
      </c>
      <c r="C323" s="9">
        <f>Scenario_Analysis!D255</f>
        <v>0.48230086106837267</v>
      </c>
      <c r="D323" s="11" t="str">
        <f>Scenario_Analysis!E255</f>
        <v>SCALE</v>
      </c>
      <c r="E323" s="5">
        <f>Scenario_Analysis!G255</f>
        <v>0.44030087906353194</v>
      </c>
      <c r="F323" s="11" t="str">
        <f>Scenario_Analysis!I255</f>
        <v>SCALE</v>
      </c>
      <c r="G323" s="9">
        <f>Scenario_Analysis!K255</f>
        <v>0.48132912246605664</v>
      </c>
      <c r="H323" s="11" t="str">
        <f>Scenario_Analysis!M255</f>
        <v>SCALE</v>
      </c>
      <c r="I323" s="9">
        <f>Scenario_Analysis!O255</f>
        <v>0.45505353796670811</v>
      </c>
      <c r="J323" s="11" t="str">
        <f>Scenario_Analysis!Q255</f>
        <v>SCALE</v>
      </c>
      <c r="K323" s="53" t="str">
        <f>Scenario_Analysis!R255</f>
        <v>Stable</v>
      </c>
    </row>
    <row r="324" spans="1:11" x14ac:dyDescent="0.35">
      <c r="A324" s="218" t="str">
        <f>Scenario_Analysis!A257</f>
        <v>ca38c039b717207dec906f4fa9a21db7</v>
      </c>
      <c r="B324" t="str">
        <f>Scenario_Analysis!B257</f>
        <v>health_beauty</v>
      </c>
      <c r="C324" s="9">
        <f>Scenario_Analysis!D257</f>
        <v>0.46122564952692585</v>
      </c>
      <c r="D324" s="11" t="str">
        <f>Scenario_Analysis!E257</f>
        <v>SCALE</v>
      </c>
      <c r="E324" s="5">
        <f>Scenario_Analysis!G257</f>
        <v>0.41922556265790256</v>
      </c>
      <c r="F324" s="11" t="str">
        <f>Scenario_Analysis!I257</f>
        <v>SCALE</v>
      </c>
      <c r="G324" s="9">
        <f>Scenario_Analysis!K257</f>
        <v>0.4592710965042458</v>
      </c>
      <c r="H324" s="11" t="str">
        <f>Scenario_Analysis!M257</f>
        <v>SCALE</v>
      </c>
      <c r="I324" s="9">
        <f>Scenario_Analysis!O257</f>
        <v>0.43286910476518509</v>
      </c>
      <c r="J324" s="11" t="str">
        <f>Scenario_Analysis!Q257</f>
        <v>SCALE</v>
      </c>
      <c r="K324" s="53" t="str">
        <f>Scenario_Analysis!R257</f>
        <v>Stable</v>
      </c>
    </row>
    <row r="325" spans="1:11" x14ac:dyDescent="0.35">
      <c r="A325" s="218" t="str">
        <f>Scenario_Analysis!A259</f>
        <v>2bb3e85f2a403543fdb64e266e70c792</v>
      </c>
      <c r="B325" t="str">
        <f>Scenario_Analysis!B259</f>
        <v>toys</v>
      </c>
      <c r="C325" s="9">
        <f>Scenario_Analysis!D259</f>
        <v>0.32767983458482958</v>
      </c>
      <c r="D325" s="11" t="str">
        <f>Scenario_Analysis!E259</f>
        <v>SCALE</v>
      </c>
      <c r="E325" s="5">
        <f>Scenario_Analysis!G259</f>
        <v>0.28567979830957291</v>
      </c>
      <c r="F325" s="11" t="str">
        <f>Scenario_Analysis!I259</f>
        <v>SCALE</v>
      </c>
      <c r="G325" s="9">
        <f>Scenario_Analysis!K259</f>
        <v>0.32663510719338323</v>
      </c>
      <c r="H325" s="11" t="str">
        <f>Scenario_Analysis!M259</f>
        <v>SCALE</v>
      </c>
      <c r="I325" s="9">
        <f>Scenario_Analysis!O259</f>
        <v>0.29229456272087323</v>
      </c>
      <c r="J325" s="11" t="str">
        <f>Scenario_Analysis!Q259</f>
        <v>SCALE</v>
      </c>
      <c r="K325" s="53" t="str">
        <f>Scenario_Analysis!R259</f>
        <v>Stable</v>
      </c>
    </row>
    <row r="326" spans="1:11" x14ac:dyDescent="0.35">
      <c r="A326" s="218" t="str">
        <f>Scenario_Analysis!A261</f>
        <v>73bcea88583002fe12b7399af4ae60da</v>
      </c>
      <c r="B326" t="str">
        <f>Scenario_Analysis!B261</f>
        <v>watches_gifts</v>
      </c>
      <c r="C326" s="9">
        <f>Scenario_Analysis!D261</f>
        <v>0.42145611983830988</v>
      </c>
      <c r="D326" s="11" t="str">
        <f>Scenario_Analysis!E261</f>
        <v>SCALE</v>
      </c>
      <c r="E326" s="5">
        <f>Scenario_Analysis!G261</f>
        <v>0.37945615984260117</v>
      </c>
      <c r="F326" s="11" t="str">
        <f>Scenario_Analysis!I261</f>
        <v>SCALE</v>
      </c>
      <c r="G326" s="9">
        <f>Scenario_Analysis!K261</f>
        <v>0.41877219556279666</v>
      </c>
      <c r="H326" s="11" t="str">
        <f>Scenario_Analysis!M261</f>
        <v>SCALE</v>
      </c>
      <c r="I326" s="9">
        <f>Scenario_Analysis!O261</f>
        <v>0.39100644193506301</v>
      </c>
      <c r="J326" s="11" t="str">
        <f>Scenario_Analysis!Q261</f>
        <v>SCALE</v>
      </c>
      <c r="K326" s="53" t="str">
        <f>Scenario_Analysis!R261</f>
        <v>Stable</v>
      </c>
    </row>
    <row r="327" spans="1:11" x14ac:dyDescent="0.35">
      <c r="A327" s="218" t="str">
        <f>Scenario_Analysis!A263</f>
        <v>bdb0b11a36aed4d0d862a7037c838560</v>
      </c>
      <c r="B327" t="str">
        <f>Scenario_Analysis!B263</f>
        <v>telephony</v>
      </c>
      <c r="C327" s="9">
        <f>Scenario_Analysis!D263</f>
        <v>0.39145950864422197</v>
      </c>
      <c r="D327" s="11" t="str">
        <f>Scenario_Analysis!E263</f>
        <v>SCALE</v>
      </c>
      <c r="E327" s="5">
        <f>Scenario_Analysis!G263</f>
        <v>0.33445950864422197</v>
      </c>
      <c r="F327" s="11" t="str">
        <f>Scenario_Analysis!I263</f>
        <v>SCALE</v>
      </c>
      <c r="G327" s="9">
        <f>Scenario_Analysis!K263</f>
        <v>0.39064058234758864</v>
      </c>
      <c r="H327" s="11" t="str">
        <f>Scenario_Analysis!M263</f>
        <v>SCALE</v>
      </c>
      <c r="I327" s="9">
        <f>Scenario_Analysis!O263</f>
        <v>0.35943106173076</v>
      </c>
      <c r="J327" s="11" t="str">
        <f>Scenario_Analysis!Q263</f>
        <v>SCALE</v>
      </c>
      <c r="K327" s="53" t="str">
        <f>Scenario_Analysis!R263</f>
        <v>Stable</v>
      </c>
    </row>
    <row r="328" spans="1:11" x14ac:dyDescent="0.35">
      <c r="A328" s="218" t="str">
        <f>Scenario_Analysis!A264</f>
        <v>eba7488e1c67729f045ab43fac426f2e</v>
      </c>
      <c r="B328" t="str">
        <f>Scenario_Analysis!B264</f>
        <v>perfumery</v>
      </c>
      <c r="C328" s="9">
        <f>Scenario_Analysis!D264</f>
        <v>0.47386374061909381</v>
      </c>
      <c r="D328" s="11" t="str">
        <f>Scenario_Analysis!E264</f>
        <v>SCALE</v>
      </c>
      <c r="E328" s="5">
        <f>Scenario_Analysis!G264</f>
        <v>0.43186370392117279</v>
      </c>
      <c r="F328" s="11" t="str">
        <f>Scenario_Analysis!I264</f>
        <v>SCALE</v>
      </c>
      <c r="G328" s="9">
        <f>Scenario_Analysis!K264</f>
        <v>0.47221233417126912</v>
      </c>
      <c r="H328" s="11" t="str">
        <f>Scenario_Analysis!M264</f>
        <v>SCALE</v>
      </c>
      <c r="I328" s="9">
        <f>Scenario_Analysis!O264</f>
        <v>0.44617235854641457</v>
      </c>
      <c r="J328" s="11" t="str">
        <f>Scenario_Analysis!Q264</f>
        <v>SCALE</v>
      </c>
      <c r="K328" s="53" t="str">
        <f>Scenario_Analysis!R264</f>
        <v>Stable</v>
      </c>
    </row>
    <row r="329" spans="1:11" x14ac:dyDescent="0.35">
      <c r="A329" s="218" t="str">
        <f>Scenario_Analysis!A267</f>
        <v>638bbb2a5e4f360b71f332ddfebfd672</v>
      </c>
      <c r="B329" t="str">
        <f>Scenario_Analysis!B267</f>
        <v>construction_tools_construction</v>
      </c>
      <c r="C329" s="9">
        <f>Scenario_Analysis!D267</f>
        <v>0.47097850259451457</v>
      </c>
      <c r="D329" s="11" t="str">
        <f>Scenario_Analysis!E267</f>
        <v>SCALE</v>
      </c>
      <c r="E329" s="5">
        <f>Scenario_Analysis!G267</f>
        <v>0.42597850259451453</v>
      </c>
      <c r="F329" s="11" t="str">
        <f>Scenario_Analysis!I267</f>
        <v>SCALE</v>
      </c>
      <c r="G329" s="9">
        <f>Scenario_Analysis!K267</f>
        <v>0.47071163825055595</v>
      </c>
      <c r="H329" s="11" t="str">
        <f>Scenario_Analysis!M267</f>
        <v>SCALE</v>
      </c>
      <c r="I329" s="9">
        <f>Scenario_Analysis!O267</f>
        <v>0.44313526588896268</v>
      </c>
      <c r="J329" s="11" t="str">
        <f>Scenario_Analysis!Q267</f>
        <v>SCALE</v>
      </c>
      <c r="K329" s="53" t="str">
        <f>Scenario_Analysis!R267</f>
        <v>Stable</v>
      </c>
    </row>
    <row r="330" spans="1:11" x14ac:dyDescent="0.35">
      <c r="A330" s="218" t="str">
        <f>Scenario_Analysis!A269</f>
        <v>1d16c0509e7011656e03c6a582ff6667</v>
      </c>
      <c r="B330" t="str">
        <f>Scenario_Analysis!B269</f>
        <v>health_beauty</v>
      </c>
      <c r="C330" s="9">
        <f>Scenario_Analysis!D269</f>
        <v>0.35645488721804502</v>
      </c>
      <c r="D330" s="11" t="str">
        <f>Scenario_Analysis!E269</f>
        <v>SCALE</v>
      </c>
      <c r="E330" s="5">
        <f>Scenario_Analysis!G269</f>
        <v>0.31445488721804499</v>
      </c>
      <c r="F330" s="11" t="str">
        <f>Scenario_Analysis!I269</f>
        <v>SCALE</v>
      </c>
      <c r="G330" s="9">
        <f>Scenario_Analysis!K269</f>
        <v>0.35598120300751879</v>
      </c>
      <c r="H330" s="11" t="str">
        <f>Scenario_Analysis!M269</f>
        <v>SCALE</v>
      </c>
      <c r="I330" s="9">
        <f>Scenario_Analysis!O269</f>
        <v>0.32258409180846842</v>
      </c>
      <c r="J330" s="11" t="str">
        <f>Scenario_Analysis!Q269</f>
        <v>SCALE</v>
      </c>
      <c r="K330" s="53" t="str">
        <f>Scenario_Analysis!R269</f>
        <v>Stable</v>
      </c>
    </row>
    <row r="331" spans="1:11" x14ac:dyDescent="0.35">
      <c r="A331" s="218" t="str">
        <f>Scenario_Analysis!A270</f>
        <v>51ce083cd2b9078656a94655ab45b8a4</v>
      </c>
      <c r="B331" t="str">
        <f>Scenario_Analysis!B270</f>
        <v>bed_bath_table</v>
      </c>
      <c r="C331" s="9">
        <f>Scenario_Analysis!D270</f>
        <v>0.40913980516793924</v>
      </c>
      <c r="D331" s="11" t="str">
        <f>Scenario_Analysis!E270</f>
        <v>SCALE</v>
      </c>
      <c r="E331" s="5">
        <f>Scenario_Analysis!G270</f>
        <v>0.36413980516793915</v>
      </c>
      <c r="F331" s="11" t="str">
        <f>Scenario_Analysis!I270</f>
        <v>SCALE</v>
      </c>
      <c r="G331" s="9">
        <f>Scenario_Analysis!K270</f>
        <v>0.40737954639485452</v>
      </c>
      <c r="H331" s="11" t="str">
        <f>Scenario_Analysis!M270</f>
        <v>SCALE</v>
      </c>
      <c r="I331" s="9">
        <f>Scenario_Analysis!O270</f>
        <v>0.37804190017677813</v>
      </c>
      <c r="J331" s="11" t="str">
        <f>Scenario_Analysis!Q270</f>
        <v>SCALE</v>
      </c>
      <c r="K331" s="53" t="str">
        <f>Scenario_Analysis!R270</f>
        <v>Stable</v>
      </c>
    </row>
    <row r="332" spans="1:11" x14ac:dyDescent="0.35">
      <c r="A332" s="218" t="str">
        <f>Scenario_Analysis!A271</f>
        <v>9da950e8c8c482441f1b93955b21c827</v>
      </c>
      <c r="B332" t="str">
        <f>Scenario_Analysis!B271</f>
        <v>cool_stuff</v>
      </c>
      <c r="C332" s="9">
        <f>Scenario_Analysis!D271</f>
        <v>0.41882160886432435</v>
      </c>
      <c r="D332" s="11" t="str">
        <f>Scenario_Analysis!E271</f>
        <v>SCALE</v>
      </c>
      <c r="E332" s="5">
        <f>Scenario_Analysis!G271</f>
        <v>0.37382155231240777</v>
      </c>
      <c r="F332" s="11" t="str">
        <f>Scenario_Analysis!I271</f>
        <v>SCALE</v>
      </c>
      <c r="G332" s="9">
        <f>Scenario_Analysis!K271</f>
        <v>0.41712505136799077</v>
      </c>
      <c r="H332" s="11" t="str">
        <f>Scenario_Analysis!M271</f>
        <v>SCALE</v>
      </c>
      <c r="I332" s="9">
        <f>Scenario_Analysis!O271</f>
        <v>0.38823327248876244</v>
      </c>
      <c r="J332" s="11" t="str">
        <f>Scenario_Analysis!Q271</f>
        <v>SCALE</v>
      </c>
      <c r="K332" s="53" t="str">
        <f>Scenario_Analysis!R271</f>
        <v>Stable</v>
      </c>
    </row>
    <row r="333" spans="1:11" x14ac:dyDescent="0.35">
      <c r="A333" s="218" t="str">
        <f>Scenario_Analysis!A275</f>
        <v>97c948ebc8c04b26b7bbb095d4228f2a</v>
      </c>
      <c r="B333" t="str">
        <f>Scenario_Analysis!B275</f>
        <v>health_beauty</v>
      </c>
      <c r="C333" s="9">
        <f>Scenario_Analysis!D275</f>
        <v>0.33997523809523805</v>
      </c>
      <c r="D333" s="11" t="str">
        <f>Scenario_Analysis!E275</f>
        <v>SCALE</v>
      </c>
      <c r="E333" s="5">
        <f>Scenario_Analysis!G275</f>
        <v>0.29797523809523807</v>
      </c>
      <c r="F333" s="11" t="str">
        <f>Scenario_Analysis!I275</f>
        <v>SCALE</v>
      </c>
      <c r="G333" s="9">
        <f>Scenario_Analysis!K275</f>
        <v>0.33963238095238091</v>
      </c>
      <c r="H333" s="11" t="str">
        <f>Scenario_Analysis!M275</f>
        <v>SCALE</v>
      </c>
      <c r="I333" s="9">
        <f>Scenario_Analysis!O275</f>
        <v>0.30523709273182953</v>
      </c>
      <c r="J333" s="11" t="str">
        <f>Scenario_Analysis!Q275</f>
        <v>SCALE</v>
      </c>
      <c r="K333" s="53" t="str">
        <f>Scenario_Analysis!R275</f>
        <v>Stable</v>
      </c>
    </row>
    <row r="334" spans="1:11" x14ac:dyDescent="0.35">
      <c r="A334" s="218" t="str">
        <f>Scenario_Analysis!A277</f>
        <v>817e1c2d22418c36386406ccacfa53e8</v>
      </c>
      <c r="B334" t="str">
        <f>Scenario_Analysis!B277</f>
        <v>furniture_decor</v>
      </c>
      <c r="C334" s="9">
        <f>Scenario_Analysis!D277</f>
        <v>0.2733753340969835</v>
      </c>
      <c r="D334" s="11" t="str">
        <f>Scenario_Analysis!E277</f>
        <v>SCALE</v>
      </c>
      <c r="E334" s="5">
        <f>Scenario_Analysis!G277</f>
        <v>0.22837533409698349</v>
      </c>
      <c r="F334" s="11" t="str">
        <f>Scenario_Analysis!I277</f>
        <v>OPTIMIZE</v>
      </c>
      <c r="G334" s="9">
        <f>Scenario_Analysis!K277</f>
        <v>0.27117602138220698</v>
      </c>
      <c r="H334" s="11" t="str">
        <f>Scenario_Analysis!M277</f>
        <v>SCALE</v>
      </c>
      <c r="I334" s="9">
        <f>Scenario_Analysis!O277</f>
        <v>0.2351319306284036</v>
      </c>
      <c r="J334" s="11" t="str">
        <f>Scenario_Analysis!Q277</f>
        <v>OPTIMIZE</v>
      </c>
      <c r="K334" s="53" t="str">
        <f>Scenario_Analysis!R277</f>
        <v>Decision changes</v>
      </c>
    </row>
    <row r="335" spans="1:11" x14ac:dyDescent="0.35">
      <c r="A335" s="218" t="str">
        <f>Scenario_Analysis!A280</f>
        <v>450c25d98ed6923154a934554475bf13</v>
      </c>
      <c r="B335" t="str">
        <f>Scenario_Analysis!B280</f>
        <v>health_beauty</v>
      </c>
      <c r="C335" s="9">
        <f>Scenario_Analysis!D280</f>
        <v>0.2955234239444765</v>
      </c>
      <c r="D335" s="11" t="str">
        <f>Scenario_Analysis!E280</f>
        <v>SCALE</v>
      </c>
      <c r="E335" s="5">
        <f>Scenario_Analysis!G280</f>
        <v>0.25352342394447647</v>
      </c>
      <c r="F335" s="11" t="str">
        <f>Scenario_Analysis!I280</f>
        <v>SCALE</v>
      </c>
      <c r="G335" s="9">
        <f>Scenario_Analysis!K280</f>
        <v>0.29462116830537888</v>
      </c>
      <c r="H335" s="11" t="str">
        <f>Scenario_Analysis!M280</f>
        <v>SCALE</v>
      </c>
      <c r="I335" s="9">
        <f>Scenario_Analysis!O280</f>
        <v>0.25844570941523837</v>
      </c>
      <c r="J335" s="11" t="str">
        <f>Scenario_Analysis!Q280</f>
        <v>SCALE</v>
      </c>
      <c r="K335" s="53" t="str">
        <f>Scenario_Analysis!R280</f>
        <v>Stable</v>
      </c>
    </row>
    <row r="336" spans="1:11" x14ac:dyDescent="0.35">
      <c r="A336" s="218" t="str">
        <f>Scenario_Analysis!A281</f>
        <v>698b3ddae2f0b80c2a48fb40624ca4e4</v>
      </c>
      <c r="B336" t="str">
        <f>Scenario_Analysis!B281</f>
        <v>furniture_decor</v>
      </c>
      <c r="C336" s="9">
        <f>Scenario_Analysis!D281</f>
        <v>0.3006482106684672</v>
      </c>
      <c r="D336" s="11" t="str">
        <f>Scenario_Analysis!E281</f>
        <v>SCALE</v>
      </c>
      <c r="E336" s="5">
        <f>Scenario_Analysis!G281</f>
        <v>0.25564811420854622</v>
      </c>
      <c r="F336" s="11" t="str">
        <f>Scenario_Analysis!I281</f>
        <v>SCALE</v>
      </c>
      <c r="G336" s="9">
        <f>Scenario_Analysis!K281</f>
        <v>0.29918973666441595</v>
      </c>
      <c r="H336" s="11" t="str">
        <f>Scenario_Analysis!M281</f>
        <v>SCALE</v>
      </c>
      <c r="I336" s="9">
        <f>Scenario_Analysis!O281</f>
        <v>0.26384022175628119</v>
      </c>
      <c r="J336" s="11" t="str">
        <f>Scenario_Analysis!Q281</f>
        <v>SCALE</v>
      </c>
      <c r="K336" s="53" t="str">
        <f>Scenario_Analysis!R281</f>
        <v>Stable</v>
      </c>
    </row>
    <row r="337" spans="1:11" x14ac:dyDescent="0.35">
      <c r="A337" s="218" t="str">
        <f>Scenario_Analysis!A282</f>
        <v>10717ff440b2320081989126e858b220</v>
      </c>
      <c r="B337" t="str">
        <f>Scenario_Analysis!B282</f>
        <v>bed_bath_table</v>
      </c>
      <c r="C337" s="9">
        <f>Scenario_Analysis!D282</f>
        <v>0.37360725450979632</v>
      </c>
      <c r="D337" s="11" t="str">
        <f>Scenario_Analysis!E282</f>
        <v>SCALE</v>
      </c>
      <c r="E337" s="5">
        <f>Scenario_Analysis!G282</f>
        <v>0.32860715742053243</v>
      </c>
      <c r="F337" s="11" t="str">
        <f>Scenario_Analysis!I282</f>
        <v>SCALE</v>
      </c>
      <c r="G337" s="9">
        <f>Scenario_Analysis!K282</f>
        <v>0.37102079652032066</v>
      </c>
      <c r="H337" s="11" t="str">
        <f>Scenario_Analysis!M282</f>
        <v>SCALE</v>
      </c>
      <c r="I337" s="9">
        <f>Scenario_Analysis!O282</f>
        <v>0.34063921527346985</v>
      </c>
      <c r="J337" s="11" t="str">
        <f>Scenario_Analysis!Q282</f>
        <v>SCALE</v>
      </c>
      <c r="K337" s="53" t="str">
        <f>Scenario_Analysis!R282</f>
        <v>Stable</v>
      </c>
    </row>
    <row r="338" spans="1:11" x14ac:dyDescent="0.35">
      <c r="A338" s="218" t="str">
        <f>Scenario_Analysis!A284</f>
        <v>55782cb82e0efe052da0a3da237da3b2</v>
      </c>
      <c r="B338" t="str">
        <f>Scenario_Analysis!B284</f>
        <v>auto</v>
      </c>
      <c r="C338" s="9">
        <f>Scenario_Analysis!D284</f>
        <v>0.35433948296351142</v>
      </c>
      <c r="D338" s="11" t="str">
        <f>Scenario_Analysis!E284</f>
        <v>SCALE</v>
      </c>
      <c r="E338" s="5">
        <f>Scenario_Analysis!G284</f>
        <v>0.30933938555648638</v>
      </c>
      <c r="F338" s="11" t="str">
        <f>Scenario_Analysis!I284</f>
        <v>SCALE</v>
      </c>
      <c r="G338" s="9">
        <f>Scenario_Analysis!K284</f>
        <v>0.35230562428162315</v>
      </c>
      <c r="H338" s="11" t="str">
        <f>Scenario_Analysis!M284</f>
        <v>SCALE</v>
      </c>
      <c r="I338" s="9">
        <f>Scenario_Analysis!O284</f>
        <v>0.32035735048790664</v>
      </c>
      <c r="J338" s="11" t="str">
        <f>Scenario_Analysis!Q284</f>
        <v>SCALE</v>
      </c>
      <c r="K338" s="53" t="str">
        <f>Scenario_Analysis!R284</f>
        <v>Stable</v>
      </c>
    </row>
    <row r="339" spans="1:11" x14ac:dyDescent="0.35">
      <c r="A339" s="218" t="str">
        <f>Scenario_Analysis!A285</f>
        <v>b38b25d838ae0b8385e8cc68b9017644</v>
      </c>
      <c r="B339" t="str">
        <f>Scenario_Analysis!B285</f>
        <v>health_beauty</v>
      </c>
      <c r="C339" s="9">
        <f>Scenario_Analysis!D285</f>
        <v>0.44753753168258914</v>
      </c>
      <c r="D339" s="11" t="str">
        <f>Scenario_Analysis!E285</f>
        <v>SCALE</v>
      </c>
      <c r="E339" s="5">
        <f>Scenario_Analysis!G285</f>
        <v>0.4055375316825891</v>
      </c>
      <c r="F339" s="11" t="str">
        <f>Scenario_Analysis!I285</f>
        <v>SCALE</v>
      </c>
      <c r="G339" s="9">
        <f>Scenario_Analysis!K285</f>
        <v>0.44529147982062783</v>
      </c>
      <c r="H339" s="11" t="str">
        <f>Scenario_Analysis!M285</f>
        <v>SCALE</v>
      </c>
      <c r="I339" s="9">
        <f>Scenario_Analysis!O285</f>
        <v>0.4184605596658833</v>
      </c>
      <c r="J339" s="11" t="str">
        <f>Scenario_Analysis!Q285</f>
        <v>SCALE</v>
      </c>
      <c r="K339" s="53" t="str">
        <f>Scenario_Analysis!R285</f>
        <v>Stable</v>
      </c>
    </row>
    <row r="340" spans="1:11" x14ac:dyDescent="0.35">
      <c r="A340" s="218" t="str">
        <f>Scenario_Analysis!A287</f>
        <v>fb8c11da2e1b1634e879d1c3c6762dc2</v>
      </c>
      <c r="B340" t="str">
        <f>Scenario_Analysis!B287</f>
        <v>computers</v>
      </c>
      <c r="C340" s="9">
        <f>Scenario_Analysis!D287</f>
        <v>0.3780784313725491</v>
      </c>
      <c r="D340" s="11" t="str">
        <f>Scenario_Analysis!E287</f>
        <v>SCALE</v>
      </c>
      <c r="E340" s="5">
        <f>Scenario_Analysis!G287</f>
        <v>0.32107843137254904</v>
      </c>
      <c r="F340" s="11" t="str">
        <f>Scenario_Analysis!I287</f>
        <v>SCALE</v>
      </c>
      <c r="G340" s="9">
        <f>Scenario_Analysis!K287</f>
        <v>0.37701960784313721</v>
      </c>
      <c r="H340" s="11" t="str">
        <f>Scenario_Analysis!M287</f>
        <v>SCALE</v>
      </c>
      <c r="I340" s="9">
        <f>Scenario_Analysis!O287</f>
        <v>0.34534571723426216</v>
      </c>
      <c r="J340" s="11" t="str">
        <f>Scenario_Analysis!Q287</f>
        <v>SCALE</v>
      </c>
      <c r="K340" s="53" t="str">
        <f>Scenario_Analysis!R287</f>
        <v>Stable</v>
      </c>
    </row>
    <row r="341" spans="1:11" x14ac:dyDescent="0.35">
      <c r="A341" s="218" t="str">
        <f>Scenario_Analysis!A289</f>
        <v>1491a8ff192d4b5c369b0eaa2fe33ee5</v>
      </c>
      <c r="B341" t="str">
        <f>Scenario_Analysis!B289</f>
        <v>bed_bath_table</v>
      </c>
      <c r="C341" s="9">
        <f>Scenario_Analysis!D289</f>
        <v>0.39300232430658832</v>
      </c>
      <c r="D341" s="11" t="str">
        <f>Scenario_Analysis!E289</f>
        <v>SCALE</v>
      </c>
      <c r="E341" s="5">
        <f>Scenario_Analysis!G289</f>
        <v>0.3480023341303693</v>
      </c>
      <c r="F341" s="11" t="str">
        <f>Scenario_Analysis!I289</f>
        <v>SCALE</v>
      </c>
      <c r="G341" s="9">
        <f>Scenario_Analysis!K289</f>
        <v>0.39123404372368442</v>
      </c>
      <c r="H341" s="11" t="str">
        <f>Scenario_Analysis!M289</f>
        <v>SCALE</v>
      </c>
      <c r="I341" s="9">
        <f>Scenario_Analysis!O289</f>
        <v>0.3610550782174613</v>
      </c>
      <c r="J341" s="11" t="str">
        <f>Scenario_Analysis!Q289</f>
        <v>SCALE</v>
      </c>
      <c r="K341" s="53" t="str">
        <f>Scenario_Analysis!R289</f>
        <v>Stable</v>
      </c>
    </row>
    <row r="342" spans="1:11" x14ac:dyDescent="0.35">
      <c r="A342" s="218" t="str">
        <f>Scenario_Analysis!A292</f>
        <v>6c34d241bbd85d693f1fee6a4b8a8e2b</v>
      </c>
      <c r="B342" t="str">
        <f>Scenario_Analysis!B292</f>
        <v>small_appliances</v>
      </c>
      <c r="C342" s="9">
        <f>Scenario_Analysis!D292</f>
        <v>0.35681477093206954</v>
      </c>
      <c r="D342" s="11" t="str">
        <f>Scenario_Analysis!E292</f>
        <v>SCALE</v>
      </c>
      <c r="E342" s="5">
        <f>Scenario_Analysis!G292</f>
        <v>0.29981477093206949</v>
      </c>
      <c r="F342" s="11" t="str">
        <f>Scenario_Analysis!I292</f>
        <v>SCALE</v>
      </c>
      <c r="G342" s="9">
        <f>Scenario_Analysis!K292</f>
        <v>0.35638823064770936</v>
      </c>
      <c r="H342" s="11" t="str">
        <f>Scenario_Analysis!M292</f>
        <v>SCALE</v>
      </c>
      <c r="I342" s="9">
        <f>Scenario_Analysis!O292</f>
        <v>0.32296291677059952</v>
      </c>
      <c r="J342" s="11" t="str">
        <f>Scenario_Analysis!Q292</f>
        <v>SCALE</v>
      </c>
      <c r="K342" s="53" t="str">
        <f>Scenario_Analysis!R292</f>
        <v>Stable</v>
      </c>
    </row>
    <row r="343" spans="1:11" x14ac:dyDescent="0.35">
      <c r="A343" s="218" t="str">
        <f>Scenario_Analysis!A293</f>
        <v>af751fe756699bddfce4fdd67242fc2a</v>
      </c>
      <c r="B343" t="str">
        <f>Scenario_Analysis!B293</f>
        <v>computers_accessories</v>
      </c>
      <c r="C343" s="9">
        <f>Scenario_Analysis!D293</f>
        <v>0.3772083333333332</v>
      </c>
      <c r="D343" s="11" t="str">
        <f>Scenario_Analysis!E293</f>
        <v>SCALE</v>
      </c>
      <c r="E343" s="5">
        <f>Scenario_Analysis!G293</f>
        <v>0.32020833333333321</v>
      </c>
      <c r="F343" s="11" t="str">
        <f>Scenario_Analysis!I293</f>
        <v>SCALE</v>
      </c>
      <c r="G343" s="9">
        <f>Scenario_Analysis!K293</f>
        <v>0.37649404761904759</v>
      </c>
      <c r="H343" s="11" t="str">
        <f>Scenario_Analysis!M293</f>
        <v>SCALE</v>
      </c>
      <c r="I343" s="9">
        <f>Scenario_Analysis!O293</f>
        <v>0.34442982456140336</v>
      </c>
      <c r="J343" s="11" t="str">
        <f>Scenario_Analysis!Q293</f>
        <v>SCALE</v>
      </c>
      <c r="K343" s="53" t="str">
        <f>Scenario_Analysis!R293</f>
        <v>Stable</v>
      </c>
    </row>
    <row r="344" spans="1:11" x14ac:dyDescent="0.35">
      <c r="A344" s="218" t="str">
        <f>Scenario_Analysis!A294</f>
        <v>79366d6a24de9351b7ca6e3cf75a68ec</v>
      </c>
      <c r="B344" t="str">
        <f>Scenario_Analysis!B294</f>
        <v>small_appliances</v>
      </c>
      <c r="C344" s="9">
        <f>Scenario_Analysis!D294</f>
        <v>0.27849342367477081</v>
      </c>
      <c r="D344" s="11" t="str">
        <f>Scenario_Analysis!E294</f>
        <v>SCALE</v>
      </c>
      <c r="E344" s="5">
        <f>Scenario_Analysis!G294</f>
        <v>0.22149342367477076</v>
      </c>
      <c r="F344" s="11" t="str">
        <f>Scenario_Analysis!I294</f>
        <v>OPTIMIZE</v>
      </c>
      <c r="G344" s="9">
        <f>Scenario_Analysis!K294</f>
        <v>0.27662813870067743</v>
      </c>
      <c r="H344" s="11" t="str">
        <f>Scenario_Analysis!M294</f>
        <v>SCALE</v>
      </c>
      <c r="I344" s="9">
        <f>Scenario_Analysis!O294</f>
        <v>0.24051939334186395</v>
      </c>
      <c r="J344" s="11" t="str">
        <f>Scenario_Analysis!Q294</f>
        <v>OPTIMIZE</v>
      </c>
      <c r="K344" s="53" t="str">
        <f>Scenario_Analysis!R294</f>
        <v>Decision changes</v>
      </c>
    </row>
    <row r="345" spans="1:11" x14ac:dyDescent="0.35">
      <c r="A345" s="218" t="str">
        <f>Scenario_Analysis!A298</f>
        <v>8b502ca34e28d30605bc667b965b6abf</v>
      </c>
      <c r="B345" t="str">
        <f>Scenario_Analysis!B298</f>
        <v>watches_gifts</v>
      </c>
      <c r="C345" s="9">
        <f>Scenario_Analysis!D298</f>
        <v>0.56890115825481591</v>
      </c>
      <c r="D345" s="11" t="str">
        <f>Scenario_Analysis!E298</f>
        <v>SCALE</v>
      </c>
      <c r="E345" s="5">
        <f>Scenario_Analysis!G298</f>
        <v>0.52690111824601393</v>
      </c>
      <c r="F345" s="11" t="str">
        <f>Scenario_Analysis!I298</f>
        <v>SCALE</v>
      </c>
      <c r="G345" s="9">
        <f>Scenario_Analysis!K298</f>
        <v>0.56875712656784494</v>
      </c>
      <c r="H345" s="11" t="str">
        <f>Scenario_Analysis!M298</f>
        <v>SCALE</v>
      </c>
      <c r="I345" s="9">
        <f>Scenario_Analysis!O298</f>
        <v>0.54621174553138518</v>
      </c>
      <c r="J345" s="11" t="str">
        <f>Scenario_Analysis!Q298</f>
        <v>SCALE</v>
      </c>
      <c r="K345" s="53" t="str">
        <f>Scenario_Analysis!R298</f>
        <v>Stable</v>
      </c>
    </row>
    <row r="346" spans="1:11" x14ac:dyDescent="0.35">
      <c r="A346" s="218" t="str">
        <f>Scenario_Analysis!A299</f>
        <v>5ca5d42f98d39aa421923c2fde2c1558</v>
      </c>
      <c r="B346" t="str">
        <f>Scenario_Analysis!B299</f>
        <v>small_appliances</v>
      </c>
      <c r="C346" s="9">
        <f>Scenario_Analysis!D299</f>
        <v>0.37778957915831657</v>
      </c>
      <c r="D346" s="11" t="str">
        <f>Scenario_Analysis!E299</f>
        <v>SCALE</v>
      </c>
      <c r="E346" s="5">
        <f>Scenario_Analysis!G299</f>
        <v>0.32078957915831652</v>
      </c>
      <c r="F346" s="11" t="str">
        <f>Scenario_Analysis!I299</f>
        <v>SCALE</v>
      </c>
      <c r="G346" s="9">
        <f>Scenario_Analysis!K299</f>
        <v>0.37742885771543072</v>
      </c>
      <c r="H346" s="11" t="str">
        <f>Scenario_Analysis!M299</f>
        <v>SCALE</v>
      </c>
      <c r="I346" s="9">
        <f>Scenario_Analysis!O299</f>
        <v>0.34504166227191219</v>
      </c>
      <c r="J346" s="11" t="str">
        <f>Scenario_Analysis!Q299</f>
        <v>SCALE</v>
      </c>
      <c r="K346" s="53" t="str">
        <f>Scenario_Analysis!R299</f>
        <v>Stable</v>
      </c>
    </row>
    <row r="347" spans="1:11" x14ac:dyDescent="0.35">
      <c r="A347" s="218" t="str">
        <f>Scenario_Analysis!A300</f>
        <v>35537536ed2b4c561b4018bf3abf54e0</v>
      </c>
      <c r="B347" t="str">
        <f>Scenario_Analysis!B300</f>
        <v>sports_leisure</v>
      </c>
      <c r="C347" s="9">
        <f>Scenario_Analysis!D300</f>
        <v>0.50288329979879265</v>
      </c>
      <c r="D347" s="11" t="str">
        <f>Scenario_Analysis!E300</f>
        <v>SCALE</v>
      </c>
      <c r="E347" s="5">
        <f>Scenario_Analysis!G300</f>
        <v>0.46088329979879261</v>
      </c>
      <c r="F347" s="11" t="str">
        <f>Scenario_Analysis!I300</f>
        <v>SCALE</v>
      </c>
      <c r="G347" s="9">
        <f>Scenario_Analysis!K300</f>
        <v>0.50194164989939638</v>
      </c>
      <c r="H347" s="11" t="str">
        <f>Scenario_Analysis!M300</f>
        <v>SCALE</v>
      </c>
      <c r="I347" s="9">
        <f>Scenario_Analysis!O300</f>
        <v>0.47671926294609751</v>
      </c>
      <c r="J347" s="11" t="str">
        <f>Scenario_Analysis!Q300</f>
        <v>SCALE</v>
      </c>
      <c r="K347" s="53" t="str">
        <f>Scenario_Analysis!R300</f>
        <v>Stable</v>
      </c>
    </row>
    <row r="348" spans="1:11" x14ac:dyDescent="0.35">
      <c r="A348" s="218" t="str">
        <f>Scenario_Analysis!A301</f>
        <v>43cc8e4d981bc04b9d78b12e8a908d41</v>
      </c>
      <c r="B348" t="str">
        <f>Scenario_Analysis!B301</f>
        <v>health_beauty</v>
      </c>
      <c r="C348" s="9">
        <f>Scenario_Analysis!D301</f>
        <v>0.51532258064516134</v>
      </c>
      <c r="D348" s="11" t="str">
        <f>Scenario_Analysis!E301</f>
        <v>SCALE</v>
      </c>
      <c r="E348" s="5">
        <f>Scenario_Analysis!G301</f>
        <v>0.47332258064516136</v>
      </c>
      <c r="F348" s="11" t="str">
        <f>Scenario_Analysis!I301</f>
        <v>SCALE</v>
      </c>
      <c r="G348" s="9">
        <f>Scenario_Analysis!K301</f>
        <v>0.51503225806451614</v>
      </c>
      <c r="H348" s="11" t="str">
        <f>Scenario_Analysis!M301</f>
        <v>SCALE</v>
      </c>
      <c r="I348" s="9">
        <f>Scenario_Analysis!O301</f>
        <v>0.48981324278438038</v>
      </c>
      <c r="J348" s="11" t="str">
        <f>Scenario_Analysis!Q301</f>
        <v>SCALE</v>
      </c>
      <c r="K348" s="53" t="str">
        <f>Scenario_Analysis!R301</f>
        <v>Stable</v>
      </c>
    </row>
    <row r="349" spans="1:11" x14ac:dyDescent="0.35">
      <c r="A349" s="218" t="str">
        <f>Scenario_Analysis!A304</f>
        <v>06f0e85c7892d5df893f332706340af1</v>
      </c>
      <c r="B349" t="str">
        <f>Scenario_Analysis!B304</f>
        <v>stationery</v>
      </c>
      <c r="C349" s="9">
        <f>Scenario_Analysis!D304</f>
        <v>0.35771851551409456</v>
      </c>
      <c r="D349" s="11" t="str">
        <f>Scenario_Analysis!E304</f>
        <v>SCALE</v>
      </c>
      <c r="E349" s="5">
        <f>Scenario_Analysis!G304</f>
        <v>0.31771851551409452</v>
      </c>
      <c r="F349" s="11" t="str">
        <f>Scenario_Analysis!I304</f>
        <v>SCALE</v>
      </c>
      <c r="G349" s="9">
        <f>Scenario_Analysis!K304</f>
        <v>0.35713039951328324</v>
      </c>
      <c r="H349" s="11" t="str">
        <f>Scenario_Analysis!M304</f>
        <v>SCALE</v>
      </c>
      <c r="I349" s="9">
        <f>Scenario_Analysis!O304</f>
        <v>0.3239142268569416</v>
      </c>
      <c r="J349" s="11" t="str">
        <f>Scenario_Analysis!Q304</f>
        <v>SCALE</v>
      </c>
      <c r="K349" s="53" t="str">
        <f>Scenario_Analysis!R304</f>
        <v>Stable</v>
      </c>
    </row>
    <row r="350" spans="1:11" x14ac:dyDescent="0.35">
      <c r="A350" s="218" t="str">
        <f>Scenario_Analysis!A306</f>
        <v>2cfd372900c7c65e4c4ed2ccf7a1cfd4</v>
      </c>
      <c r="B350" t="str">
        <f>Scenario_Analysis!B306</f>
        <v>watches_gifts</v>
      </c>
      <c r="C350" s="9">
        <f>Scenario_Analysis!D306</f>
        <v>0.53237521217233985</v>
      </c>
      <c r="D350" s="11" t="str">
        <f>Scenario_Analysis!E306</f>
        <v>SCALE</v>
      </c>
      <c r="E350" s="5">
        <f>Scenario_Analysis!G306</f>
        <v>0.4903751511886732</v>
      </c>
      <c r="F350" s="11" t="str">
        <f>Scenario_Analysis!I306</f>
        <v>SCALE</v>
      </c>
      <c r="G350" s="9">
        <f>Scenario_Analysis!K306</f>
        <v>0.53178976897354324</v>
      </c>
      <c r="H350" s="11" t="str">
        <f>Scenario_Analysis!M306</f>
        <v>SCALE</v>
      </c>
      <c r="I350" s="9">
        <f>Scenario_Analysis!O306</f>
        <v>0.50776338123404186</v>
      </c>
      <c r="J350" s="11" t="str">
        <f>Scenario_Analysis!Q306</f>
        <v>SCALE</v>
      </c>
      <c r="K350" s="53" t="str">
        <f>Scenario_Analysis!R306</f>
        <v>Stable</v>
      </c>
    </row>
    <row r="351" spans="1:11" x14ac:dyDescent="0.35">
      <c r="A351" s="218" t="str">
        <f>Scenario_Analysis!A308</f>
        <v>bce474cc95b6e77657e10939b0b4248c</v>
      </c>
      <c r="B351" t="str">
        <f>Scenario_Analysis!B308</f>
        <v>watches_gifts</v>
      </c>
      <c r="C351" s="9">
        <f>Scenario_Analysis!D308</f>
        <v>0.45849491430731054</v>
      </c>
      <c r="D351" s="11" t="str">
        <f>Scenario_Analysis!E308</f>
        <v>SCALE</v>
      </c>
      <c r="E351" s="5">
        <f>Scenario_Analysis!G308</f>
        <v>0.41649481571552988</v>
      </c>
      <c r="F351" s="11" t="str">
        <f>Scenario_Analysis!I308</f>
        <v>SCALE</v>
      </c>
      <c r="G351" s="9">
        <f>Scenario_Analysis!K308</f>
        <v>0.4564244869119411</v>
      </c>
      <c r="H351" s="11" t="str">
        <f>Scenario_Analysis!M308</f>
        <v>SCALE</v>
      </c>
      <c r="I351" s="9">
        <f>Scenario_Analysis!O308</f>
        <v>0.42999464663927434</v>
      </c>
      <c r="J351" s="11" t="str">
        <f>Scenario_Analysis!Q308</f>
        <v>SCALE</v>
      </c>
      <c r="K351" s="53" t="str">
        <f>Scenario_Analysis!R308</f>
        <v>Stable</v>
      </c>
    </row>
    <row r="352" spans="1:11" x14ac:dyDescent="0.35">
      <c r="A352" s="218" t="str">
        <f>Scenario_Analysis!A309</f>
        <v>dfb97c88e066dc22165f31648efe1312</v>
      </c>
      <c r="B352" t="str">
        <f>Scenario_Analysis!B309</f>
        <v>auto</v>
      </c>
      <c r="C352" s="9">
        <f>Scenario_Analysis!D309</f>
        <v>0.31542034943473785</v>
      </c>
      <c r="D352" s="11" t="str">
        <f>Scenario_Analysis!E309</f>
        <v>SCALE</v>
      </c>
      <c r="E352" s="5">
        <f>Scenario_Analysis!G309</f>
        <v>0.27042034943473781</v>
      </c>
      <c r="F352" s="11" t="str">
        <f>Scenario_Analysis!I309</f>
        <v>SCALE</v>
      </c>
      <c r="G352" s="9">
        <f>Scenario_Analysis!K309</f>
        <v>0.31283042137718398</v>
      </c>
      <c r="H352" s="11" t="str">
        <f>Scenario_Analysis!M309</f>
        <v>SCALE</v>
      </c>
      <c r="I352" s="9">
        <f>Scenario_Analysis!O309</f>
        <v>0.27938984151025037</v>
      </c>
      <c r="J352" s="11" t="str">
        <f>Scenario_Analysis!Q309</f>
        <v>SCALE</v>
      </c>
      <c r="K352" s="53" t="str">
        <f>Scenario_Analysis!R309</f>
        <v>Stable</v>
      </c>
    </row>
    <row r="353" spans="1:11" x14ac:dyDescent="0.35">
      <c r="A353" s="218" t="str">
        <f>Scenario_Analysis!A311</f>
        <v>830345ab5d2e365c7c6b91459119ea2d</v>
      </c>
      <c r="B353" t="str">
        <f>Scenario_Analysis!B311</f>
        <v>health_beauty</v>
      </c>
      <c r="C353" s="9">
        <f>Scenario_Analysis!D311</f>
        <v>0.47259308831231461</v>
      </c>
      <c r="D353" s="11" t="str">
        <f>Scenario_Analysis!E311</f>
        <v>SCALE</v>
      </c>
      <c r="E353" s="5">
        <f>Scenario_Analysis!G311</f>
        <v>0.43059298855256928</v>
      </c>
      <c r="F353" s="11" t="str">
        <f>Scenario_Analysis!I311</f>
        <v>SCALE</v>
      </c>
      <c r="G353" s="9">
        <f>Scenario_Analysis!K311</f>
        <v>0.47177007041375363</v>
      </c>
      <c r="H353" s="11" t="str">
        <f>Scenario_Analysis!M311</f>
        <v>SCALE</v>
      </c>
      <c r="I353" s="9">
        <f>Scenario_Analysis!O311</f>
        <v>0.44483482980243638</v>
      </c>
      <c r="J353" s="11" t="str">
        <f>Scenario_Analysis!Q311</f>
        <v>SCALE</v>
      </c>
      <c r="K353" s="53" t="str">
        <f>Scenario_Analysis!R311</f>
        <v>Stable</v>
      </c>
    </row>
    <row r="354" spans="1:11" x14ac:dyDescent="0.35">
      <c r="A354" s="218" t="str">
        <f>Scenario_Analysis!A314</f>
        <v>a6492cc69376c469ab6f61d8f44de961</v>
      </c>
      <c r="B354" t="str">
        <f>Scenario_Analysis!B314</f>
        <v>small_appliances</v>
      </c>
      <c r="C354" s="9">
        <f>Scenario_Analysis!D314</f>
        <v>0.39656595123984173</v>
      </c>
      <c r="D354" s="11" t="str">
        <f>Scenario_Analysis!E314</f>
        <v>SCALE</v>
      </c>
      <c r="E354" s="5">
        <f>Scenario_Analysis!G314</f>
        <v>0.33956595123984173</v>
      </c>
      <c r="F354" s="11" t="str">
        <f>Scenario_Analysis!I314</f>
        <v>SCALE</v>
      </c>
      <c r="G354" s="9">
        <f>Scenario_Analysis!K314</f>
        <v>0.39649093561158577</v>
      </c>
      <c r="H354" s="11" t="str">
        <f>Scenario_Analysis!M314</f>
        <v>SCALE</v>
      </c>
      <c r="I354" s="9">
        <f>Scenario_Analysis!O314</f>
        <v>0.36480626446299136</v>
      </c>
      <c r="J354" s="11" t="str">
        <f>Scenario_Analysis!Q314</f>
        <v>SCALE</v>
      </c>
      <c r="K354" s="53" t="str">
        <f>Scenario_Analysis!R314</f>
        <v>Stable</v>
      </c>
    </row>
    <row r="355" spans="1:11" x14ac:dyDescent="0.35">
      <c r="A355" s="218" t="str">
        <f>Scenario_Analysis!A318</f>
        <v>1e5428c428e0f783acd6e3d94ba4ee2a</v>
      </c>
      <c r="B355" t="str">
        <f>Scenario_Analysis!B318</f>
        <v>computers</v>
      </c>
      <c r="C355" s="9">
        <f>Scenario_Analysis!D318</f>
        <v>0.32708889816360603</v>
      </c>
      <c r="D355" s="11" t="str">
        <f>Scenario_Analysis!E318</f>
        <v>SCALE</v>
      </c>
      <c r="E355" s="5">
        <f>Scenario_Analysis!G318</f>
        <v>0.27008889816360598</v>
      </c>
      <c r="F355" s="11" t="str">
        <f>Scenario_Analysis!I318</f>
        <v>SCALE</v>
      </c>
      <c r="G355" s="9">
        <f>Scenario_Analysis!K318</f>
        <v>0.32558639398998335</v>
      </c>
      <c r="H355" s="11" t="str">
        <f>Scenario_Analysis!M318</f>
        <v>SCALE</v>
      </c>
      <c r="I355" s="9">
        <f>Scenario_Analysis!O318</f>
        <v>0.2916725243827431</v>
      </c>
      <c r="J355" s="11" t="str">
        <f>Scenario_Analysis!Q318</f>
        <v>SCALE</v>
      </c>
      <c r="K355" s="53" t="str">
        <f>Scenario_Analysis!R318</f>
        <v>Stable</v>
      </c>
    </row>
    <row r="356" spans="1:11" x14ac:dyDescent="0.35">
      <c r="A356" s="218" t="str">
        <f>Scenario_Analysis!A323</f>
        <v>011ae9863bd5b15e528a16dd8ceb4772</v>
      </c>
      <c r="B356" t="str">
        <f>Scenario_Analysis!B323</f>
        <v>toys</v>
      </c>
      <c r="C356" s="9">
        <f>Scenario_Analysis!D323</f>
        <v>0.52985703156254604</v>
      </c>
      <c r="D356" s="11" t="str">
        <f>Scenario_Analysis!E323</f>
        <v>SCALE</v>
      </c>
      <c r="E356" s="5">
        <f>Scenario_Analysis!G323</f>
        <v>0.48785694733960788</v>
      </c>
      <c r="F356" s="11" t="str">
        <f>Scenario_Analysis!I323</f>
        <v>SCALE</v>
      </c>
      <c r="G356" s="9">
        <f>Scenario_Analysis!K323</f>
        <v>0.52932642705240773</v>
      </c>
      <c r="H356" s="11" t="str">
        <f>Scenario_Analysis!M323</f>
        <v>SCALE</v>
      </c>
      <c r="I356" s="9">
        <f>Scenario_Analysis!O323</f>
        <v>0.50511266480268002</v>
      </c>
      <c r="J356" s="11" t="str">
        <f>Scenario_Analysis!Q323</f>
        <v>SCALE</v>
      </c>
      <c r="K356" s="53" t="str">
        <f>Scenario_Analysis!R323</f>
        <v>Stable</v>
      </c>
    </row>
    <row r="357" spans="1:11" x14ac:dyDescent="0.35">
      <c r="A357" s="218" t="str">
        <f>Scenario_Analysis!A326</f>
        <v>5b3b5f9ae84ca9ead3138b199420cc94</v>
      </c>
      <c r="B357" t="str">
        <f>Scenario_Analysis!B326</f>
        <v>toys</v>
      </c>
      <c r="C357" s="9">
        <f>Scenario_Analysis!D326</f>
        <v>0.39910613573967274</v>
      </c>
      <c r="D357" s="11" t="str">
        <f>Scenario_Analysis!E326</f>
        <v>SCALE</v>
      </c>
      <c r="E357" s="5">
        <f>Scenario_Analysis!G326</f>
        <v>0.35710622086960225</v>
      </c>
      <c r="F357" s="11" t="str">
        <f>Scenario_Analysis!I326</f>
        <v>SCALE</v>
      </c>
      <c r="G357" s="9">
        <f>Scenario_Analysis!K326</f>
        <v>0.39650115989529028</v>
      </c>
      <c r="H357" s="11" t="str">
        <f>Scenario_Analysis!M326</f>
        <v>SCALE</v>
      </c>
      <c r="I357" s="9">
        <f>Scenario_Analysis!O326</f>
        <v>0.36748014288386599</v>
      </c>
      <c r="J357" s="11" t="str">
        <f>Scenario_Analysis!Q326</f>
        <v>SCALE</v>
      </c>
      <c r="K357" s="53" t="str">
        <f>Scenario_Analysis!R326</f>
        <v>Stable</v>
      </c>
    </row>
    <row r="358" spans="1:11" x14ac:dyDescent="0.35">
      <c r="A358" s="218" t="str">
        <f>Scenario_Analysis!A327</f>
        <v>e6d3e381889aa6e9d222ad50cb30ac43</v>
      </c>
      <c r="B358" t="str">
        <f>Scenario_Analysis!B327</f>
        <v>watches_gifts</v>
      </c>
      <c r="C358" s="9">
        <f>Scenario_Analysis!D327</f>
        <v>0.4689682494041571</v>
      </c>
      <c r="D358" s="11" t="str">
        <f>Scenario_Analysis!E327</f>
        <v>SCALE</v>
      </c>
      <c r="E358" s="5">
        <f>Scenario_Analysis!G327</f>
        <v>0.42696830478186493</v>
      </c>
      <c r="F358" s="11" t="str">
        <f>Scenario_Analysis!I327</f>
        <v>SCALE</v>
      </c>
      <c r="G358" s="9">
        <f>Scenario_Analysis!K327</f>
        <v>0.46735803605088794</v>
      </c>
      <c r="H358" s="11" t="str">
        <f>Scenario_Analysis!M327</f>
        <v>SCALE</v>
      </c>
      <c r="I358" s="9">
        <f>Scenario_Analysis!O327</f>
        <v>0.4410192098991127</v>
      </c>
      <c r="J358" s="11" t="str">
        <f>Scenario_Analysis!Q327</f>
        <v>SCALE</v>
      </c>
      <c r="K358" s="53" t="str">
        <f>Scenario_Analysis!R327</f>
        <v>Stable</v>
      </c>
    </row>
    <row r="359" spans="1:11" x14ac:dyDescent="0.35">
      <c r="A359" s="218" t="str">
        <f>Scenario_Analysis!A328</f>
        <v>c3ed642d592594bb648ff4a04cee2747</v>
      </c>
      <c r="B359" t="str">
        <f>Scenario_Analysis!B328</f>
        <v>small_appliances</v>
      </c>
      <c r="C359" s="9">
        <f>Scenario_Analysis!D328</f>
        <v>0.41220682302771861</v>
      </c>
      <c r="D359" s="11" t="str">
        <f>Scenario_Analysis!E328</f>
        <v>SCALE</v>
      </c>
      <c r="E359" s="5">
        <f>Scenario_Analysis!G328</f>
        <v>0.3552068230277185</v>
      </c>
      <c r="F359" s="11" t="str">
        <f>Scenario_Analysis!I328</f>
        <v>SCALE</v>
      </c>
      <c r="G359" s="9">
        <f>Scenario_Analysis!K328</f>
        <v>0.41213006396588481</v>
      </c>
      <c r="H359" s="11" t="str">
        <f>Scenario_Analysis!M328</f>
        <v>SCALE</v>
      </c>
      <c r="I359" s="9">
        <f>Scenario_Analysis!O328</f>
        <v>0.38127034002917748</v>
      </c>
      <c r="J359" s="11" t="str">
        <f>Scenario_Analysis!Q328</f>
        <v>SCALE</v>
      </c>
      <c r="K359" s="53" t="str">
        <f>Scenario_Analysis!R328</f>
        <v>Stable</v>
      </c>
    </row>
    <row r="360" spans="1:11" x14ac:dyDescent="0.35">
      <c r="A360" s="218" t="str">
        <f>Scenario_Analysis!A329</f>
        <v>310b40ec41fbfc061e5309006482e68a</v>
      </c>
      <c r="B360" t="str">
        <f>Scenario_Analysis!B329</f>
        <v>books_general_interest</v>
      </c>
      <c r="C360" s="9">
        <f>Scenario_Analysis!D329</f>
        <v>0.55260664518469527</v>
      </c>
      <c r="D360" s="11" t="str">
        <f>Scenario_Analysis!E329</f>
        <v>SCALE</v>
      </c>
      <c r="E360" s="5">
        <f>Scenario_Analysis!G329</f>
        <v>0.51260664518469523</v>
      </c>
      <c r="F360" s="11" t="str">
        <f>Scenario_Analysis!I329</f>
        <v>SCALE</v>
      </c>
      <c r="G360" s="9">
        <f>Scenario_Analysis!K329</f>
        <v>0.55241458782356323</v>
      </c>
      <c r="H360" s="11" t="str">
        <f>Scenario_Analysis!M329</f>
        <v>SCALE</v>
      </c>
      <c r="I360" s="9">
        <f>Scenario_Analysis!O329</f>
        <v>0.52905962651020555</v>
      </c>
      <c r="J360" s="11" t="str">
        <f>Scenario_Analysis!Q329</f>
        <v>SCALE</v>
      </c>
      <c r="K360" s="53" t="str">
        <f>Scenario_Analysis!R329</f>
        <v>Stable</v>
      </c>
    </row>
    <row r="361" spans="1:11" x14ac:dyDescent="0.35">
      <c r="A361" s="218" t="str">
        <f>Scenario_Analysis!A330</f>
        <v>3efd399c5d016b9e6a5ad3196eade44f</v>
      </c>
      <c r="B361" t="str">
        <f>Scenario_Analysis!B330</f>
        <v>baby</v>
      </c>
      <c r="C361" s="9">
        <f>Scenario_Analysis!D330</f>
        <v>0.47048046124279302</v>
      </c>
      <c r="D361" s="11" t="str">
        <f>Scenario_Analysis!E330</f>
        <v>SCALE</v>
      </c>
      <c r="E361" s="5">
        <f>Scenario_Analysis!G330</f>
        <v>0.42848046124279293</v>
      </c>
      <c r="F361" s="11" t="str">
        <f>Scenario_Analysis!I330</f>
        <v>SCALE</v>
      </c>
      <c r="G361" s="9">
        <f>Scenario_Analysis!K330</f>
        <v>0.46886611146700841</v>
      </c>
      <c r="H361" s="11" t="str">
        <f>Scenario_Analysis!M330</f>
        <v>SCALE</v>
      </c>
      <c r="I361" s="9">
        <f>Scenario_Analysis!O330</f>
        <v>0.44261101183451895</v>
      </c>
      <c r="J361" s="11" t="str">
        <f>Scenario_Analysis!Q330</f>
        <v>SCALE</v>
      </c>
      <c r="K361" s="53" t="str">
        <f>Scenario_Analysis!R330</f>
        <v>Stable</v>
      </c>
    </row>
    <row r="362" spans="1:11" x14ac:dyDescent="0.35">
      <c r="A362" s="218" t="str">
        <f>Scenario_Analysis!A332</f>
        <v>d982791b03ad95faaa03fc746ad04672</v>
      </c>
      <c r="B362" t="str">
        <f>Scenario_Analysis!B332</f>
        <v>computers_accessories</v>
      </c>
      <c r="C362" s="9">
        <f>Scenario_Analysis!D332</f>
        <v>0.38347710383934963</v>
      </c>
      <c r="D362" s="11" t="str">
        <f>Scenario_Analysis!E332</f>
        <v>SCALE</v>
      </c>
      <c r="E362" s="5">
        <f>Scenario_Analysis!G332</f>
        <v>0.32647713178377885</v>
      </c>
      <c r="F362" s="11" t="str">
        <f>Scenario_Analysis!I332</f>
        <v>SCALE</v>
      </c>
      <c r="G362" s="9">
        <f>Scenario_Analysis!K332</f>
        <v>0.38250979667203344</v>
      </c>
      <c r="H362" s="11" t="str">
        <f>Scenario_Analysis!M332</f>
        <v>SCALE</v>
      </c>
      <c r="I362" s="9">
        <f>Scenario_Analysis!O332</f>
        <v>0.3510285303572101</v>
      </c>
      <c r="J362" s="11" t="str">
        <f>Scenario_Analysis!Q332</f>
        <v>SCALE</v>
      </c>
      <c r="K362" s="53" t="str">
        <f>Scenario_Analysis!R332</f>
        <v>Stable</v>
      </c>
    </row>
    <row r="363" spans="1:11" x14ac:dyDescent="0.35">
      <c r="A363" s="218" t="str">
        <f>Scenario_Analysis!A334</f>
        <v>31b8e7c2a22f3dba5183cc110bdd72f7</v>
      </c>
      <c r="B363" t="str">
        <f>Scenario_Analysis!B334</f>
        <v>electronics</v>
      </c>
      <c r="C363" s="9">
        <f>Scenario_Analysis!D334</f>
        <v>0.28993779949585763</v>
      </c>
      <c r="D363" s="11" t="str">
        <f>Scenario_Analysis!E334</f>
        <v>SCALE</v>
      </c>
      <c r="E363" s="5">
        <f>Scenario_Analysis!G334</f>
        <v>0.23293787692387097</v>
      </c>
      <c r="F363" s="11" t="str">
        <f>Scenario_Analysis!I334</f>
        <v>OPTIMIZE</v>
      </c>
      <c r="G363" s="9">
        <f>Scenario_Analysis!K334</f>
        <v>0.28548568872217972</v>
      </c>
      <c r="H363" s="11" t="str">
        <f>Scenario_Analysis!M334</f>
        <v>SCALE</v>
      </c>
      <c r="I363" s="9">
        <f>Scenario_Analysis!O334</f>
        <v>0.25256610473248164</v>
      </c>
      <c r="J363" s="11" t="str">
        <f>Scenario_Analysis!Q334</f>
        <v>SCALE</v>
      </c>
      <c r="K363" s="53" t="str">
        <f>Scenario_Analysis!R334</f>
        <v>Decision changes</v>
      </c>
    </row>
    <row r="364" spans="1:11" x14ac:dyDescent="0.35">
      <c r="A364" s="218" t="str">
        <f>Scenario_Analysis!A335</f>
        <v>177d3d5bb9d4d29222a222e3b3554f41</v>
      </c>
      <c r="B364" t="str">
        <f>Scenario_Analysis!B335</f>
        <v>stationery</v>
      </c>
      <c r="C364" s="9">
        <f>Scenario_Analysis!D335</f>
        <v>0.33503055866402681</v>
      </c>
      <c r="D364" s="11" t="str">
        <f>Scenario_Analysis!E335</f>
        <v>SCALE</v>
      </c>
      <c r="E364" s="5">
        <f>Scenario_Analysis!G335</f>
        <v>0.29503055866402689</v>
      </c>
      <c r="F364" s="11" t="str">
        <f>Scenario_Analysis!I335</f>
        <v>SCALE</v>
      </c>
      <c r="G364" s="9">
        <f>Scenario_Analysis!K335</f>
        <v>0.33416975122665055</v>
      </c>
      <c r="H364" s="11" t="str">
        <f>Scenario_Analysis!M335</f>
        <v>SCALE</v>
      </c>
      <c r="I364" s="9">
        <f>Scenario_Analysis!O335</f>
        <v>0.30003216701476504</v>
      </c>
      <c r="J364" s="11" t="str">
        <f>Scenario_Analysis!Q335</f>
        <v>SCALE</v>
      </c>
      <c r="K364" s="53" t="str">
        <f>Scenario_Analysis!R335</f>
        <v>Stable</v>
      </c>
    </row>
    <row r="365" spans="1:11" x14ac:dyDescent="0.35">
      <c r="A365" s="218" t="str">
        <f>Scenario_Analysis!A337</f>
        <v>a319b66ab6cabbb2810942860c1c8a3c</v>
      </c>
      <c r="B365" t="str">
        <f>Scenario_Analysis!B337</f>
        <v>construction_tools_construction</v>
      </c>
      <c r="C365" s="9">
        <f>Scenario_Analysis!D337</f>
        <v>0.52901739130434777</v>
      </c>
      <c r="D365" s="11" t="str">
        <f>Scenario_Analysis!E337</f>
        <v>SCALE</v>
      </c>
      <c r="E365" s="5">
        <f>Scenario_Analysis!G337</f>
        <v>0.48401739130434773</v>
      </c>
      <c r="F365" s="11" t="str">
        <f>Scenario_Analysis!I337</f>
        <v>SCALE</v>
      </c>
      <c r="G365" s="9">
        <f>Scenario_Analysis!K337</f>
        <v>0.52886086956521738</v>
      </c>
      <c r="H365" s="11" t="str">
        <f>Scenario_Analysis!M337</f>
        <v>SCALE</v>
      </c>
      <c r="I365" s="9">
        <f>Scenario_Analysis!O337</f>
        <v>0.50422883295194498</v>
      </c>
      <c r="J365" s="11" t="str">
        <f>Scenario_Analysis!Q337</f>
        <v>SCALE</v>
      </c>
      <c r="K365" s="53" t="str">
        <f>Scenario_Analysis!R337</f>
        <v>Stable</v>
      </c>
    </row>
    <row r="366" spans="1:11" x14ac:dyDescent="0.35">
      <c r="A366" s="218" t="str">
        <f>Scenario_Analysis!A339</f>
        <v>259037a6a41845e455183f89c5035f18</v>
      </c>
      <c r="B366" t="str">
        <f>Scenario_Analysis!B339</f>
        <v>computers</v>
      </c>
      <c r="C366" s="9">
        <f>Scenario_Analysis!D339</f>
        <v>0.4071394335511983</v>
      </c>
      <c r="D366" s="11" t="str">
        <f>Scenario_Analysis!E339</f>
        <v>SCALE</v>
      </c>
      <c r="E366" s="5">
        <f>Scenario_Analysis!G339</f>
        <v>0.35013943355119825</v>
      </c>
      <c r="F366" s="11" t="str">
        <f>Scenario_Analysis!I339</f>
        <v>SCALE</v>
      </c>
      <c r="G366" s="9">
        <f>Scenario_Analysis!K339</f>
        <v>0.40694335511982566</v>
      </c>
      <c r="H366" s="11" t="str">
        <f>Scenario_Analysis!M339</f>
        <v>SCALE</v>
      </c>
      <c r="I366" s="9">
        <f>Scenario_Analysis!O339</f>
        <v>0.37593624584336666</v>
      </c>
      <c r="J366" s="11" t="str">
        <f>Scenario_Analysis!Q339</f>
        <v>SCALE</v>
      </c>
      <c r="K366" s="53" t="str">
        <f>Scenario_Analysis!R339</f>
        <v>Stable</v>
      </c>
    </row>
    <row r="367" spans="1:11" x14ac:dyDescent="0.35">
      <c r="A367" s="218" t="str">
        <f>Scenario_Analysis!A343</f>
        <v>b2e22c958b453a43a650a579dcac2e43</v>
      </c>
      <c r="B367" t="str">
        <f>Scenario_Analysis!B343</f>
        <v>watches_gifts</v>
      </c>
      <c r="C367" s="9">
        <f>Scenario_Analysis!D343</f>
        <v>0.5281801280545757</v>
      </c>
      <c r="D367" s="11" t="str">
        <f>Scenario_Analysis!E343</f>
        <v>SCALE</v>
      </c>
      <c r="E367" s="5">
        <f>Scenario_Analysis!G343</f>
        <v>0.48618002708593527</v>
      </c>
      <c r="F367" s="11" t="str">
        <f>Scenario_Analysis!I343</f>
        <v>SCALE</v>
      </c>
      <c r="G367" s="9">
        <f>Scenario_Analysis!K343</f>
        <v>0.52723190082245519</v>
      </c>
      <c r="H367" s="11" t="str">
        <f>Scenario_Analysis!M343</f>
        <v>SCALE</v>
      </c>
      <c r="I367" s="9">
        <f>Scenario_Analysis!O343</f>
        <v>0.50334750321534283</v>
      </c>
      <c r="J367" s="11" t="str">
        <f>Scenario_Analysis!Q343</f>
        <v>SCALE</v>
      </c>
      <c r="K367" s="53" t="str">
        <f>Scenario_Analysis!R343</f>
        <v>Stable</v>
      </c>
    </row>
    <row r="368" spans="1:11" x14ac:dyDescent="0.35">
      <c r="A368" s="218" t="str">
        <f>Scenario_Analysis!A344</f>
        <v>64cc57332d82d99ae365b4f5f1048bd0</v>
      </c>
      <c r="B368" t="str">
        <f>Scenario_Analysis!B344</f>
        <v>health_beauty</v>
      </c>
      <c r="C368" s="9">
        <f>Scenario_Analysis!D344</f>
        <v>0.5399220508316408</v>
      </c>
      <c r="D368" s="11" t="str">
        <f>Scenario_Analysis!E344</f>
        <v>SCALE</v>
      </c>
      <c r="E368" s="5">
        <f>Scenario_Analysis!G344</f>
        <v>0.49792194104407972</v>
      </c>
      <c r="F368" s="11" t="str">
        <f>Scenario_Analysis!I344</f>
        <v>SCALE</v>
      </c>
      <c r="G368" s="9">
        <f>Scenario_Analysis!K344</f>
        <v>0.53952681561179117</v>
      </c>
      <c r="H368" s="11" t="str">
        <f>Scenario_Analysis!M344</f>
        <v>SCALE</v>
      </c>
      <c r="I368" s="9">
        <f>Scenario_Analysis!O344</f>
        <v>0.51570742192804286</v>
      </c>
      <c r="J368" s="11" t="str">
        <f>Scenario_Analysis!Q344</f>
        <v>SCALE</v>
      </c>
      <c r="K368" s="53" t="str">
        <f>Scenario_Analysis!R344</f>
        <v>Stable</v>
      </c>
    </row>
    <row r="369" spans="1:11" x14ac:dyDescent="0.35">
      <c r="A369" s="218" t="str">
        <f>Scenario_Analysis!A345</f>
        <v>5f19455f0c3902e89f16a6042bd4221d</v>
      </c>
      <c r="B369" t="str">
        <f>Scenario_Analysis!B345</f>
        <v>health_beauty</v>
      </c>
      <c r="C369" s="9">
        <f>Scenario_Analysis!D345</f>
        <v>0.50450767713762501</v>
      </c>
      <c r="D369" s="11" t="str">
        <f>Scenario_Analysis!E345</f>
        <v>SCALE</v>
      </c>
      <c r="E369" s="5">
        <f>Scenario_Analysis!G345</f>
        <v>0.46250770354979559</v>
      </c>
      <c r="F369" s="11" t="str">
        <f>Scenario_Analysis!I345</f>
        <v>SCALE</v>
      </c>
      <c r="G369" s="9">
        <f>Scenario_Analysis!K345</f>
        <v>0.50363607550359202</v>
      </c>
      <c r="H369" s="11" t="str">
        <f>Scenario_Analysis!M345</f>
        <v>SCALE</v>
      </c>
      <c r="I369" s="9">
        <f>Scenario_Analysis!O345</f>
        <v>0.47842913382907892</v>
      </c>
      <c r="J369" s="11" t="str">
        <f>Scenario_Analysis!Q345</f>
        <v>SCALE</v>
      </c>
      <c r="K369" s="53" t="str">
        <f>Scenario_Analysis!R345</f>
        <v>Stable</v>
      </c>
    </row>
    <row r="370" spans="1:11" x14ac:dyDescent="0.35">
      <c r="A370" s="218" t="str">
        <f>Scenario_Analysis!A348</f>
        <v>06fb87866499b0e65992b2d88aca8282</v>
      </c>
      <c r="B370" t="str">
        <f>Scenario_Analysis!B348</f>
        <v>watches_gifts</v>
      </c>
      <c r="C370" s="9">
        <f>Scenario_Analysis!D348</f>
        <v>0.55076307007786429</v>
      </c>
      <c r="D370" s="11" t="str">
        <f>Scenario_Analysis!E348</f>
        <v>SCALE</v>
      </c>
      <c r="E370" s="5">
        <f>Scenario_Analysis!G348</f>
        <v>0.50876307007786425</v>
      </c>
      <c r="F370" s="11" t="str">
        <f>Scenario_Analysis!I348</f>
        <v>SCALE</v>
      </c>
      <c r="G370" s="9">
        <f>Scenario_Analysis!K348</f>
        <v>0.55036262513904333</v>
      </c>
      <c r="H370" s="11" t="str">
        <f>Scenario_Analysis!M348</f>
        <v>SCALE</v>
      </c>
      <c r="I370" s="9">
        <f>Scenario_Analysis!O348</f>
        <v>0.52711902113459397</v>
      </c>
      <c r="J370" s="11" t="str">
        <f>Scenario_Analysis!Q348</f>
        <v>SCALE</v>
      </c>
      <c r="K370" s="53" t="str">
        <f>Scenario_Analysis!R348</f>
        <v>Stable</v>
      </c>
    </row>
    <row r="371" spans="1:11" x14ac:dyDescent="0.35">
      <c r="A371" s="218" t="str">
        <f>Scenario_Analysis!A349</f>
        <v>f6a84928571f68635beb0f5c9333c6f3</v>
      </c>
      <c r="B371" t="str">
        <f>Scenario_Analysis!B349</f>
        <v>sports_leisure</v>
      </c>
      <c r="C371" s="9">
        <f>Scenario_Analysis!D349</f>
        <v>0.38875417130144602</v>
      </c>
      <c r="D371" s="11" t="str">
        <f>Scenario_Analysis!E349</f>
        <v>SCALE</v>
      </c>
      <c r="E371" s="5">
        <f>Scenario_Analysis!G349</f>
        <v>0.34675417130144603</v>
      </c>
      <c r="F371" s="11" t="str">
        <f>Scenario_Analysis!I349</f>
        <v>SCALE</v>
      </c>
      <c r="G371" s="9">
        <f>Scenario_Analysis!K349</f>
        <v>0.38835372636262505</v>
      </c>
      <c r="H371" s="11" t="str">
        <f>Scenario_Analysis!M349</f>
        <v>SCALE</v>
      </c>
      <c r="I371" s="9">
        <f>Scenario_Analysis!O349</f>
        <v>0.35658333821204841</v>
      </c>
      <c r="J371" s="11" t="str">
        <f>Scenario_Analysis!Q349</f>
        <v>SCALE</v>
      </c>
      <c r="K371" s="53" t="str">
        <f>Scenario_Analysis!R349</f>
        <v>Stable</v>
      </c>
    </row>
    <row r="372" spans="1:11" x14ac:dyDescent="0.35">
      <c r="A372" s="218" t="str">
        <f>Scenario_Analysis!A351</f>
        <v>ba74c6b75d2ad7503175809688d5a03c</v>
      </c>
      <c r="B372" t="str">
        <f>Scenario_Analysis!B351</f>
        <v>watches_gifts</v>
      </c>
      <c r="C372" s="9">
        <f>Scenario_Analysis!D351</f>
        <v>0.44600011140199414</v>
      </c>
      <c r="D372" s="11" t="str">
        <f>Scenario_Analysis!E351</f>
        <v>SCALE</v>
      </c>
      <c r="E372" s="5">
        <f>Scenario_Analysis!G351</f>
        <v>0.40399999999999991</v>
      </c>
      <c r="F372" s="11" t="str">
        <f>Scenario_Analysis!I351</f>
        <v>SCALE</v>
      </c>
      <c r="G372" s="9">
        <f>Scenario_Analysis!K351</f>
        <v>0.44399487550827166</v>
      </c>
      <c r="H372" s="11" t="str">
        <f>Scenario_Analysis!M351</f>
        <v>SCALE</v>
      </c>
      <c r="I372" s="9">
        <f>Scenario_Analysis!O351</f>
        <v>0.41684222252841485</v>
      </c>
      <c r="J372" s="11" t="str">
        <f>Scenario_Analysis!Q351</f>
        <v>SCALE</v>
      </c>
      <c r="K372" s="53" t="str">
        <f>Scenario_Analysis!R351</f>
        <v>Stable</v>
      </c>
    </row>
    <row r="373" spans="1:11" x14ac:dyDescent="0.35">
      <c r="A373" s="218" t="str">
        <f>Scenario_Analysis!A352</f>
        <v>bef6177f54efb9a6218e124b629fc152</v>
      </c>
      <c r="B373" t="str">
        <f>Scenario_Analysis!B352</f>
        <v>perfumery</v>
      </c>
      <c r="C373" s="9">
        <f>Scenario_Analysis!D352</f>
        <v>0.5116113950419644</v>
      </c>
      <c r="D373" s="11" t="str">
        <f>Scenario_Analysis!E352</f>
        <v>SCALE</v>
      </c>
      <c r="E373" s="5">
        <f>Scenario_Analysis!G352</f>
        <v>0.46961143523139054</v>
      </c>
      <c r="F373" s="11" t="str">
        <f>Scenario_Analysis!I352</f>
        <v>SCALE</v>
      </c>
      <c r="G373" s="9">
        <f>Scenario_Analysis!K352</f>
        <v>0.51056646996175314</v>
      </c>
      <c r="H373" s="11" t="str">
        <f>Scenario_Analysis!M352</f>
        <v>SCALE</v>
      </c>
      <c r="I373" s="9">
        <f>Scenario_Analysis!O352</f>
        <v>0.48590673162312037</v>
      </c>
      <c r="J373" s="11" t="str">
        <f>Scenario_Analysis!Q352</f>
        <v>SCALE</v>
      </c>
      <c r="K373" s="53" t="str">
        <f>Scenario_Analysis!R352</f>
        <v>Stable</v>
      </c>
    </row>
    <row r="374" spans="1:11" x14ac:dyDescent="0.35">
      <c r="A374" s="218" t="str">
        <f>Scenario_Analysis!A354</f>
        <v>73326828aa5efe1ba096223de496f596</v>
      </c>
      <c r="B374" t="str">
        <f>Scenario_Analysis!B354</f>
        <v>food</v>
      </c>
      <c r="C374" s="9">
        <f>Scenario_Analysis!D354</f>
        <v>0.30280967133077197</v>
      </c>
      <c r="D374" s="11" t="str">
        <f>Scenario_Analysis!E354</f>
        <v>SCALE</v>
      </c>
      <c r="E374" s="5">
        <f>Scenario_Analysis!G354</f>
        <v>0.25780964891437391</v>
      </c>
      <c r="F374" s="11" t="str">
        <f>Scenario_Analysis!I354</f>
        <v>SCALE</v>
      </c>
      <c r="G374" s="9">
        <f>Scenario_Analysis!K354</f>
        <v>0.30159918583642303</v>
      </c>
      <c r="H374" s="11" t="str">
        <f>Scenario_Analysis!M354</f>
        <v>SCALE</v>
      </c>
      <c r="I374" s="9">
        <f>Scenario_Analysis!O354</f>
        <v>0.26611544350607574</v>
      </c>
      <c r="J374" s="11" t="str">
        <f>Scenario_Analysis!Q354</f>
        <v>SCALE</v>
      </c>
      <c r="K374" s="53" t="str">
        <f>Scenario_Analysis!R354</f>
        <v>Stable</v>
      </c>
    </row>
    <row r="375" spans="1:11" x14ac:dyDescent="0.35">
      <c r="A375" s="218" t="str">
        <f>Scenario_Analysis!A356</f>
        <v>a1beef8f3992dbd4cd8726796aa69c53</v>
      </c>
      <c r="B375" t="str">
        <f>Scenario_Analysis!B356</f>
        <v>musical_instruments</v>
      </c>
      <c r="C375" s="9">
        <f>Scenario_Analysis!D356</f>
        <v>0.57220326964205759</v>
      </c>
      <c r="D375" s="11" t="str">
        <f>Scenario_Analysis!E356</f>
        <v>SCALE</v>
      </c>
      <c r="E375" s="5">
        <f>Scenario_Analysis!G356</f>
        <v>0.53220322418616905</v>
      </c>
      <c r="F375" s="11" t="str">
        <f>Scenario_Analysis!I356</f>
        <v>SCALE</v>
      </c>
      <c r="G375" s="9">
        <f>Scenario_Analysis!K356</f>
        <v>0.57218054169782295</v>
      </c>
      <c r="H375" s="11" t="str">
        <f>Scenario_Analysis!M356</f>
        <v>SCALE</v>
      </c>
      <c r="I375" s="9">
        <f>Scenario_Analysis!O356</f>
        <v>0.54968765225479743</v>
      </c>
      <c r="J375" s="11" t="str">
        <f>Scenario_Analysis!Q356</f>
        <v>SCALE</v>
      </c>
      <c r="K375" s="53" t="str">
        <f>Scenario_Analysis!R356</f>
        <v>Stable</v>
      </c>
    </row>
    <row r="376" spans="1:11" x14ac:dyDescent="0.35">
      <c r="A376" s="218" t="str">
        <f>Scenario_Analysis!A357</f>
        <v>78b7b1ff2d3f06a589354ddf2f4f9db3</v>
      </c>
      <c r="B376" t="str">
        <f>Scenario_Analysis!B357</f>
        <v>perfumery</v>
      </c>
      <c r="C376" s="9">
        <f>Scenario_Analysis!D357</f>
        <v>0.49928758393080697</v>
      </c>
      <c r="D376" s="11" t="str">
        <f>Scenario_Analysis!E357</f>
        <v>SCALE</v>
      </c>
      <c r="E376" s="5">
        <f>Scenario_Analysis!G357</f>
        <v>0.45728758393080682</v>
      </c>
      <c r="F376" s="11" t="str">
        <f>Scenario_Analysis!I357</f>
        <v>SCALE</v>
      </c>
      <c r="G376" s="9">
        <f>Scenario_Analysis!K357</f>
        <v>0.49805849550472286</v>
      </c>
      <c r="H376" s="11" t="str">
        <f>Scenario_Analysis!M357</f>
        <v>SCALE</v>
      </c>
      <c r="I376" s="9">
        <f>Scenario_Analysis!O357</f>
        <v>0.47293429887453359</v>
      </c>
      <c r="J376" s="11" t="str">
        <f>Scenario_Analysis!Q357</f>
        <v>SCALE</v>
      </c>
      <c r="K376" s="53" t="str">
        <f>Scenario_Analysis!R357</f>
        <v>Stable</v>
      </c>
    </row>
    <row r="377" spans="1:11" x14ac:dyDescent="0.35">
      <c r="A377" s="218" t="str">
        <f>Scenario_Analysis!A358</f>
        <v>f69581741831e1dcd24e28e299ad36ff</v>
      </c>
      <c r="B377" t="str">
        <f>Scenario_Analysis!B358</f>
        <v>small_appliances</v>
      </c>
      <c r="C377" s="9">
        <f>Scenario_Analysis!D358</f>
        <v>0.3629599271402551</v>
      </c>
      <c r="D377" s="11" t="str">
        <f>Scenario_Analysis!E358</f>
        <v>SCALE</v>
      </c>
      <c r="E377" s="5">
        <f>Scenario_Analysis!G358</f>
        <v>0.30595992714025505</v>
      </c>
      <c r="F377" s="11" t="str">
        <f>Scenario_Analysis!I358</f>
        <v>SCALE</v>
      </c>
      <c r="G377" s="9">
        <f>Scenario_Analysis!K358</f>
        <v>0.36263205828779593</v>
      </c>
      <c r="H377" s="11" t="str">
        <f>Scenario_Analysis!M358</f>
        <v>SCALE</v>
      </c>
      <c r="I377" s="9">
        <f>Scenario_Analysis!O358</f>
        <v>0.32943150225290002</v>
      </c>
      <c r="J377" s="11" t="str">
        <f>Scenario_Analysis!Q358</f>
        <v>SCALE</v>
      </c>
      <c r="K377" s="53" t="str">
        <f>Scenario_Analysis!R358</f>
        <v>Stable</v>
      </c>
    </row>
    <row r="378" spans="1:11" x14ac:dyDescent="0.35">
      <c r="A378" s="218" t="str">
        <f>Scenario_Analysis!A360</f>
        <v>20f160a9cf2e856ee5eba259e9ae33f9</v>
      </c>
      <c r="B378" t="str">
        <f>Scenario_Analysis!B360</f>
        <v>perfumery</v>
      </c>
      <c r="C378" s="9">
        <f>Scenario_Analysis!D360</f>
        <v>0.45458619968419389</v>
      </c>
      <c r="D378" s="11" t="str">
        <f>Scenario_Analysis!E360</f>
        <v>SCALE</v>
      </c>
      <c r="E378" s="5">
        <f>Scenario_Analysis!G360</f>
        <v>0.41258627783128038</v>
      </c>
      <c r="F378" s="11" t="str">
        <f>Scenario_Analysis!I360</f>
        <v>SCALE</v>
      </c>
      <c r="G378" s="9">
        <f>Scenario_Analysis!K360</f>
        <v>0.45260034430687002</v>
      </c>
      <c r="H378" s="11" t="str">
        <f>Scenario_Analysis!M360</f>
        <v>SCALE</v>
      </c>
      <c r="I378" s="9">
        <f>Scenario_Analysis!O360</f>
        <v>0.42588021019388822</v>
      </c>
      <c r="J378" s="11" t="str">
        <f>Scenario_Analysis!Q360</f>
        <v>SCALE</v>
      </c>
      <c r="K378" s="53" t="str">
        <f>Scenario_Analysis!R360</f>
        <v>Stable</v>
      </c>
    </row>
    <row r="379" spans="1:11" x14ac:dyDescent="0.35">
      <c r="A379" s="218" t="str">
        <f>Scenario_Analysis!A361</f>
        <v>705affd495e328b5af6d73bc403c6bcf</v>
      </c>
      <c r="B379" t="str">
        <f>Scenario_Analysis!B361</f>
        <v>small_appliances</v>
      </c>
      <c r="C379" s="9">
        <f>Scenario_Analysis!D361</f>
        <v>0.40115711985277208</v>
      </c>
      <c r="D379" s="11" t="str">
        <f>Scenario_Analysis!E361</f>
        <v>SCALE</v>
      </c>
      <c r="E379" s="5">
        <f>Scenario_Analysis!G361</f>
        <v>0.34415711985277209</v>
      </c>
      <c r="F379" s="11" t="str">
        <f>Scenario_Analysis!I361</f>
        <v>SCALE</v>
      </c>
      <c r="G379" s="9">
        <f>Scenario_Analysis!K361</f>
        <v>0.40090867264780311</v>
      </c>
      <c r="H379" s="11" t="str">
        <f>Scenario_Analysis!M361</f>
        <v>SCALE</v>
      </c>
      <c r="I379" s="9">
        <f>Scenario_Analysis!O361</f>
        <v>0.3696390735292337</v>
      </c>
      <c r="J379" s="11" t="str">
        <f>Scenario_Analysis!Q361</f>
        <v>SCALE</v>
      </c>
      <c r="K379" s="53" t="str">
        <f>Scenario_Analysis!R361</f>
        <v>Stable</v>
      </c>
    </row>
    <row r="380" spans="1:11" x14ac:dyDescent="0.35">
      <c r="A380" s="218" t="str">
        <f>Scenario_Analysis!A365</f>
        <v>cc3181a81384b6fc34602d49cb6068a6</v>
      </c>
      <c r="B380" t="str">
        <f>Scenario_Analysis!B365</f>
        <v>home_appliances_2</v>
      </c>
      <c r="C380" s="9">
        <f>Scenario_Analysis!D365</f>
        <v>0.34623665893271477</v>
      </c>
      <c r="D380" s="11" t="str">
        <f>Scenario_Analysis!E365</f>
        <v>SCALE</v>
      </c>
      <c r="E380" s="5">
        <f>Scenario_Analysis!G365</f>
        <v>0.28923665893271477</v>
      </c>
      <c r="F380" s="11" t="str">
        <f>Scenario_Analysis!I365</f>
        <v>SCALE</v>
      </c>
      <c r="G380" s="9">
        <f>Scenario_Analysis!K365</f>
        <v>0.34590255220417637</v>
      </c>
      <c r="H380" s="11" t="str">
        <f>Scenario_Analysis!M365</f>
        <v>SCALE</v>
      </c>
      <c r="I380" s="9">
        <f>Scenario_Analysis!O365</f>
        <v>0.31182806203443647</v>
      </c>
      <c r="J380" s="11" t="str">
        <f>Scenario_Analysis!Q365</f>
        <v>SCALE</v>
      </c>
      <c r="K380" s="53" t="str">
        <f>Scenario_Analysis!R365</f>
        <v>Stable</v>
      </c>
    </row>
    <row r="381" spans="1:11" x14ac:dyDescent="0.35">
      <c r="A381" s="218" t="str">
        <f>Scenario_Analysis!A366</f>
        <v>34742604f6cd1e891726b849b6890f81</v>
      </c>
      <c r="B381" t="str">
        <f>Scenario_Analysis!B366</f>
        <v>sports_leisure</v>
      </c>
      <c r="C381" s="9">
        <f>Scenario_Analysis!D366</f>
        <v>0.47411175785797433</v>
      </c>
      <c r="D381" s="11" t="str">
        <f>Scenario_Analysis!E366</f>
        <v>SCALE</v>
      </c>
      <c r="E381" s="5">
        <f>Scenario_Analysis!G366</f>
        <v>0.43211175785797434</v>
      </c>
      <c r="F381" s="11" t="str">
        <f>Scenario_Analysis!I366</f>
        <v>SCALE</v>
      </c>
      <c r="G381" s="9">
        <f>Scenario_Analysis!K366</f>
        <v>0.4736926658905703</v>
      </c>
      <c r="H381" s="11" t="str">
        <f>Scenario_Analysis!M366</f>
        <v>SCALE</v>
      </c>
      <c r="I381" s="9">
        <f>Scenario_Analysis!O366</f>
        <v>0.44643342932418351</v>
      </c>
      <c r="J381" s="11" t="str">
        <f>Scenario_Analysis!Q366</f>
        <v>SCALE</v>
      </c>
      <c r="K381" s="53" t="str">
        <f>Scenario_Analysis!R366</f>
        <v>Stable</v>
      </c>
    </row>
    <row r="382" spans="1:11" x14ac:dyDescent="0.35">
      <c r="A382" s="218" t="str">
        <f>Scenario_Analysis!A367</f>
        <v>d04bbac48960ecb7ea311b00ca6e1cb7</v>
      </c>
      <c r="B382" t="str">
        <f>Scenario_Analysis!B367</f>
        <v>industry_commerce_and_business</v>
      </c>
      <c r="C382" s="9">
        <f>Scenario_Analysis!D367</f>
        <v>0.25372932681108779</v>
      </c>
      <c r="D382" s="11" t="str">
        <f>Scenario_Analysis!E367</f>
        <v>SCALE</v>
      </c>
      <c r="E382" s="5">
        <f>Scenario_Analysis!G367</f>
        <v>0.20872932681108777</v>
      </c>
      <c r="F382" s="11" t="str">
        <f>Scenario_Analysis!I367</f>
        <v>OPTIMIZE</v>
      </c>
      <c r="G382" s="9">
        <f>Scenario_Analysis!K367</f>
        <v>0.25029117167481935</v>
      </c>
      <c r="H382" s="11" t="str">
        <f>Scenario_Analysis!M367</f>
        <v>SCALE</v>
      </c>
      <c r="I382" s="9">
        <f>Scenario_Analysis!O367</f>
        <v>0.21445192295903973</v>
      </c>
      <c r="J382" s="11" t="str">
        <f>Scenario_Analysis!Q367</f>
        <v>OPTIMIZE</v>
      </c>
      <c r="K382" s="53" t="str">
        <f>Scenario_Analysis!R367</f>
        <v>Decision changes</v>
      </c>
    </row>
    <row r="383" spans="1:11" x14ac:dyDescent="0.35">
      <c r="A383" s="218" t="str">
        <f>Scenario_Analysis!A368</f>
        <v>fa381a4a9af65ea5fc8f3829214045f9</v>
      </c>
      <c r="B383" t="str">
        <f>Scenario_Analysis!B368</f>
        <v>sports_leisure</v>
      </c>
      <c r="C383" s="9">
        <f>Scenario_Analysis!D368</f>
        <v>0.45847925944925028</v>
      </c>
      <c r="D383" s="11" t="str">
        <f>Scenario_Analysis!E368</f>
        <v>SCALE</v>
      </c>
      <c r="E383" s="5">
        <f>Scenario_Analysis!G368</f>
        <v>0.41647935271760667</v>
      </c>
      <c r="F383" s="11" t="str">
        <f>Scenario_Analysis!I368</f>
        <v>SCALE</v>
      </c>
      <c r="G383" s="9">
        <f>Scenario_Analysis!K368</f>
        <v>0.45713619511740139</v>
      </c>
      <c r="H383" s="11" t="str">
        <f>Scenario_Analysis!M368</f>
        <v>SCALE</v>
      </c>
      <c r="I383" s="9">
        <f>Scenario_Analysis!O368</f>
        <v>0.42997816784131598</v>
      </c>
      <c r="J383" s="11" t="str">
        <f>Scenario_Analysis!Q368</f>
        <v>SCALE</v>
      </c>
      <c r="K383" s="53" t="str">
        <f>Scenario_Analysis!R368</f>
        <v>Stable</v>
      </c>
    </row>
    <row r="384" spans="1:11" x14ac:dyDescent="0.35">
      <c r="A384" s="218" t="str">
        <f>Scenario_Analysis!A369</f>
        <v>bebd360fe73dc670fd6439e9b943ceb7</v>
      </c>
      <c r="B384" t="str">
        <f>Scenario_Analysis!B369</f>
        <v>watches_gifts</v>
      </c>
      <c r="C384" s="9">
        <f>Scenario_Analysis!D369</f>
        <v>0.54439252336448596</v>
      </c>
      <c r="D384" s="11" t="str">
        <f>Scenario_Analysis!E369</f>
        <v>SCALE</v>
      </c>
      <c r="E384" s="5">
        <f>Scenario_Analysis!G369</f>
        <v>0.50239252336448592</v>
      </c>
      <c r="F384" s="11" t="str">
        <f>Scenario_Analysis!I369</f>
        <v>SCALE</v>
      </c>
      <c r="G384" s="9">
        <f>Scenario_Analysis!K369</f>
        <v>0.54397196261682235</v>
      </c>
      <c r="H384" s="11" t="str">
        <f>Scenario_Analysis!M369</f>
        <v>SCALE</v>
      </c>
      <c r="I384" s="9">
        <f>Scenario_Analysis!O369</f>
        <v>0.52041318248893265</v>
      </c>
      <c r="J384" s="11" t="str">
        <f>Scenario_Analysis!Q369</f>
        <v>SCALE</v>
      </c>
      <c r="K384" s="53" t="str">
        <f>Scenario_Analysis!R369</f>
        <v>Stable</v>
      </c>
    </row>
    <row r="385" spans="1:11" x14ac:dyDescent="0.35">
      <c r="A385" s="218" t="str">
        <f>Scenario_Analysis!A370</f>
        <v>a4aa7c1427c31344e5f7cc3d839fe562</v>
      </c>
      <c r="B385" t="str">
        <f>Scenario_Analysis!B370</f>
        <v>pet_shop</v>
      </c>
      <c r="C385" s="9">
        <f>Scenario_Analysis!D370</f>
        <v>0.25343538209862115</v>
      </c>
      <c r="D385" s="11" t="str">
        <f>Scenario_Analysis!E370</f>
        <v>SCALE</v>
      </c>
      <c r="E385" s="5">
        <f>Scenario_Analysis!G370</f>
        <v>0.20843538209862117</v>
      </c>
      <c r="F385" s="11" t="str">
        <f>Scenario_Analysis!I370</f>
        <v>OPTIMIZE</v>
      </c>
      <c r="G385" s="9">
        <f>Scenario_Analysis!K370</f>
        <v>0.24990184622575368</v>
      </c>
      <c r="H385" s="11" t="str">
        <f>Scenario_Analysis!M370</f>
        <v>OPTIMIZE</v>
      </c>
      <c r="I385" s="9">
        <f>Scenario_Analysis!O370</f>
        <v>0.21414250747223282</v>
      </c>
      <c r="J385" s="11" t="str">
        <f>Scenario_Analysis!Q370</f>
        <v>OPTIMIZE</v>
      </c>
      <c r="K385" s="53" t="str">
        <f>Scenario_Analysis!R370</f>
        <v>Decision changes</v>
      </c>
    </row>
    <row r="386" spans="1:11" x14ac:dyDescent="0.35">
      <c r="A386" s="218" t="str">
        <f>Scenario_Analysis!A371</f>
        <v>06c950c36d589b39b34f5dc1d4a75e29</v>
      </c>
      <c r="B386" t="str">
        <f>Scenario_Analysis!B371</f>
        <v>health_beauty</v>
      </c>
      <c r="C386" s="9">
        <f>Scenario_Analysis!D371</f>
        <v>0.52041295934712206</v>
      </c>
      <c r="D386" s="11" t="str">
        <f>Scenario_Analysis!E371</f>
        <v>SCALE</v>
      </c>
      <c r="E386" s="5">
        <f>Scenario_Analysis!G371</f>
        <v>0.47841293596324047</v>
      </c>
      <c r="F386" s="11" t="str">
        <f>Scenario_Analysis!I371</f>
        <v>SCALE</v>
      </c>
      <c r="G386" s="9">
        <f>Scenario_Analysis!K371</f>
        <v>0.51973950356019594</v>
      </c>
      <c r="H386" s="11" t="str">
        <f>Scenario_Analysis!M371</f>
        <v>SCALE</v>
      </c>
      <c r="I386" s="9">
        <f>Scenario_Analysis!O371</f>
        <v>0.49517153615486531</v>
      </c>
      <c r="J386" s="11" t="str">
        <f>Scenario_Analysis!Q371</f>
        <v>SCALE</v>
      </c>
      <c r="K386" s="53" t="str">
        <f>Scenario_Analysis!R371</f>
        <v>Stable</v>
      </c>
    </row>
    <row r="387" spans="1:11" x14ac:dyDescent="0.35">
      <c r="A387" s="218" t="str">
        <f>Scenario_Analysis!A372</f>
        <v>bb90206fa281c20f0b4c42a2393b54dd</v>
      </c>
      <c r="B387" t="str">
        <f>Scenario_Analysis!B372</f>
        <v>computers_accessories</v>
      </c>
      <c r="C387" s="9">
        <f>Scenario_Analysis!D372</f>
        <v>0.29202616100017392</v>
      </c>
      <c r="D387" s="11" t="str">
        <f>Scenario_Analysis!E372</f>
        <v>SCALE</v>
      </c>
      <c r="E387" s="5">
        <f>Scenario_Analysis!G372</f>
        <v>0.23502607166534223</v>
      </c>
      <c r="F387" s="11" t="str">
        <f>Scenario_Analysis!I372</f>
        <v>OPTIMIZE</v>
      </c>
      <c r="G387" s="9">
        <f>Scenario_Analysis!K372</f>
        <v>0.28715976359182449</v>
      </c>
      <c r="H387" s="11" t="str">
        <f>Scenario_Analysis!M372</f>
        <v>SCALE</v>
      </c>
      <c r="I387" s="9">
        <f>Scenario_Analysis!O372</f>
        <v>0.25476438000018309</v>
      </c>
      <c r="J387" s="11" t="str">
        <f>Scenario_Analysis!Q372</f>
        <v>SCALE</v>
      </c>
      <c r="K387" s="53" t="str">
        <f>Scenario_Analysis!R372</f>
        <v>Decision changes</v>
      </c>
    </row>
    <row r="388" spans="1:11" x14ac:dyDescent="0.35">
      <c r="A388" s="218" t="str">
        <f>Scenario_Analysis!A379</f>
        <v>bbff7e0ea95dd990ce461d8104ee9173</v>
      </c>
      <c r="B388" t="str">
        <f>Scenario_Analysis!B379</f>
        <v>home_appliances_2</v>
      </c>
      <c r="C388" s="9">
        <f>Scenario_Analysis!D379</f>
        <v>0.38707565274120348</v>
      </c>
      <c r="D388" s="11" t="str">
        <f>Scenario_Analysis!E379</f>
        <v>SCALE</v>
      </c>
      <c r="E388" s="5">
        <f>Scenario_Analysis!G379</f>
        <v>0.3300756194077113</v>
      </c>
      <c r="F388" s="11" t="str">
        <f>Scenario_Analysis!I379</f>
        <v>SCALE</v>
      </c>
      <c r="G388" s="9">
        <f>Scenario_Analysis!K379</f>
        <v>0.38690422335344465</v>
      </c>
      <c r="H388" s="11" t="str">
        <f>Scenario_Analysis!M379</f>
        <v>SCALE</v>
      </c>
      <c r="I388" s="9">
        <f>Scenario_Analysis!O379</f>
        <v>0.35481647656968796</v>
      </c>
      <c r="J388" s="11" t="str">
        <f>Scenario_Analysis!Q379</f>
        <v>SCALE</v>
      </c>
      <c r="K388" s="53" t="str">
        <f>Scenario_Analysis!R379</f>
        <v>Stable</v>
      </c>
    </row>
    <row r="389" spans="1:11" x14ac:dyDescent="0.35">
      <c r="A389" s="218" t="str">
        <f>Scenario_Analysis!A380</f>
        <v>6767719f80aabbbf16ab2491899c32d9</v>
      </c>
      <c r="B389" t="str">
        <f>Scenario_Analysis!B380</f>
        <v>telephony</v>
      </c>
      <c r="C389" s="9">
        <f>Scenario_Analysis!D380</f>
        <v>0.37817593066584126</v>
      </c>
      <c r="D389" s="11" t="str">
        <f>Scenario_Analysis!E380</f>
        <v>SCALE</v>
      </c>
      <c r="E389" s="5">
        <f>Scenario_Analysis!G380</f>
        <v>0.32117596638055207</v>
      </c>
      <c r="F389" s="11" t="str">
        <f>Scenario_Analysis!I380</f>
        <v>SCALE</v>
      </c>
      <c r="G389" s="9">
        <f>Scenario_Analysis!K380</f>
        <v>0.3771044893391588</v>
      </c>
      <c r="H389" s="11" t="str">
        <f>Scenario_Analysis!M380</f>
        <v>SCALE</v>
      </c>
      <c r="I389" s="9">
        <f>Scenario_Analysis!O380</f>
        <v>0.34544834806930652</v>
      </c>
      <c r="J389" s="11" t="str">
        <f>Scenario_Analysis!Q380</f>
        <v>SCALE</v>
      </c>
      <c r="K389" s="53" t="str">
        <f>Scenario_Analysis!R380</f>
        <v>Stable</v>
      </c>
    </row>
    <row r="390" spans="1:11" x14ac:dyDescent="0.35">
      <c r="A390" s="218" t="str">
        <f>Scenario_Analysis!A383</f>
        <v>fa4e8255202fd921350a6fc716710dae</v>
      </c>
      <c r="B390" t="str">
        <f>Scenario_Analysis!B383</f>
        <v>computers_accessories</v>
      </c>
      <c r="C390" s="9">
        <f>Scenario_Analysis!D383</f>
        <v>0.32693388679897956</v>
      </c>
      <c r="D390" s="11" t="str">
        <f>Scenario_Analysis!E383</f>
        <v>SCALE</v>
      </c>
      <c r="E390" s="5">
        <f>Scenario_Analysis!G383</f>
        <v>0.26993389160336878</v>
      </c>
      <c r="F390" s="11" t="str">
        <f>Scenario_Analysis!I383</f>
        <v>SCALE</v>
      </c>
      <c r="G390" s="9">
        <f>Scenario_Analysis!K383</f>
        <v>0.32347472651013959</v>
      </c>
      <c r="H390" s="11" t="str">
        <f>Scenario_Analysis!M383</f>
        <v>SCALE</v>
      </c>
      <c r="I390" s="9">
        <f>Scenario_Analysis!O383</f>
        <v>0.29150935452524152</v>
      </c>
      <c r="J390" s="11" t="str">
        <f>Scenario_Analysis!Q383</f>
        <v>SCALE</v>
      </c>
      <c r="K390" s="53" t="str">
        <f>Scenario_Analysis!R383</f>
        <v>Stable</v>
      </c>
    </row>
    <row r="391" spans="1:11" x14ac:dyDescent="0.35">
      <c r="A391" s="218" t="str">
        <f>Scenario_Analysis!A385</f>
        <v>6e1b14d3cbb5fb3a2c00351007127dfd</v>
      </c>
      <c r="B391" t="str">
        <f>Scenario_Analysis!B385</f>
        <v>cool_stuff</v>
      </c>
      <c r="C391" s="9">
        <f>Scenario_Analysis!D385</f>
        <v>0.4462241735786131</v>
      </c>
      <c r="D391" s="11" t="str">
        <f>Scenario_Analysis!E385</f>
        <v>SCALE</v>
      </c>
      <c r="E391" s="5">
        <f>Scenario_Analysis!G385</f>
        <v>0.40122414948118229</v>
      </c>
      <c r="F391" s="11" t="str">
        <f>Scenario_Analysis!I385</f>
        <v>SCALE</v>
      </c>
      <c r="G391" s="9">
        <f>Scenario_Analysis!K385</f>
        <v>0.44466266006718358</v>
      </c>
      <c r="H391" s="11" t="str">
        <f>Scenario_Analysis!M385</f>
        <v>SCALE</v>
      </c>
      <c r="I391" s="9">
        <f>Scenario_Analysis!O385</f>
        <v>0.41707807745117154</v>
      </c>
      <c r="J391" s="11" t="str">
        <f>Scenario_Analysis!Q385</f>
        <v>SCALE</v>
      </c>
      <c r="K391" s="53" t="str">
        <f>Scenario_Analysis!R385</f>
        <v>Stable</v>
      </c>
    </row>
    <row r="392" spans="1:11" x14ac:dyDescent="0.35">
      <c r="A392" s="218" t="str">
        <f>Scenario_Analysis!A386</f>
        <v>864413ca56c2bcea359a213956a922c0</v>
      </c>
      <c r="B392" t="str">
        <f>Scenario_Analysis!B386</f>
        <v>auto</v>
      </c>
      <c r="C392" s="9">
        <f>Scenario_Analysis!D386</f>
        <v>0.51267561510470638</v>
      </c>
      <c r="D392" s="11" t="str">
        <f>Scenario_Analysis!E386</f>
        <v>SCALE</v>
      </c>
      <c r="E392" s="5">
        <f>Scenario_Analysis!G386</f>
        <v>0.46767549461406849</v>
      </c>
      <c r="F392" s="11" t="str">
        <f>Scenario_Analysis!I386</f>
        <v>SCALE</v>
      </c>
      <c r="G392" s="9">
        <f>Scenario_Analysis!K386</f>
        <v>0.51241535532689109</v>
      </c>
      <c r="H392" s="11" t="str">
        <f>Scenario_Analysis!M386</f>
        <v>SCALE</v>
      </c>
      <c r="I392" s="9">
        <f>Scenario_Analysis!O386</f>
        <v>0.48702696326811196</v>
      </c>
      <c r="J392" s="11" t="str">
        <f>Scenario_Analysis!Q386</f>
        <v>SCALE</v>
      </c>
      <c r="K392" s="53" t="str">
        <f>Scenario_Analysis!R386</f>
        <v>Stable</v>
      </c>
    </row>
    <row r="393" spans="1:11" x14ac:dyDescent="0.35">
      <c r="A393" s="218" t="str">
        <f>Scenario_Analysis!A387</f>
        <v>6d426dd1336e5a7d34470ae65bc68abf</v>
      </c>
      <c r="B393" t="str">
        <f>Scenario_Analysis!B387</f>
        <v>fixed_telephony</v>
      </c>
      <c r="C393" s="9">
        <f>Scenario_Analysis!D387</f>
        <v>0.3973888888888889</v>
      </c>
      <c r="D393" s="11" t="str">
        <f>Scenario_Analysis!E387</f>
        <v>SCALE</v>
      </c>
      <c r="E393" s="5">
        <f>Scenario_Analysis!G387</f>
        <v>0.34038888888888891</v>
      </c>
      <c r="F393" s="11" t="str">
        <f>Scenario_Analysis!I387</f>
        <v>SCALE</v>
      </c>
      <c r="G393" s="9">
        <f>Scenario_Analysis!K387</f>
        <v>0.39673671497584545</v>
      </c>
      <c r="H393" s="11" t="str">
        <f>Scenario_Analysis!M387</f>
        <v>SCALE</v>
      </c>
      <c r="I393" s="9">
        <f>Scenario_Analysis!O387</f>
        <v>0.36567251461988304</v>
      </c>
      <c r="J393" s="11" t="str">
        <f>Scenario_Analysis!Q387</f>
        <v>SCALE</v>
      </c>
      <c r="K393" s="53" t="str">
        <f>Scenario_Analysis!R387</f>
        <v>Stable</v>
      </c>
    </row>
    <row r="394" spans="1:11" x14ac:dyDescent="0.35">
      <c r="A394" s="218" t="str">
        <f>Scenario_Analysis!A388</f>
        <v>bb3542bf40cc975720ee44d03fcf0cd8</v>
      </c>
      <c r="B394" t="str">
        <f>Scenario_Analysis!B388</f>
        <v>home_appliances_2</v>
      </c>
      <c r="C394" s="9">
        <f>Scenario_Analysis!D388</f>
        <v>0.4041884057971013</v>
      </c>
      <c r="D394" s="11" t="str">
        <f>Scenario_Analysis!E388</f>
        <v>SCALE</v>
      </c>
      <c r="E394" s="5">
        <f>Scenario_Analysis!G388</f>
        <v>0.34718840579710131</v>
      </c>
      <c r="F394" s="11" t="str">
        <f>Scenario_Analysis!I388</f>
        <v>SCALE</v>
      </c>
      <c r="G394" s="9">
        <f>Scenario_Analysis!K388</f>
        <v>0.40401449275362322</v>
      </c>
      <c r="H394" s="11" t="str">
        <f>Scenario_Analysis!M388</f>
        <v>SCALE</v>
      </c>
      <c r="I394" s="9">
        <f>Scenario_Analysis!O388</f>
        <v>0.37282990083905415</v>
      </c>
      <c r="J394" s="11" t="str">
        <f>Scenario_Analysis!Q388</f>
        <v>SCALE</v>
      </c>
      <c r="K394" s="53" t="str">
        <f>Scenario_Analysis!R388</f>
        <v>Stable</v>
      </c>
    </row>
    <row r="395" spans="1:11" x14ac:dyDescent="0.35">
      <c r="A395" s="218" t="str">
        <f>Scenario_Analysis!A390</f>
        <v>b8b426747049f2d3d6e00b486d47dedb</v>
      </c>
      <c r="B395" t="str">
        <f>Scenario_Analysis!B390</f>
        <v>health_beauty</v>
      </c>
      <c r="C395" s="9">
        <f>Scenario_Analysis!D390</f>
        <v>0.33395433905453092</v>
      </c>
      <c r="D395" s="11" t="str">
        <f>Scenario_Analysis!E390</f>
        <v>SCALE</v>
      </c>
      <c r="E395" s="5">
        <f>Scenario_Analysis!G390</f>
        <v>0.29195424663331387</v>
      </c>
      <c r="F395" s="11" t="str">
        <f>Scenario_Analysis!I390</f>
        <v>SCALE</v>
      </c>
      <c r="G395" s="9">
        <f>Scenario_Analysis!K390</f>
        <v>0.33027694747313097</v>
      </c>
      <c r="H395" s="11" t="str">
        <f>Scenario_Analysis!M390</f>
        <v>SCALE</v>
      </c>
      <c r="I395" s="9">
        <f>Scenario_Analysis!O390</f>
        <v>0.29889930426792727</v>
      </c>
      <c r="J395" s="11" t="str">
        <f>Scenario_Analysis!Q390</f>
        <v>SCALE</v>
      </c>
      <c r="K395" s="53" t="str">
        <f>Scenario_Analysis!R390</f>
        <v>Stable</v>
      </c>
    </row>
    <row r="396" spans="1:11" x14ac:dyDescent="0.35">
      <c r="A396" s="218" t="str">
        <f>Scenario_Analysis!A392</f>
        <v>6cdf8fc1d741c76586d8b6b15e9eef30</v>
      </c>
      <c r="B396" t="str">
        <f>Scenario_Analysis!B392</f>
        <v>consoles_games</v>
      </c>
      <c r="C396" s="9">
        <f>Scenario_Analysis!D392</f>
        <v>0.41033514715889563</v>
      </c>
      <c r="D396" s="11" t="str">
        <f>Scenario_Analysis!E392</f>
        <v>SCALE</v>
      </c>
      <c r="E396" s="5">
        <f>Scenario_Analysis!G392</f>
        <v>0.35333525203720018</v>
      </c>
      <c r="F396" s="11" t="str">
        <f>Scenario_Analysis!I392</f>
        <v>SCALE</v>
      </c>
      <c r="G396" s="9">
        <f>Scenario_Analysis!K392</f>
        <v>0.41024734206668795</v>
      </c>
      <c r="H396" s="11" t="str">
        <f>Scenario_Analysis!M392</f>
        <v>SCALE</v>
      </c>
      <c r="I396" s="9">
        <f>Scenario_Analysis!O392</f>
        <v>0.37930015490410046</v>
      </c>
      <c r="J396" s="11" t="str">
        <f>Scenario_Analysis!Q392</f>
        <v>SCALE</v>
      </c>
      <c r="K396" s="53" t="str">
        <f>Scenario_Analysis!R392</f>
        <v>Stable</v>
      </c>
    </row>
    <row r="397" spans="1:11" x14ac:dyDescent="0.35">
      <c r="A397" s="218" t="str">
        <f>Scenario_Analysis!A394</f>
        <v>71f2ce4ae5dfdd3b55a51c7a2d3c4da8</v>
      </c>
      <c r="B397" t="str">
        <f>Scenario_Analysis!B394</f>
        <v>construction_tools_construction</v>
      </c>
      <c r="C397" s="9">
        <f>Scenario_Analysis!D394</f>
        <v>0.47177414388918026</v>
      </c>
      <c r="D397" s="11" t="str">
        <f>Scenario_Analysis!E394</f>
        <v>SCALE</v>
      </c>
      <c r="E397" s="5">
        <f>Scenario_Analysis!G394</f>
        <v>0.42677410694273049</v>
      </c>
      <c r="F397" s="11" t="str">
        <f>Scenario_Analysis!I394</f>
        <v>SCALE</v>
      </c>
      <c r="G397" s="9">
        <f>Scenario_Analysis!K394</f>
        <v>0.47115344353227773</v>
      </c>
      <c r="H397" s="11" t="str">
        <f>Scenario_Analysis!M394</f>
        <v>SCALE</v>
      </c>
      <c r="I397" s="9">
        <f>Scenario_Analysis!O394</f>
        <v>0.44397278304124244</v>
      </c>
      <c r="J397" s="11" t="str">
        <f>Scenario_Analysis!Q394</f>
        <v>SCALE</v>
      </c>
      <c r="K397" s="53" t="str">
        <f>Scenario_Analysis!R394</f>
        <v>Stable</v>
      </c>
    </row>
    <row r="398" spans="1:11" x14ac:dyDescent="0.35">
      <c r="A398" s="218" t="str">
        <f>Scenario_Analysis!A395</f>
        <v>df480c7d3f979093ac4c2d1109e78289</v>
      </c>
      <c r="B398" t="str">
        <f>Scenario_Analysis!B395</f>
        <v>watches_gifts</v>
      </c>
      <c r="C398" s="9">
        <f>Scenario_Analysis!D395</f>
        <v>0.54029858106192286</v>
      </c>
      <c r="D398" s="11" t="str">
        <f>Scenario_Analysis!E395</f>
        <v>SCALE</v>
      </c>
      <c r="E398" s="5">
        <f>Scenario_Analysis!G395</f>
        <v>0.49829850709469037</v>
      </c>
      <c r="F398" s="11" t="str">
        <f>Scenario_Analysis!I395</f>
        <v>SCALE</v>
      </c>
      <c r="G398" s="9">
        <f>Scenario_Analysis!K395</f>
        <v>0.53976601698780768</v>
      </c>
      <c r="H398" s="11" t="str">
        <f>Scenario_Analysis!M395</f>
        <v>SCALE</v>
      </c>
      <c r="I398" s="9">
        <f>Scenario_Analysis!O395</f>
        <v>0.51610376953886616</v>
      </c>
      <c r="J398" s="11" t="str">
        <f>Scenario_Analysis!Q395</f>
        <v>SCALE</v>
      </c>
      <c r="K398" s="53" t="str">
        <f>Scenario_Analysis!R395</f>
        <v>Stable</v>
      </c>
    </row>
    <row r="399" spans="1:11" x14ac:dyDescent="0.35">
      <c r="A399" s="218" t="str">
        <f>Scenario_Analysis!A397</f>
        <v>e5841e5f87a255ec40d170b4177d03ce</v>
      </c>
      <c r="B399" t="str">
        <f>Scenario_Analysis!B397</f>
        <v>watches_gifts</v>
      </c>
      <c r="C399" s="9">
        <f>Scenario_Analysis!D397</f>
        <v>0.54793771990772211</v>
      </c>
      <c r="D399" s="11" t="str">
        <f>Scenario_Analysis!E397</f>
        <v>SCALE</v>
      </c>
      <c r="E399" s="5">
        <f>Scenario_Analysis!G397</f>
        <v>0.50593772485294153</v>
      </c>
      <c r="F399" s="11" t="str">
        <f>Scenario_Analysis!I397</f>
        <v>SCALE</v>
      </c>
      <c r="G399" s="9">
        <f>Scenario_Analysis!K397</f>
        <v>0.54740363621977539</v>
      </c>
      <c r="H399" s="11" t="str">
        <f>Scenario_Analysis!M397</f>
        <v>SCALE</v>
      </c>
      <c r="I399" s="9">
        <f>Scenario_Analysis!O397</f>
        <v>0.5241449683239181</v>
      </c>
      <c r="J399" s="11" t="str">
        <f>Scenario_Analysis!Q397</f>
        <v>SCALE</v>
      </c>
      <c r="K399" s="53" t="str">
        <f>Scenario_Analysis!R397</f>
        <v>Stable</v>
      </c>
    </row>
    <row r="400" spans="1:11" x14ac:dyDescent="0.35">
      <c r="A400" s="218" t="str">
        <f>Scenario_Analysis!A398</f>
        <v>0296dd002a346e3bbdda4e0bc48a5073</v>
      </c>
      <c r="B400" t="str">
        <f>Scenario_Analysis!B398</f>
        <v>furniture_bedroom</v>
      </c>
      <c r="C400" s="9">
        <f>Scenario_Analysis!D398</f>
        <v>0.42524257425742573</v>
      </c>
      <c r="D400" s="11" t="str">
        <f>Scenario_Analysis!E398</f>
        <v>SCALE</v>
      </c>
      <c r="E400" s="5">
        <f>Scenario_Analysis!G398</f>
        <v>0.38024257425742569</v>
      </c>
      <c r="F400" s="11" t="str">
        <f>Scenario_Analysis!I398</f>
        <v>SCALE</v>
      </c>
      <c r="G400" s="9">
        <f>Scenario_Analysis!K398</f>
        <v>0.42452970297029702</v>
      </c>
      <c r="H400" s="11" t="str">
        <f>Scenario_Analysis!M398</f>
        <v>SCALE</v>
      </c>
      <c r="I400" s="9">
        <f>Scenario_Analysis!O398</f>
        <v>0.39499218342886921</v>
      </c>
      <c r="J400" s="11" t="str">
        <f>Scenario_Analysis!Q398</f>
        <v>SCALE</v>
      </c>
      <c r="K400" s="53" t="str">
        <f>Scenario_Analysis!R398</f>
        <v>Stable</v>
      </c>
    </row>
    <row r="401" spans="1:11" x14ac:dyDescent="0.35">
      <c r="A401" s="218" t="str">
        <f>Scenario_Analysis!A399</f>
        <v>91c82ace62e0ca1b69b1a45bcc214b45</v>
      </c>
      <c r="B401" t="str">
        <f>Scenario_Analysis!B399</f>
        <v>watches_gifts</v>
      </c>
      <c r="C401" s="9">
        <f>Scenario_Analysis!D399</f>
        <v>0.44139466059243582</v>
      </c>
      <c r="D401" s="11" t="str">
        <f>Scenario_Analysis!E399</f>
        <v>SCALE</v>
      </c>
      <c r="E401" s="5">
        <f>Scenario_Analysis!G399</f>
        <v>0.39939472503612561</v>
      </c>
      <c r="F401" s="11" t="str">
        <f>Scenario_Analysis!I399</f>
        <v>SCALE</v>
      </c>
      <c r="G401" s="9">
        <f>Scenario_Analysis!K399</f>
        <v>0.43943160665554598</v>
      </c>
      <c r="H401" s="11" t="str">
        <f>Scenario_Analysis!M399</f>
        <v>SCALE</v>
      </c>
      <c r="I401" s="9">
        <f>Scenario_Analysis!O399</f>
        <v>0.41199437957098506</v>
      </c>
      <c r="J401" s="11" t="str">
        <f>Scenario_Analysis!Q399</f>
        <v>SCALE</v>
      </c>
      <c r="K401" s="53" t="str">
        <f>Scenario_Analysis!R399</f>
        <v>Stable</v>
      </c>
    </row>
    <row r="402" spans="1:11" x14ac:dyDescent="0.35">
      <c r="A402" s="218" t="str">
        <f>Scenario_Analysis!A401</f>
        <v>ca5c923962558430573f83661dbe36d6</v>
      </c>
      <c r="B402" t="str">
        <f>Scenario_Analysis!B401</f>
        <v>pet_shop</v>
      </c>
      <c r="C402" s="9">
        <f>Scenario_Analysis!D401</f>
        <v>0.31338161838161843</v>
      </c>
      <c r="D402" s="11" t="str">
        <f>Scenario_Analysis!E401</f>
        <v>SCALE</v>
      </c>
      <c r="E402" s="5">
        <f>Scenario_Analysis!G401</f>
        <v>0.26838161838161834</v>
      </c>
      <c r="F402" s="11" t="str">
        <f>Scenario_Analysis!I401</f>
        <v>SCALE</v>
      </c>
      <c r="G402" s="9">
        <f>Scenario_Analysis!K401</f>
        <v>0.31005494505494519</v>
      </c>
      <c r="H402" s="11" t="str">
        <f>Scenario_Analysis!M401</f>
        <v>SCALE</v>
      </c>
      <c r="I402" s="9">
        <f>Scenario_Analysis!O401</f>
        <v>0.27724380882275607</v>
      </c>
      <c r="J402" s="11" t="str">
        <f>Scenario_Analysis!Q401</f>
        <v>SCALE</v>
      </c>
      <c r="K402" s="53" t="str">
        <f>Scenario_Analysis!R401</f>
        <v>Stable</v>
      </c>
    </row>
    <row r="403" spans="1:11" x14ac:dyDescent="0.35">
      <c r="A403" s="218" t="str">
        <f>Scenario_Analysis!A402</f>
        <v>6902c1962dd19d540807d0ab8fade5c6</v>
      </c>
      <c r="B403" t="str">
        <f>Scenario_Analysis!B402</f>
        <v>watches_gifts</v>
      </c>
      <c r="C403" s="9">
        <f>Scenario_Analysis!D402</f>
        <v>0.57440686017150422</v>
      </c>
      <c r="D403" s="11" t="str">
        <f>Scenario_Analysis!E402</f>
        <v>SCALE</v>
      </c>
      <c r="E403" s="5">
        <f>Scenario_Analysis!G402</f>
        <v>0.53240681017025415</v>
      </c>
      <c r="F403" s="11" t="str">
        <f>Scenario_Analysis!I402</f>
        <v>SCALE</v>
      </c>
      <c r="G403" s="9">
        <f>Scenario_Analysis!K402</f>
        <v>0.57431685792144804</v>
      </c>
      <c r="H403" s="11" t="str">
        <f>Scenario_Analysis!M402</f>
        <v>SCALE</v>
      </c>
      <c r="I403" s="9">
        <f>Scenario_Analysis!O402</f>
        <v>0.55200722123316226</v>
      </c>
      <c r="J403" s="11" t="str">
        <f>Scenario_Analysis!Q402</f>
        <v>SCALE</v>
      </c>
      <c r="K403" s="53" t="str">
        <f>Scenario_Analysis!R402</f>
        <v>Stable</v>
      </c>
    </row>
  </sheetData>
  <mergeCells count="1">
    <mergeCell ref="A1:K1"/>
  </mergeCells>
  <conditionalFormatting sqref="D1:D1048576 F1:F1048576 H1:H1048576 J1:K1048576">
    <cfRule type="cellIs" dxfId="7" priority="1" operator="equal">
      <formula>"Decision Changes"</formula>
    </cfRule>
    <cfRule type="cellIs" dxfId="6" priority="2" operator="equal">
      <formula>"EXIT"</formula>
    </cfRule>
    <cfRule type="cellIs" dxfId="5" priority="3" operator="equal">
      <formula>"OPTIMIZE"</formula>
    </cfRule>
    <cfRule type="cellIs" dxfId="4" priority="4" operator="equal">
      <formula>"SCALE"</formula>
    </cfRule>
    <cfRule type="cellIs" dxfId="3" priority="5" operator="equal">
      <formula>"Stable"</formula>
    </cfRule>
  </conditionalFormatting>
  <pageMargins left="0.7" right="0.7" top="0.75" bottom="0.75" header="0.3" footer="0.3"/>
  <ignoredErrors>
    <ignoredError sqref="B4:K403 A4:A403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C1CF-D683-4FBC-B23C-5A5FA3FCAACA}">
  <sheetPr>
    <tabColor rgb="FF9C5700"/>
    <pageSetUpPr fitToPage="1"/>
  </sheetPr>
  <dimension ref="A1:AC92"/>
  <sheetViews>
    <sheetView showGridLines="0" tabSelected="1" zoomScale="49" zoomScaleNormal="58" workbookViewId="0">
      <selection activeCell="G29" sqref="G29"/>
    </sheetView>
  </sheetViews>
  <sheetFormatPr defaultColWidth="8.54296875" defaultRowHeight="14.5" x14ac:dyDescent="0.35"/>
  <cols>
    <col min="1" max="1" width="2" customWidth="1"/>
    <col min="2" max="2" width="22" customWidth="1"/>
    <col min="3" max="3" width="29.1796875" customWidth="1"/>
    <col min="4" max="4" width="12.1796875" customWidth="1"/>
    <col min="5" max="5" width="21.36328125" bestFit="1" customWidth="1"/>
    <col min="6" max="6" width="18" customWidth="1"/>
    <col min="7" max="7" width="15.26953125" bestFit="1" customWidth="1"/>
    <col min="8" max="8" width="22" customWidth="1"/>
    <col min="9" max="12" width="18" customWidth="1"/>
    <col min="13" max="13" width="18.26953125" bestFit="1" customWidth="1"/>
    <col min="14" max="14" width="22" customWidth="1"/>
    <col min="15" max="17" width="18" customWidth="1"/>
    <col min="18" max="19" width="4" customWidth="1"/>
    <col min="20" max="20" width="38" customWidth="1"/>
    <col min="21" max="21" width="95" customWidth="1"/>
    <col min="27" max="27" width="36" hidden="1" customWidth="1"/>
    <col min="28" max="28" width="8.90625" hidden="1" customWidth="1"/>
    <col min="29" max="29" width="22.54296875" hidden="1" customWidth="1"/>
  </cols>
  <sheetData>
    <row r="1" spans="1:21" ht="7.5" customHeight="1" x14ac:dyDescent="0.35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30"/>
    </row>
    <row r="2" spans="1:21" ht="33.75" customHeight="1" x14ac:dyDescent="0.35">
      <c r="A2" s="72"/>
      <c r="B2" s="270" t="s">
        <v>619</v>
      </c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1" t="s">
        <v>521</v>
      </c>
      <c r="N2" s="271"/>
      <c r="O2" s="271"/>
      <c r="P2" s="271"/>
      <c r="Q2" s="271"/>
      <c r="R2" s="72"/>
      <c r="S2" s="72"/>
      <c r="T2" s="261" t="s">
        <v>522</v>
      </c>
      <c r="U2" s="261"/>
    </row>
    <row r="3" spans="1:21" ht="21.75" customHeight="1" x14ac:dyDescent="0.35">
      <c r="A3" s="72"/>
      <c r="B3" s="262" t="s">
        <v>523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3" t="str">
        <f>IF(Q5=TRUE(),"● ON  (formulas visible in column S)","○ OFF  (set Q5 = TRUE to reveal formulas)")</f>
        <v>○ OFF  (set Q5 = TRUE to reveal formulas)</v>
      </c>
      <c r="N3" s="263"/>
      <c r="O3" s="263"/>
      <c r="P3" s="263"/>
      <c r="Q3" s="263"/>
      <c r="R3" s="72"/>
      <c r="S3" s="72"/>
      <c r="T3" s="264" t="s">
        <v>524</v>
      </c>
      <c r="U3" s="264"/>
    </row>
    <row r="4" spans="1:21" ht="7.5" customHeight="1" x14ac:dyDescent="0.35">
      <c r="A4" s="7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2"/>
      <c r="S4" s="72"/>
      <c r="T4" s="73"/>
      <c r="U4" s="131"/>
    </row>
    <row r="5" spans="1:21" ht="15" customHeight="1" x14ac:dyDescent="0.3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4" t="b">
        <v>0</v>
      </c>
      <c r="R5" s="72"/>
      <c r="S5" s="72"/>
      <c r="T5" s="72"/>
      <c r="U5" s="130"/>
    </row>
    <row r="6" spans="1:21" ht="21.75" customHeight="1" x14ac:dyDescent="0.35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5" t="s">
        <v>525</v>
      </c>
      <c r="U6" s="132" t="s">
        <v>526</v>
      </c>
    </row>
    <row r="7" spans="1:21" ht="21.75" customHeight="1" x14ac:dyDescent="0.35">
      <c r="A7" s="72"/>
      <c r="B7" s="76"/>
      <c r="C7" s="265" t="s">
        <v>527</v>
      </c>
      <c r="D7" s="265"/>
      <c r="E7" s="265"/>
      <c r="F7" s="77"/>
      <c r="G7" s="265" t="s">
        <v>528</v>
      </c>
      <c r="H7" s="265"/>
      <c r="I7" s="265"/>
      <c r="J7" s="78"/>
      <c r="K7" s="265" t="s">
        <v>529</v>
      </c>
      <c r="L7" s="265"/>
      <c r="M7" s="265"/>
      <c r="N7" s="79"/>
      <c r="O7" s="265" t="s">
        <v>530</v>
      </c>
      <c r="P7" s="265"/>
      <c r="Q7" s="265"/>
      <c r="R7" s="72"/>
      <c r="S7" s="72"/>
      <c r="T7" s="80" t="s">
        <v>531</v>
      </c>
      <c r="U7" s="133" t="str">
        <f>IF($Q$5=TRUE(), IFERROR(_xludf.formulatext(C8), "=SUMIFS(Profitability_Model!C:C,Profitability_Model!A:A,""&lt;&gt;product_id"",Profitability_Model!C:C,""&gt;0"")"), "—  toggle Q5=TRUE to reveal  —")</f>
        <v>—  toggle Q5=TRUE to reveal  —</v>
      </c>
    </row>
    <row r="8" spans="1:21" ht="21.75" customHeight="1" x14ac:dyDescent="0.35">
      <c r="A8" s="72"/>
      <c r="B8" s="76"/>
      <c r="C8" s="266">
        <f>SUMIFS(Profitability_Model!C:C,Profitability_Model!A:A,"&lt;&gt;product_id",Profitability_Model!C:C,"&gt;0")</f>
        <v>3590972.7200500015</v>
      </c>
      <c r="D8" s="266"/>
      <c r="E8" s="266"/>
      <c r="F8" s="77"/>
      <c r="G8" s="267">
        <f>SUM(Profitability_Model!H2:H402)</f>
        <v>1291923.4300000018</v>
      </c>
      <c r="H8" s="267"/>
      <c r="I8" s="267"/>
      <c r="J8" s="78"/>
      <c r="K8" s="268">
        <f>AVERAGE(Profitability_Model!J2:J402)</f>
        <v>0.36744703540335549</v>
      </c>
      <c r="L8" s="268"/>
      <c r="M8" s="268"/>
      <c r="N8" s="79"/>
      <c r="O8" s="269">
        <f>COUNTIF(Profitability_Model!L2:L402,"EXIT")</f>
        <v>46</v>
      </c>
      <c r="P8" s="269"/>
      <c r="Q8" s="269"/>
      <c r="R8" s="72"/>
      <c r="S8" s="72"/>
      <c r="T8" s="81" t="s">
        <v>532</v>
      </c>
      <c r="U8" s="134" t="str">
        <f ca="1">IF($Q$5=TRUE(), IFERROR(_xlfn.SINGLE(_xlfn.FORMULATEXT(G8)), "=SUM(Profitability_Model!H2:H402)"), "—  toggle Q5=TRUE to reveal  —")</f>
        <v>—  toggle Q5=TRUE to reveal  —</v>
      </c>
    </row>
    <row r="9" spans="1:21" ht="21.75" customHeight="1" x14ac:dyDescent="0.35">
      <c r="A9" s="72"/>
      <c r="B9" s="76"/>
      <c r="C9" s="280" t="str">
        <f>"  "&amp;TEXT(COUNTIF(Profitability_Model!L2:L402,"&lt;&gt;"),"#,##0")&amp;" SKUs analysed"</f>
        <v xml:space="preserve">  401 SKUs analysed</v>
      </c>
      <c r="D9" s="280"/>
      <c r="E9" s="280"/>
      <c r="F9" s="77"/>
      <c r="G9" s="280" t="str">
        <f>"  Margin "&amp;TEXT(SUM(Profitability_Model!H2:H402)/SUM(Profitability_Model!C2:C402),"0.0%")</f>
        <v xml:space="preserve">  Margin 36.0%</v>
      </c>
      <c r="H9" s="280"/>
      <c r="I9" s="280"/>
      <c r="J9" s="78"/>
      <c r="K9" s="280" t="str">
        <f>"  Min "&amp;TEXT(MIN(Profitability_Model!J2:J402),"0.0%")&amp;"   Max "&amp;TEXT(MAX(Profitability_Model!J2:J402),"0.0%")</f>
        <v xml:space="preserve">  Min -24.1%   Max 57.5%</v>
      </c>
      <c r="L9" s="280"/>
      <c r="M9" s="280"/>
      <c r="N9" s="79"/>
      <c r="O9" s="280" t="str">
        <f>"  "&amp;TEXT(COUNTIF(Profitability_Model!L2:L402,"EXIT")/400,"0.0%")&amp;" of portfolio"</f>
        <v xml:space="preserve">  11.5% of portfolio</v>
      </c>
      <c r="P9" s="280"/>
      <c r="Q9" s="280"/>
      <c r="R9" s="72"/>
      <c r="S9" s="72"/>
      <c r="T9" s="80" t="s">
        <v>533</v>
      </c>
      <c r="U9" s="133" t="str">
        <f ca="1">IF($Q$5=TRUE(), IFERROR(_xlfn.SINGLE(_xlfn.FORMULATEXT(K8)), "=AVERAGE(Profitability_Model!J2:J402)"), "—  toggle Q5=TRUE to reveal  —")</f>
        <v>—  toggle Q5=TRUE to reveal  —</v>
      </c>
    </row>
    <row r="10" spans="1:21" ht="21.75" customHeight="1" x14ac:dyDescent="0.35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81" t="s">
        <v>534</v>
      </c>
      <c r="U10" s="134" t="str">
        <f ca="1">IF($Q$5=TRUE(), IFERROR(_xlfn.SINGLE(_xlfn.FORMULATEXT(O8)), "=COUNTIF(Profitability_Model!L2:L402,""EXIT"")"), "—  toggle Q5=TRUE to reveal  —")</f>
        <v>—  toggle Q5=TRUE to reveal  —</v>
      </c>
    </row>
    <row r="11" spans="1:21" ht="21.75" customHeight="1" x14ac:dyDescent="0.45">
      <c r="A11" s="72"/>
      <c r="B11" s="281" t="s">
        <v>535</v>
      </c>
      <c r="C11" s="281"/>
      <c r="D11" s="281"/>
      <c r="E11" s="281"/>
      <c r="F11" s="281"/>
      <c r="G11" s="138"/>
      <c r="H11" s="281" t="s">
        <v>536</v>
      </c>
      <c r="I11" s="281"/>
      <c r="J11" s="281"/>
      <c r="K11" s="281"/>
      <c r="L11" s="281"/>
      <c r="M11" s="138"/>
      <c r="N11" s="281" t="s">
        <v>537</v>
      </c>
      <c r="O11" s="281"/>
      <c r="P11" s="281"/>
      <c r="Q11" s="281"/>
      <c r="R11" s="72"/>
      <c r="S11" s="72"/>
      <c r="T11" s="80" t="s">
        <v>538</v>
      </c>
      <c r="U11" s="133" t="str">
        <f ca="1">IF($Q$5=TRUE(), IFERROR(_xlfn.SINGLE(_xlfn.FORMULATEXT(C14)), "=COUNTIF(Profitability_Model!L2:L402,""SCALE"")"), "—  toggle Q5=TRUE to reveal  —")</f>
        <v>—  toggle Q5=TRUE to reveal  —</v>
      </c>
    </row>
    <row r="12" spans="1:21" ht="21.75" customHeight="1" x14ac:dyDescent="0.35">
      <c r="A12" s="72"/>
      <c r="B12" s="82"/>
      <c r="C12" s="82"/>
      <c r="D12" s="82"/>
      <c r="E12" s="82"/>
      <c r="F12" s="82"/>
      <c r="G12" s="72"/>
      <c r="H12" s="82"/>
      <c r="I12" s="82"/>
      <c r="J12" s="82"/>
      <c r="K12" s="82"/>
      <c r="L12" s="82"/>
      <c r="M12" s="72"/>
      <c r="N12" s="82"/>
      <c r="O12" s="82"/>
      <c r="P12" s="82"/>
      <c r="Q12" s="82"/>
      <c r="R12" s="72"/>
      <c r="S12" s="72"/>
      <c r="T12" s="81" t="s">
        <v>539</v>
      </c>
      <c r="U12" s="134" t="str">
        <f>IF($Q$5=TRUE(), IFERROR(_xludf.formulatext(D14), "=C14/SUM($C$14:$C$16)"), "—  toggle Q5=TRUE to reveal  —")</f>
        <v>—  toggle Q5=TRUE to reveal  —</v>
      </c>
    </row>
    <row r="13" spans="1:21" ht="21.75" customHeight="1" x14ac:dyDescent="0.35">
      <c r="A13" s="72"/>
      <c r="B13" s="83" t="s">
        <v>540</v>
      </c>
      <c r="C13" s="84" t="s">
        <v>541</v>
      </c>
      <c r="D13" s="84" t="s">
        <v>542</v>
      </c>
      <c r="E13" s="84" t="s">
        <v>543</v>
      </c>
      <c r="F13" s="85" t="s">
        <v>544</v>
      </c>
      <c r="G13" s="72"/>
      <c r="H13" s="86" t="s">
        <v>545</v>
      </c>
      <c r="I13" s="272">
        <f>SUM(Profitability_Model!C2:C402)</f>
        <v>3590572.7200000016</v>
      </c>
      <c r="J13" s="272"/>
      <c r="K13" s="273">
        <f t="shared" ref="K13:K18" si="0">I13/$I$13</f>
        <v>1</v>
      </c>
      <c r="L13" s="273"/>
      <c r="M13" s="72"/>
      <c r="N13" s="274" t="s">
        <v>546</v>
      </c>
      <c r="O13" s="274"/>
      <c r="P13" s="274"/>
      <c r="Q13" s="274"/>
      <c r="R13" s="72"/>
      <c r="S13" s="72"/>
      <c r="T13" s="80" t="s">
        <v>547</v>
      </c>
      <c r="U13" s="133" t="str">
        <f ca="1">IF($Q$5=TRUE(), IFERROR(_xlfn.SINGLE(_xlfn.FORMULATEXT(E14)), "=SUMIF(Profitability_Model!L2:L402,""SCALE"",Profitability_Model!C2:C402)"), "—  toggle Q5=TRUE to reveal  —")</f>
        <v>—  toggle Q5=TRUE to reveal  —</v>
      </c>
    </row>
    <row r="14" spans="1:21" ht="21.75" customHeight="1" x14ac:dyDescent="0.35">
      <c r="A14" s="72"/>
      <c r="B14" s="87" t="s">
        <v>548</v>
      </c>
      <c r="C14" s="88">
        <f>COUNTIF(Profitability_Model!L2:L402,"SCALE")</f>
        <v>216</v>
      </c>
      <c r="D14" s="89">
        <f>C14/SUM($C$14:$C$16)</f>
        <v>0.54</v>
      </c>
      <c r="E14" s="90">
        <f>SUMIF(Profitability_Model!L2:L402,"SCALE",Profitability_Model!C2:C402)</f>
        <v>1900025.560000001</v>
      </c>
      <c r="F14" s="91">
        <f>SUMIF(Profitability_Model!L2:L402,"SCALE",Profitability_Model!H2:H402)</f>
        <v>799944.14000000025</v>
      </c>
      <c r="G14" s="72"/>
      <c r="H14" s="92" t="s">
        <v>549</v>
      </c>
      <c r="I14" s="275">
        <f>-SUM(Profitability_Model!D2:D402)</f>
        <v>-8616.8399999999983</v>
      </c>
      <c r="J14" s="275"/>
      <c r="K14" s="276">
        <f t="shared" si="0"/>
        <v>-2.3998511301561924E-3</v>
      </c>
      <c r="L14" s="276"/>
      <c r="M14" s="72"/>
      <c r="N14" s="82"/>
      <c r="O14" s="82"/>
      <c r="P14" s="82"/>
      <c r="Q14" s="82"/>
      <c r="R14" s="72"/>
      <c r="S14" s="72"/>
      <c r="T14" s="81" t="s">
        <v>550</v>
      </c>
      <c r="U14" s="134" t="str">
        <f ca="1">IF($Q$5=TRUE(), IFERROR(_xlfn.SINGLE(_xlfn.FORMULATEXT(F14)), "=SUMIF(Profitability_Model!L2:L402,""SCALE"",Profitability_Model!H2:H402)"), "—  toggle Q5=TRUE to reveal  —")</f>
        <v>—  toggle Q5=TRUE to reveal  —</v>
      </c>
    </row>
    <row r="15" spans="1:21" ht="21.75" customHeight="1" x14ac:dyDescent="0.35">
      <c r="A15" s="72"/>
      <c r="B15" s="93" t="s">
        <v>551</v>
      </c>
      <c r="C15" s="88">
        <f>COUNTIF(Profitability_Model!L2:L402,"OPTIMIZE")</f>
        <v>138</v>
      </c>
      <c r="D15" s="89">
        <f>C15/SUM($C$14:$C$16)</f>
        <v>0.34499999999999997</v>
      </c>
      <c r="E15" s="90">
        <f>SUMIF(Profitability_Model!L2:L402,"OPTIMIZE",Profitability_Model!C2:C402)</f>
        <v>1196906.2900000005</v>
      </c>
      <c r="F15" s="94">
        <f>SUMIF(Profitability_Model!L2:L402,"OPTIMIZE",Profitability_Model!H2:H402)</f>
        <v>391197.99999999983</v>
      </c>
      <c r="G15" s="72"/>
      <c r="H15" s="95" t="s">
        <v>552</v>
      </c>
      <c r="I15" s="277">
        <f>SUM(Profitability_Model!E2:E402)</f>
        <v>3581955.879999998</v>
      </c>
      <c r="J15" s="277"/>
      <c r="K15" s="278">
        <f t="shared" si="0"/>
        <v>0.99760014886984283</v>
      </c>
      <c r="L15" s="278"/>
      <c r="M15" s="72"/>
      <c r="N15" s="279">
        <f>COUNTIF(Scenario_Analysis!R2:R402,"Stable")</f>
        <v>372</v>
      </c>
      <c r="O15" s="279"/>
      <c r="P15" s="279"/>
      <c r="Q15" s="279"/>
      <c r="R15" s="72"/>
      <c r="S15" s="72"/>
      <c r="T15" s="80" t="s">
        <v>553</v>
      </c>
      <c r="U15" s="133" t="str">
        <f ca="1">IF($Q$5=TRUE(), IFERROR(_xlfn.SINGLE(_xlfn.FORMULATEXT(I13)), "=SUM(Profitability_Model!C2:C402)"), "—  toggle Q5=TRUE to reveal  —")</f>
        <v>—  toggle Q5=TRUE to reveal  —</v>
      </c>
    </row>
    <row r="16" spans="1:21" ht="21.75" customHeight="1" x14ac:dyDescent="0.35">
      <c r="A16" s="72"/>
      <c r="B16" s="96" t="s">
        <v>554</v>
      </c>
      <c r="C16" s="88">
        <f>COUNTIF(Profitability_Model!L2:L402,"EXIT")</f>
        <v>46</v>
      </c>
      <c r="D16" s="89">
        <f>C16/SUM($C$14:$C$16)</f>
        <v>0.115</v>
      </c>
      <c r="E16" s="90">
        <f>SUMIF(Profitability_Model!L2:L402,"EXIT",Profitability_Model!C2:C402)</f>
        <v>493640.87000000005</v>
      </c>
      <c r="F16" s="97">
        <f>SUMIF(Profitability_Model!L2:L402,"EXIT",Profitability_Model!H2:H402)</f>
        <v>100781.29000000002</v>
      </c>
      <c r="G16" s="72"/>
      <c r="H16" s="92" t="s">
        <v>555</v>
      </c>
      <c r="I16" s="275">
        <f>-SUM(Profitability_Model!F2:F402)</f>
        <v>-1674817.2699999979</v>
      </c>
      <c r="J16" s="275"/>
      <c r="K16" s="276">
        <f t="shared" si="0"/>
        <v>-0.46644850295637436</v>
      </c>
      <c r="L16" s="276"/>
      <c r="M16" s="72"/>
      <c r="N16" s="286" t="s">
        <v>556</v>
      </c>
      <c r="O16" s="286"/>
      <c r="P16" s="286"/>
      <c r="Q16" s="286"/>
      <c r="R16" s="72"/>
      <c r="S16" s="72"/>
      <c r="T16" s="81" t="s">
        <v>557</v>
      </c>
      <c r="U16" s="134" t="str">
        <f ca="1">IF($Q$5=TRUE(), IFERROR(_xlfn.SINGLE(_xlfn.FORMULATEXT(I16)), "=-SUM(Profitability_Model!F2:F402)"), "—  toggle Q5=TRUE to reveal  —")</f>
        <v>—  toggle Q5=TRUE to reveal  —</v>
      </c>
    </row>
    <row r="17" spans="1:21" ht="21.75" customHeight="1" x14ac:dyDescent="0.35">
      <c r="A17" s="72"/>
      <c r="B17" s="98" t="s">
        <v>558</v>
      </c>
      <c r="C17" s="99">
        <f>SUM(C14:C16)</f>
        <v>400</v>
      </c>
      <c r="D17" s="100">
        <f>SUM(D14:D16)</f>
        <v>1</v>
      </c>
      <c r="E17" s="101">
        <f>SUM(E14:E16)</f>
        <v>3590572.7200000016</v>
      </c>
      <c r="F17" s="102">
        <f>SUM(F14:F16)</f>
        <v>1291923.4300000002</v>
      </c>
      <c r="G17" s="72"/>
      <c r="H17" s="92" t="s">
        <v>559</v>
      </c>
      <c r="I17" s="275">
        <f>-SUM(Profitability_Model!G2:G402)</f>
        <v>-615215.17999999982</v>
      </c>
      <c r="J17" s="275"/>
      <c r="K17" s="276">
        <f t="shared" si="0"/>
        <v>-0.17134179641402711</v>
      </c>
      <c r="L17" s="276"/>
      <c r="M17" s="72"/>
      <c r="N17" s="288" t="str">
        <f>"(decision unchanged across all 3 stress scenarios)"</f>
        <v>(decision unchanged across all 3 stress scenarios)</v>
      </c>
      <c r="O17" s="288"/>
      <c r="P17" s="288"/>
      <c r="Q17" s="288"/>
      <c r="R17" s="72"/>
      <c r="S17" s="72"/>
      <c r="T17" s="80" t="s">
        <v>560</v>
      </c>
      <c r="U17" s="133" t="str">
        <f ca="1">IF($Q$5=TRUE(), IFERROR(_xlfn.SINGLE(_xlfn.FORMULATEXT(I18)), "=SUM(Profitability_Model!H2:H402)"), "—  toggle Q5=TRUE to reveal  —")</f>
        <v>—  toggle Q5=TRUE to reveal  —</v>
      </c>
    </row>
    <row r="18" spans="1:21" ht="21.75" customHeight="1" x14ac:dyDescent="0.35">
      <c r="A18" s="72"/>
      <c r="B18" s="82"/>
      <c r="C18" s="82"/>
      <c r="D18" s="82"/>
      <c r="E18" s="82"/>
      <c r="F18" s="82"/>
      <c r="G18" s="72"/>
      <c r="H18" s="103" t="s">
        <v>544</v>
      </c>
      <c r="I18" s="282">
        <f>SUM(Profitability_Model!H2:H402)</f>
        <v>1291923.4300000018</v>
      </c>
      <c r="J18" s="282"/>
      <c r="K18" s="283">
        <f t="shared" si="0"/>
        <v>0.35980984949944178</v>
      </c>
      <c r="L18" s="283"/>
      <c r="M18" s="72"/>
      <c r="N18" s="82"/>
      <c r="O18" s="82"/>
      <c r="P18" s="82"/>
      <c r="Q18" s="82"/>
      <c r="R18" s="72"/>
      <c r="S18" s="72"/>
      <c r="T18" s="81" t="s">
        <v>561</v>
      </c>
      <c r="U18" s="134" t="str">
        <f>IF($Q$5=TRUE(), IFERROR(_xludf.formulatext(K16), "=I16/$I$13"), "—  toggle Q5=TRUE to reveal  —")</f>
        <v>—  toggle Q5=TRUE to reveal  —</v>
      </c>
    </row>
    <row r="19" spans="1:21" ht="21.75" customHeight="1" x14ac:dyDescent="0.35">
      <c r="A19" s="72"/>
      <c r="B19" s="82"/>
      <c r="C19" s="82"/>
      <c r="D19" s="82"/>
      <c r="E19" s="82"/>
      <c r="F19" s="82"/>
      <c r="G19" s="72"/>
      <c r="H19" s="82"/>
      <c r="I19" s="82"/>
      <c r="J19" s="82"/>
      <c r="K19" s="82"/>
      <c r="L19" s="82"/>
      <c r="M19" s="72"/>
      <c r="N19" s="284">
        <f>COUNTIF(Scenario_Analysis!R2:R402,"Decision changes")</f>
        <v>28</v>
      </c>
      <c r="O19" s="284"/>
      <c r="P19" s="284"/>
      <c r="Q19" s="284"/>
      <c r="R19" s="72"/>
      <c r="S19" s="72"/>
      <c r="T19" s="80" t="s">
        <v>562</v>
      </c>
      <c r="U19" s="133" t="str">
        <f ca="1">IF($Q$5=TRUE(), IFERROR(_xlfn.SINGLE(_xlfn.FORMULATEXT(N15)), "=COUNTIF(Scenario_Analysis!R2:R402,""Stable"")"), "—  toggle Q5=TRUE to reveal  —")</f>
        <v>—  toggle Q5=TRUE to reveal  —</v>
      </c>
    </row>
    <row r="20" spans="1:21" ht="21.75" customHeight="1" x14ac:dyDescent="0.35">
      <c r="A20" s="72"/>
      <c r="B20" s="82"/>
      <c r="C20" s="82"/>
      <c r="D20" s="82"/>
      <c r="E20" s="82"/>
      <c r="F20" s="82"/>
      <c r="G20" s="72"/>
      <c r="H20" s="285" t="s">
        <v>563</v>
      </c>
      <c r="I20" s="285"/>
      <c r="J20" s="285"/>
      <c r="K20" s="285"/>
      <c r="L20" s="285"/>
      <c r="M20" s="72"/>
      <c r="N20" s="286" t="s">
        <v>564</v>
      </c>
      <c r="O20" s="286"/>
      <c r="P20" s="286"/>
      <c r="Q20" s="286"/>
      <c r="R20" s="72"/>
      <c r="S20" s="72"/>
      <c r="T20" s="81" t="s">
        <v>565</v>
      </c>
      <c r="U20" s="134" t="str">
        <f ca="1">IF($Q$5=TRUE(), IFERROR(_xlfn.SINGLE(_xlfn.FORMULATEXT(N24)), "=COUNTIF(Scenario_Analysis!R2:R402,""Stable"")/400"), "—  toggle Q5=TRUE to reveal  —")</f>
        <v>—  toggle Q5=TRUE to reveal  —</v>
      </c>
    </row>
    <row r="21" spans="1:21" ht="21.75" customHeight="1" x14ac:dyDescent="0.35">
      <c r="A21" s="72"/>
      <c r="B21" s="82"/>
      <c r="C21" s="82"/>
      <c r="D21" s="82"/>
      <c r="E21" s="82"/>
      <c r="F21" s="82"/>
      <c r="G21" s="72"/>
      <c r="H21" s="287" t="str">
        <f>"•  COGS represents "&amp;TEXT(SUM(Profitability_Model!F2:F402)/SUM(Profitability_Model!C2:C402),"0.0%")&amp;" of gross revenue — largest cost driver"</f>
        <v>•  COGS represents 46.6% of gross revenue — largest cost driver</v>
      </c>
      <c r="I21" s="287"/>
      <c r="J21" s="287"/>
      <c r="K21" s="287"/>
      <c r="L21" s="287"/>
      <c r="M21" s="72"/>
      <c r="N21" s="288" t="str">
        <f>"(require monitoring — flip categories under stress)"</f>
        <v>(require monitoring — flip categories under stress)</v>
      </c>
      <c r="O21" s="288"/>
      <c r="P21" s="288"/>
      <c r="Q21" s="288"/>
      <c r="R21" s="72"/>
      <c r="S21" s="72"/>
      <c r="T21" s="80" t="s">
        <v>566</v>
      </c>
      <c r="U21" s="133" t="str">
        <f>IF($Q$5=TRUE(), IFERROR(_xludf.formulatext(B35), "=RANK(G35,$G$35:$G$44)"), "—  toggle Q5=TRUE to reveal  —")</f>
        <v>—  toggle Q5=TRUE to reveal  —</v>
      </c>
    </row>
    <row r="22" spans="1:21" ht="21.75" customHeight="1" x14ac:dyDescent="0.35">
      <c r="A22" s="72"/>
      <c r="B22" s="82"/>
      <c r="C22" s="82"/>
      <c r="D22" s="82"/>
      <c r="E22" s="82"/>
      <c r="F22" s="82"/>
      <c r="G22" s="72"/>
      <c r="H22" s="287" t="str">
        <f>"•  Operating costs absorb "&amp;TEXT(SUM(Profitability_Model!G2:G402)/SUM(Profitability_Model!C2:C402),"0.0%")&amp;" of revenue"</f>
        <v>•  Operating costs absorb 17.1% of revenue</v>
      </c>
      <c r="I22" s="287"/>
      <c r="J22" s="287"/>
      <c r="K22" s="287"/>
      <c r="L22" s="287"/>
      <c r="M22" s="72"/>
      <c r="N22" s="82"/>
      <c r="O22" s="82"/>
      <c r="P22" s="82"/>
      <c r="Q22" s="82"/>
      <c r="R22" s="72"/>
      <c r="S22" s="72"/>
      <c r="T22" s="81" t="s">
        <v>567</v>
      </c>
      <c r="U22" s="134" t="str">
        <f ca="1">IF($Q$5=TRUE(), IFERROR(_xlfn.SINGLE(_xlfn.FORMULATEXT(E35)), "=COUNTIF(Profitability_Model!B2:B402,""health_beauty"")"), "—  toggle Q5=TRUE to reveal  —")</f>
        <v>—  toggle Q5=TRUE to reveal  —</v>
      </c>
    </row>
    <row r="23" spans="1:21" ht="21.75" customHeight="1" x14ac:dyDescent="0.35">
      <c r="A23" s="72"/>
      <c r="B23" s="82"/>
      <c r="C23" s="82"/>
      <c r="D23" s="82"/>
      <c r="E23" s="82"/>
      <c r="F23" s="82"/>
      <c r="G23" s="72"/>
      <c r="H23" s="287" t="str">
        <f>"•  Returns are minimal at "&amp;TEXT(SUM(Profitability_Model!D2:D402)/SUM(Profitability_Model!C2:C402),"0.00%")&amp;" — low quality risk"</f>
        <v>•  Returns are minimal at 0.24% — low quality risk</v>
      </c>
      <c r="I23" s="287"/>
      <c r="J23" s="287"/>
      <c r="K23" s="287"/>
      <c r="L23" s="287"/>
      <c r="M23" s="72"/>
      <c r="N23" s="286" t="s">
        <v>568</v>
      </c>
      <c r="O23" s="286"/>
      <c r="P23" s="286"/>
      <c r="Q23" s="286"/>
      <c r="R23" s="72"/>
      <c r="S23" s="72"/>
      <c r="T23" s="80" t="s">
        <v>569</v>
      </c>
      <c r="U23" s="133" t="str">
        <f ca="1">IF($Q$5=TRUE(), IFERROR(_xlfn.SINGLE(_xlfn.FORMULATEXT(F35)), "=SUMIF(Profitability_Model!B2:B402,""health_beauty"",Profitability_Model!C2:C402)"), "—  toggle Q5=TRUE to reveal  —")</f>
        <v>—  toggle Q5=TRUE to reveal  —</v>
      </c>
    </row>
    <row r="24" spans="1:21" ht="21.75" customHeight="1" x14ac:dyDescent="0.35">
      <c r="A24" s="72"/>
      <c r="B24" s="82"/>
      <c r="C24" s="82"/>
      <c r="D24" s="82"/>
      <c r="E24" s="82"/>
      <c r="F24" s="82"/>
      <c r="G24" s="72"/>
      <c r="H24" s="293" t="str">
        <f>"•  SCALE SKUs ("&amp;COUNTIF(Profitability_Model!L2:L402,"SCALE")&amp;") generate "&amp;TEXT(SUMIF(Profitability_Model!L2:L402,"SCALE",Profitability_Model!H2:H402)/SUM(Profitability_Model!H2:H402),"0.0%")&amp;" of total profit"</f>
        <v>•  SCALE SKUs (216) generate 61.9% of total profit</v>
      </c>
      <c r="I24" s="293"/>
      <c r="J24" s="293"/>
      <c r="K24" s="293"/>
      <c r="L24" s="293"/>
      <c r="M24" s="72"/>
      <c r="N24" s="294">
        <f>COUNTIF(Scenario_Analysis!R2:R402,"Stable")/400</f>
        <v>0.93</v>
      </c>
      <c r="O24" s="294"/>
      <c r="P24" s="294"/>
      <c r="Q24" s="294"/>
      <c r="R24" s="72"/>
      <c r="S24" s="72"/>
      <c r="T24" s="81" t="s">
        <v>570</v>
      </c>
      <c r="U24" s="134" t="str">
        <f ca="1">IF($Q$5=TRUE(), IFERROR(_xlfn.SINGLE(_xlfn.FORMULATEXT(G35)), "=SUMIF(Profitability_Model!B2:B402,""health_beauty"",Profitability_Model!H2:H402)"), "—  toggle Q5=TRUE to reveal  —")</f>
        <v>—  toggle Q5=TRUE to reveal  —</v>
      </c>
    </row>
    <row r="25" spans="1:21" ht="21.75" customHeight="1" x14ac:dyDescent="0.35">
      <c r="A25" s="72"/>
      <c r="B25" s="82"/>
      <c r="C25" s="82"/>
      <c r="D25" s="82"/>
      <c r="E25" s="82"/>
      <c r="F25" s="82"/>
      <c r="G25" s="72"/>
      <c r="H25" s="295" t="str">
        <f>"•  EXIT SKUs contribute only "&amp;TEXT(SUMIF(Profitability_Model!L2:L402,"EXIT",Profitability_Model!H2:H402)/SUM(Profitability_Model!H2:H402),"0.0%")&amp;" of profit"</f>
        <v>•  EXIT SKUs contribute only 7.8% of profit</v>
      </c>
      <c r="I25" s="295"/>
      <c r="J25" s="295"/>
      <c r="K25" s="295"/>
      <c r="L25" s="295"/>
      <c r="M25" s="72"/>
      <c r="N25" s="82"/>
      <c r="O25" s="82"/>
      <c r="P25" s="82"/>
      <c r="Q25" s="82"/>
      <c r="R25" s="72"/>
      <c r="S25" s="72"/>
      <c r="T25" s="80" t="s">
        <v>571</v>
      </c>
      <c r="U25" s="133" t="str">
        <f>IF($Q$5=TRUE(), IFERROR(_xludf.formulatext(H35), "=IFERROR(G35/F35,0)"), "—  toggle Q5=TRUE to reveal  —")</f>
        <v>—  toggle Q5=TRUE to reveal  —</v>
      </c>
    </row>
    <row r="26" spans="1:21" ht="21.75" customHeight="1" x14ac:dyDescent="0.35">
      <c r="A26" s="72"/>
      <c r="B26" s="72"/>
      <c r="C26" s="72"/>
      <c r="D26" s="72"/>
      <c r="E26" s="72"/>
      <c r="F26" s="72"/>
      <c r="G26" s="72"/>
      <c r="H26" s="104"/>
      <c r="I26" s="104"/>
      <c r="J26" s="104"/>
      <c r="K26" s="104"/>
      <c r="L26" s="104"/>
      <c r="M26" s="72"/>
      <c r="N26" s="82"/>
      <c r="O26" s="82"/>
      <c r="P26" s="82"/>
      <c r="Q26" s="82"/>
      <c r="R26" s="72"/>
      <c r="S26" s="72"/>
      <c r="T26" s="81" t="s">
        <v>572</v>
      </c>
      <c r="U26" s="134" t="str">
        <f ca="1">IF($Q$5=TRUE(), IFERROR(_xlfn.SINGLE(_xlfn.FORMULATEXT(I35)), "=G35/SUM(Profitability_Model!H2:H402)"), "—  toggle Q5=TRUE to reveal  —")</f>
        <v>—  toggle Q5=TRUE to reveal  —</v>
      </c>
    </row>
    <row r="27" spans="1:21" ht="21.75" customHeight="1" x14ac:dyDescent="0.35">
      <c r="A27" s="72"/>
      <c r="B27" s="72"/>
      <c r="C27" s="72"/>
      <c r="D27" s="72"/>
      <c r="E27" s="72"/>
      <c r="F27" s="72"/>
      <c r="G27" s="72"/>
      <c r="H27" s="104"/>
      <c r="I27" s="104"/>
      <c r="J27" s="104"/>
      <c r="K27" s="104"/>
      <c r="L27" s="104"/>
      <c r="M27" s="72"/>
      <c r="N27" s="82"/>
      <c r="O27" s="82"/>
      <c r="P27" s="82"/>
      <c r="Q27" s="82"/>
      <c r="R27" s="72"/>
      <c r="S27" s="72"/>
      <c r="T27" s="80" t="s">
        <v>573</v>
      </c>
      <c r="U27" s="133" t="str">
        <f ca="1">IF($Q$5=TRUE(), IFERROR(_xlfn.SINGLE(_xlfn.FORMULATEXT(K35)), "=LEFT(INDEX(Profitability_Model!A2:A402,MATCH(LARGE(Profitability_Model!H2:H402,1),Profitability_Model!H2:H402,0)),16)&amp;""..."""), "—  toggle Q5=TRUE to reveal  —")</f>
        <v>—  toggle Q5=TRUE to reveal  —</v>
      </c>
    </row>
    <row r="28" spans="1:21" ht="21.75" customHeight="1" x14ac:dyDescent="0.35">
      <c r="A28" s="72"/>
      <c r="B28" s="72"/>
      <c r="C28" s="72"/>
      <c r="D28" s="72"/>
      <c r="E28" s="72"/>
      <c r="F28" s="72"/>
      <c r="G28" s="72"/>
      <c r="H28" s="104"/>
      <c r="I28" s="104"/>
      <c r="J28" s="104"/>
      <c r="K28" s="104"/>
      <c r="L28" s="104"/>
      <c r="M28" s="72"/>
      <c r="N28" s="82"/>
      <c r="O28" s="82"/>
      <c r="P28" s="82"/>
      <c r="Q28" s="82"/>
      <c r="R28" s="72"/>
      <c r="S28" s="72"/>
      <c r="T28" s="81" t="s">
        <v>574</v>
      </c>
      <c r="U28" s="134" t="str">
        <f ca="1">IF($Q$5=TRUE(), IFERROR(_xlfn.SINGLE(_xlfn.FORMULATEXT(M35)), "=INDEX(Profitability_Model!B2:B402,MATCH(LARGE(Profitability_Model!H2:H402,1),Profitability_Model!H2:H402,0))"), "—  toggle Q5=TRUE to reveal  —")</f>
        <v>—  toggle Q5=TRUE to reveal  —</v>
      </c>
    </row>
    <row r="29" spans="1:21" ht="21.75" customHeight="1" x14ac:dyDescent="0.35">
      <c r="A29" s="72"/>
      <c r="B29" s="72"/>
      <c r="C29" s="72"/>
      <c r="D29" s="72"/>
      <c r="E29" s="72"/>
      <c r="F29" s="72"/>
      <c r="G29" s="72"/>
      <c r="H29" s="104"/>
      <c r="I29" s="104"/>
      <c r="J29" s="104"/>
      <c r="K29" s="104"/>
      <c r="L29" s="104"/>
      <c r="M29" s="72"/>
      <c r="N29" s="82"/>
      <c r="O29" s="82"/>
      <c r="P29" s="82"/>
      <c r="Q29" s="82"/>
      <c r="R29" s="72"/>
      <c r="S29" s="72"/>
      <c r="T29" s="80" t="s">
        <v>575</v>
      </c>
      <c r="U29" s="133" t="str">
        <f ca="1">IF($Q$5=TRUE(), IFERROR(_xlfn.SINGLE(_xlfn.FORMULATEXT(O35)), "=LARGE(Profitability_Model!H2:H402,1)"), "—  toggle Q5=TRUE to reveal  —")</f>
        <v>—  toggle Q5=TRUE to reveal  —</v>
      </c>
    </row>
    <row r="30" spans="1:21" ht="21.75" customHeight="1" x14ac:dyDescent="0.35">
      <c r="A30" s="72"/>
      <c r="B30" s="72"/>
      <c r="C30" s="72"/>
      <c r="D30" s="72"/>
      <c r="E30" s="72"/>
      <c r="F30" s="72"/>
      <c r="G30" s="72"/>
      <c r="H30" s="104"/>
      <c r="I30" s="104"/>
      <c r="J30" s="104"/>
      <c r="K30" s="104"/>
      <c r="L30" s="104"/>
      <c r="M30" s="72"/>
      <c r="N30" s="82"/>
      <c r="O30" s="82"/>
      <c r="P30" s="82"/>
      <c r="Q30" s="82"/>
      <c r="R30" s="72"/>
      <c r="S30" s="72"/>
      <c r="T30" s="81" t="s">
        <v>576</v>
      </c>
      <c r="U30" s="134" t="str">
        <f ca="1">IF($Q$5=TRUE(), IFERROR(_xlfn.SINGLE(_xlfn.FORMULATEXT(Q35)), "=INDEX(Profitability_Model!L2:L402,MATCH(LARGE(Profitability_Model!H2:H402,1),Profitability_Model!H2:H402,0))"), "—  toggle Q5=TRUE to reveal  —")</f>
        <v>—  toggle Q5=TRUE to reveal  —</v>
      </c>
    </row>
    <row r="31" spans="1:21" ht="21.75" customHeight="1" x14ac:dyDescent="0.3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80" t="s">
        <v>577</v>
      </c>
      <c r="U31" s="133" t="str">
        <f ca="1">IF($Q$5=TRUE(), IFERROR(_xlfn.SINGLE(_xlfn.FORMULATEXT(E50)), "=AVERAGE(Scenario_Analysis!D2:D402)"), "—  toggle Q5=TRUE to reveal  —")</f>
        <v>—  toggle Q5=TRUE to reveal  —</v>
      </c>
    </row>
    <row r="32" spans="1:21" ht="21.75" customHeight="1" x14ac:dyDescent="0.35">
      <c r="A32" s="72"/>
      <c r="B32" s="281" t="s">
        <v>578</v>
      </c>
      <c r="C32" s="281"/>
      <c r="D32" s="281"/>
      <c r="E32" s="281"/>
      <c r="F32" s="281"/>
      <c r="G32" s="281"/>
      <c r="H32" s="281"/>
      <c r="I32" s="289"/>
      <c r="J32" s="281" t="s">
        <v>579</v>
      </c>
      <c r="K32" s="281"/>
      <c r="L32" s="281"/>
      <c r="M32" s="281"/>
      <c r="N32" s="281"/>
      <c r="O32" s="281"/>
      <c r="P32" s="281"/>
      <c r="Q32" s="281"/>
      <c r="R32" s="72"/>
      <c r="S32" s="72"/>
      <c r="T32" s="81" t="s">
        <v>580</v>
      </c>
      <c r="U32" s="134" t="str">
        <f ca="1">IF($Q$5=TRUE(), IFERROR(_xlfn.SINGLE(_xlfn.FORMULATEXT(E51)), "=AVERAGE(Scenario_Analysis!G2:G402)"), "—  toggle Q5=TRUE to reveal  —")</f>
        <v>—  toggle Q5=TRUE to reveal  —</v>
      </c>
    </row>
    <row r="33" spans="1:21" ht="21.75" customHeight="1" x14ac:dyDescent="0.35">
      <c r="A33" s="72"/>
      <c r="B33" s="82"/>
      <c r="C33" s="82"/>
      <c r="D33" s="82"/>
      <c r="E33" s="82"/>
      <c r="F33" s="82"/>
      <c r="G33" s="82"/>
      <c r="H33" s="82"/>
      <c r="I33" s="118"/>
      <c r="J33" s="82"/>
      <c r="K33" s="82"/>
      <c r="L33" s="82"/>
      <c r="M33" s="82"/>
      <c r="N33" s="82"/>
      <c r="O33" s="82"/>
      <c r="P33" s="82"/>
      <c r="Q33" s="82"/>
      <c r="R33" s="72"/>
      <c r="S33" s="72"/>
      <c r="T33" s="80" t="s">
        <v>581</v>
      </c>
      <c r="U33" s="133" t="str">
        <f>IF($Q$5=TRUE(), IFERROR(_xludf.formulatext(F51), "=E51-$E$50"), "—  toggle Q5=TRUE to reveal  —")</f>
        <v>—  toggle Q5=TRUE to reveal  —</v>
      </c>
    </row>
    <row r="34" spans="1:21" ht="21.75" customHeight="1" x14ac:dyDescent="0.35">
      <c r="A34" s="72"/>
      <c r="B34" s="144" t="s">
        <v>582</v>
      </c>
      <c r="C34" s="290" t="s">
        <v>583</v>
      </c>
      <c r="D34" s="290"/>
      <c r="E34" s="145" t="s">
        <v>541</v>
      </c>
      <c r="F34" s="145" t="s">
        <v>543</v>
      </c>
      <c r="G34" s="145" t="s">
        <v>544</v>
      </c>
      <c r="H34" s="145" t="s">
        <v>584</v>
      </c>
      <c r="I34" s="146" t="s">
        <v>585</v>
      </c>
      <c r="J34" s="144" t="s">
        <v>582</v>
      </c>
      <c r="K34" s="290" t="s">
        <v>586</v>
      </c>
      <c r="L34" s="290"/>
      <c r="M34" s="147" t="s">
        <v>583</v>
      </c>
      <c r="N34" s="145" t="s">
        <v>543</v>
      </c>
      <c r="O34" s="145" t="s">
        <v>544</v>
      </c>
      <c r="P34" s="145" t="s">
        <v>584</v>
      </c>
      <c r="Q34" s="105" t="s">
        <v>540</v>
      </c>
      <c r="R34" s="72"/>
      <c r="S34" s="72"/>
      <c r="T34" s="81" t="s">
        <v>587</v>
      </c>
      <c r="U34" s="134" t="str">
        <f ca="1">IF($Q$5=TRUE(), IFERROR(_xlfn.SINGLE(_xlfn.FORMULATEXT(G51)), "=COUNTIF(Scenario_Analysis!I2:I402,""SCALE"")"), "—  toggle Q5=TRUE to reveal  —")</f>
        <v>—  toggle Q5=TRUE to reveal  —</v>
      </c>
    </row>
    <row r="35" spans="1:21" ht="21.75" customHeight="1" x14ac:dyDescent="0.35">
      <c r="A35" s="72"/>
      <c r="B35" s="148">
        <f t="shared" ref="B35:B44" si="1">RANK(G35,$G$35:$G$44)</f>
        <v>2</v>
      </c>
      <c r="C35" s="291" t="s">
        <v>588</v>
      </c>
      <c r="D35" s="291"/>
      <c r="E35" s="149">
        <f>COUNTIF(Profitability_Model!B2:B402,"health_beauty")</f>
        <v>55</v>
      </c>
      <c r="F35" s="150">
        <f>SUMIF(Profitability_Model!B2:B402,"health_beauty",Profitability_Model!C2:C402)</f>
        <v>518755.99999999988</v>
      </c>
      <c r="G35" s="151">
        <f>SUMIF(Profitability_Model!B2:B402,"health_beauty",Profitability_Model!H2:H402)</f>
        <v>225056.17999999996</v>
      </c>
      <c r="H35" s="152">
        <f t="shared" ref="H35:H45" si="2">IFERROR(G35/F35,0)</f>
        <v>0.43383822066636341</v>
      </c>
      <c r="I35" s="153">
        <f>G35/SUM(Profitability_Model!H2:H402)</f>
        <v>0.17420241383810156</v>
      </c>
      <c r="J35" s="148">
        <v>1</v>
      </c>
      <c r="K35" s="292" t="str">
        <f>LEFT(INDEX(Profitability_Model!A2:A402,MATCH(LARGE(Profitability_Model!H2:H402,1),Profitability_Model!H2:H402,0)),16)&amp;"..."</f>
        <v>bb50f2e236e5eea0...</v>
      </c>
      <c r="L35" s="292"/>
      <c r="M35" s="154" t="str">
        <f>INDEX(Profitability_Model!B2:B402,MATCH(LARGE(Profitability_Model!H2:H402,1),Profitability_Model!H2:H402,0))</f>
        <v>health_beauty</v>
      </c>
      <c r="N35" s="150">
        <f>INDEX(Profitability_Model!C2:C402,MATCH(LARGE(Profitability_Model!H2:H402,1),Profitability_Model!H2:H402,0))</f>
        <v>63885</v>
      </c>
      <c r="O35" s="151">
        <f>LARGE(Profitability_Model!H2:H402,1)</f>
        <v>32319.000000000007</v>
      </c>
      <c r="P35" s="152">
        <f>INDEX(Profitability_Model!J2:J402,MATCH(LARGE(Profitability_Model!H2:H402,1),Profitability_Model!H2:H402,0))</f>
        <v>0.505893402207091</v>
      </c>
      <c r="Q35" s="108" t="str">
        <f>INDEX(Profitability_Model!L2:L402,MATCH(LARGE(Profitability_Model!H2:H402,1),Profitability_Model!H2:H402,0))</f>
        <v>SCALE</v>
      </c>
      <c r="R35" s="72"/>
      <c r="S35" s="72"/>
      <c r="T35" s="80" t="s">
        <v>589</v>
      </c>
      <c r="U35" s="133" t="str">
        <f>IF($Q$5=TRUE(), IFERROR(_xludf.formulatext(K52), "=Sensitivity_Analysis!C5"), "—  toggle Q5=TRUE to reveal  —")</f>
        <v>—  toggle Q5=TRUE to reveal  —</v>
      </c>
    </row>
    <row r="36" spans="1:21" ht="21.75" customHeight="1" x14ac:dyDescent="0.35">
      <c r="A36" s="72"/>
      <c r="B36" s="148">
        <f t="shared" si="1"/>
        <v>1</v>
      </c>
      <c r="C36" s="291" t="s">
        <v>590</v>
      </c>
      <c r="D36" s="291"/>
      <c r="E36" s="149">
        <f>COUNTIF(Profitability_Model!B2:B402,"watches_gifts")</f>
        <v>46</v>
      </c>
      <c r="F36" s="150">
        <f>SUMIF(Profitability_Model!B2:B402,"watches_gifts",Profitability_Model!C2:C402)</f>
        <v>487795.98000000004</v>
      </c>
      <c r="G36" s="151">
        <f>SUMIF(Profitability_Model!B2:B402,"watches_gifts",Profitability_Model!H2:H402)</f>
        <v>232128.84000000005</v>
      </c>
      <c r="H36" s="152">
        <f t="shared" si="2"/>
        <v>0.47587280239578855</v>
      </c>
      <c r="I36" s="153">
        <f>G36/SUM(Profitability_Model!H2:H402)</f>
        <v>0.17967693333032883</v>
      </c>
      <c r="J36" s="148">
        <v>2</v>
      </c>
      <c r="K36" s="292" t="str">
        <f>LEFT(INDEX(Profitability_Model!A2:A402,MATCH(LARGE(Profitability_Model!H2:H402,2),Profitability_Model!H2:H402,0)),16)&amp;"..."</f>
        <v>6cdd53843498f928...</v>
      </c>
      <c r="L36" s="292"/>
      <c r="M36" s="154" t="str">
        <f>INDEX(Profitability_Model!B2:B402,MATCH(LARGE(Profitability_Model!H2:H402,2),Profitability_Model!H2:H402,0))</f>
        <v>health_beauty</v>
      </c>
      <c r="N36" s="150">
        <f>INDEX(Profitability_Model!C2:C402,MATCH(LARGE(Profitability_Model!H2:H402,2),Profitability_Model!H2:H402,0))</f>
        <v>54730.2</v>
      </c>
      <c r="O36" s="151">
        <f>LARGE(Profitability_Model!H2:H402,2)</f>
        <v>26563.569999999992</v>
      </c>
      <c r="P36" s="152">
        <f>INDEX(Profitability_Model!J2:J402,MATCH(LARGE(Profitability_Model!H2:H402,2),Profitability_Model!H2:H402,0))</f>
        <v>0.48535488633332224</v>
      </c>
      <c r="Q36" s="108" t="str">
        <f>INDEX(Profitability_Model!L2:L402,MATCH(LARGE(Profitability_Model!H2:H402,2),Profitability_Model!H2:H402,0))</f>
        <v>SCALE</v>
      </c>
      <c r="R36" s="72"/>
      <c r="S36" s="72"/>
      <c r="T36" s="81" t="s">
        <v>591</v>
      </c>
      <c r="U36" s="134" t="str">
        <f>IF($Q$5=TRUE(), IFERROR(_xludf.formulatext(O56), "=Sensitivity_Analysis!G9"), "—  toggle Q5=TRUE to reveal  —")</f>
        <v>—  toggle Q5=TRUE to reveal  —</v>
      </c>
    </row>
    <row r="37" spans="1:21" ht="21.75" customHeight="1" x14ac:dyDescent="0.35">
      <c r="A37" s="72"/>
      <c r="B37" s="148">
        <f t="shared" si="1"/>
        <v>5</v>
      </c>
      <c r="C37" s="291" t="s">
        <v>592</v>
      </c>
      <c r="D37" s="291"/>
      <c r="E37" s="149">
        <f>COUNTIF(Profitability_Model!B2:B402,"computers_accessories")</f>
        <v>34</v>
      </c>
      <c r="F37" s="150">
        <f>SUMIF(Profitability_Model!B2:B402,"computers_accessories",Profitability_Model!C2:C402)</f>
        <v>323521.96999999997</v>
      </c>
      <c r="G37" s="151">
        <f>SUMIF(Profitability_Model!B2:B402,"computers_accessories",Profitability_Model!H2:H402)</f>
        <v>64623.220000000008</v>
      </c>
      <c r="H37" s="152">
        <f t="shared" si="2"/>
        <v>0.19974909277413219</v>
      </c>
      <c r="I37" s="153">
        <f>G37/SUM(Profitability_Model!H2:H402)</f>
        <v>5.0020936612319135E-2</v>
      </c>
      <c r="J37" s="148">
        <v>3</v>
      </c>
      <c r="K37" s="292" t="str">
        <f>LEFT(INDEX(Profitability_Model!A2:A402,MATCH(LARGE(Profitability_Model!H2:H402,3),Profitability_Model!H2:H402,0)),16)&amp;"..."</f>
        <v>25c38557cf793876...</v>
      </c>
      <c r="L37" s="292"/>
      <c r="M37" s="154" t="str">
        <f>INDEX(Profitability_Model!B2:B402,MATCH(LARGE(Profitability_Model!H2:H402,3),Profitability_Model!H2:H402,0))</f>
        <v>baby</v>
      </c>
      <c r="N37" s="150">
        <f>INDEX(Profitability_Model!C2:C402,MATCH(LARGE(Profitability_Model!H2:H402,3),Profitability_Model!H2:H402,0))</f>
        <v>38907.32</v>
      </c>
      <c r="O37" s="151">
        <f>LARGE(Profitability_Model!H2:H402,3)</f>
        <v>20957.939999999999</v>
      </c>
      <c r="P37" s="152">
        <f>INDEX(Profitability_Model!J2:J402,MATCH(LARGE(Profitability_Model!H2:H402,3),Profitability_Model!H2:H402,0))</f>
        <v>0.53866316158501792</v>
      </c>
      <c r="Q37" s="108" t="str">
        <f>INDEX(Profitability_Model!L2:L402,MATCH(LARGE(Profitability_Model!H2:H402,3),Profitability_Model!H2:H402,0))</f>
        <v>EXIT</v>
      </c>
      <c r="R37" s="72"/>
      <c r="S37" s="72"/>
      <c r="T37" s="72"/>
      <c r="U37" s="130"/>
    </row>
    <row r="38" spans="1:21" ht="21.75" customHeight="1" x14ac:dyDescent="0.35">
      <c r="A38" s="72"/>
      <c r="B38" s="148">
        <f t="shared" si="1"/>
        <v>3</v>
      </c>
      <c r="C38" s="291" t="s">
        <v>593</v>
      </c>
      <c r="D38" s="291"/>
      <c r="E38" s="149">
        <f>COUNTIF(Profitability_Model!B2:B402,"cool_stuff")</f>
        <v>24</v>
      </c>
      <c r="F38" s="150">
        <f>SUMIF(Profitability_Model!B2:B402,"cool_stuff",Profitability_Model!C2:C402)</f>
        <v>232895.88</v>
      </c>
      <c r="G38" s="151">
        <f>SUMIF(Profitability_Model!B2:B402,"cool_stuff",Profitability_Model!H2:H402)</f>
        <v>91635.19</v>
      </c>
      <c r="H38" s="152">
        <f t="shared" si="2"/>
        <v>0.39345990148043841</v>
      </c>
      <c r="I38" s="153">
        <f>G38/SUM(Profitability_Model!H2:H402)</f>
        <v>7.092927326196094E-2</v>
      </c>
      <c r="J38" s="148">
        <v>4</v>
      </c>
      <c r="K38" s="292" t="str">
        <f>LEFT(INDEX(Profitability_Model!A2:A402,MATCH(LARGE(Profitability_Model!H2:H402,4),Profitability_Model!H2:H402,0)),16)&amp;"..."</f>
        <v>d6160fb7873f1840...</v>
      </c>
      <c r="L38" s="292"/>
      <c r="M38" s="154" t="str">
        <f>INDEX(Profitability_Model!B2:B402,MATCH(LARGE(Profitability_Model!H2:H402,4),Profitability_Model!H2:H402,0))</f>
        <v>computers</v>
      </c>
      <c r="N38" s="150">
        <f>INDEX(Profitability_Model!C2:C402,MATCH(LARGE(Profitability_Model!H2:H402,4),Profitability_Model!H2:H402,0))</f>
        <v>48899.34</v>
      </c>
      <c r="O38" s="151">
        <f>LARGE(Profitability_Model!H2:H402,4)</f>
        <v>19139.629999999997</v>
      </c>
      <c r="P38" s="152">
        <f>INDEX(Profitability_Model!J2:J402,MATCH(LARGE(Profitability_Model!H2:H402,4),Profitability_Model!H2:H402,0))</f>
        <v>0.39140875930022773</v>
      </c>
      <c r="Q38" s="108" t="str">
        <f>INDEX(Profitability_Model!L2:L402,MATCH(LARGE(Profitability_Model!H2:H402,4),Profitability_Model!H2:H402,0))</f>
        <v>SCALE</v>
      </c>
      <c r="R38" s="72"/>
      <c r="S38" s="72"/>
      <c r="T38" s="72"/>
      <c r="U38" s="130"/>
    </row>
    <row r="39" spans="1:21" ht="18" customHeight="1" x14ac:dyDescent="0.35">
      <c r="A39" s="72"/>
      <c r="B39" s="148">
        <f t="shared" si="1"/>
        <v>6</v>
      </c>
      <c r="C39" s="291" t="s">
        <v>594</v>
      </c>
      <c r="D39" s="291"/>
      <c r="E39" s="149">
        <f>COUNTIF(Profitability_Model!B2:B402,"bed_bath_table")</f>
        <v>21</v>
      </c>
      <c r="F39" s="150">
        <f>SUMIF(Profitability_Model!B2:B402,"bed_bath_table",Profitability_Model!C2:C402)</f>
        <v>206262.35999999996</v>
      </c>
      <c r="G39" s="151">
        <f>SUMIF(Profitability_Model!B2:B402,"bed_bath_table",Profitability_Model!H2:H402)</f>
        <v>62380.510000000009</v>
      </c>
      <c r="H39" s="152">
        <f t="shared" si="2"/>
        <v>0.30243283360085682</v>
      </c>
      <c r="I39" s="153">
        <f>G39/SUM(Profitability_Model!H2:H402)</f>
        <v>4.8284990078707624E-2</v>
      </c>
      <c r="J39" s="148">
        <v>5</v>
      </c>
      <c r="K39" s="292" t="str">
        <f>LEFT(INDEX(Profitability_Model!A2:A402,MATCH(LARGE(Profitability_Model!H2:H402,5),Profitability_Model!H2:H402,0)),16)&amp;"..."</f>
        <v>53b36df67ebb7c41...</v>
      </c>
      <c r="L39" s="292"/>
      <c r="M39" s="154" t="str">
        <f>INDEX(Profitability_Model!B2:B402,MATCH(LARGE(Profitability_Model!H2:H402,5),Profitability_Model!H2:H402,0))</f>
        <v>watches_gifts</v>
      </c>
      <c r="N39" s="150">
        <f>INDEX(Profitability_Model!C2:C402,MATCH(LARGE(Profitability_Model!H2:H402,5),Profitability_Model!H2:H402,0))</f>
        <v>37683.42</v>
      </c>
      <c r="O39" s="151">
        <f>LARGE(Profitability_Model!H2:H402,5)</f>
        <v>17918.589999999997</v>
      </c>
      <c r="P39" s="152">
        <f>INDEX(Profitability_Model!J2:J402,MATCH(LARGE(Profitability_Model!H2:H402,5),Profitability_Model!H2:H402,0))</f>
        <v>0.47550328499907912</v>
      </c>
      <c r="Q39" s="108" t="str">
        <f>INDEX(Profitability_Model!L2:L402,MATCH(LARGE(Profitability_Model!H2:H402,5),Profitability_Model!H2:H402,0))</f>
        <v>SCALE</v>
      </c>
      <c r="R39" s="72"/>
      <c r="S39" s="72"/>
      <c r="T39" s="296" t="s">
        <v>595</v>
      </c>
      <c r="U39" s="296"/>
    </row>
    <row r="40" spans="1:21" ht="21.75" customHeight="1" x14ac:dyDescent="0.35">
      <c r="A40" s="72"/>
      <c r="B40" s="148">
        <f t="shared" si="1"/>
        <v>10</v>
      </c>
      <c r="C40" s="291" t="s">
        <v>596</v>
      </c>
      <c r="D40" s="291"/>
      <c r="E40" s="149">
        <f>COUNTIF(Profitability_Model!B2:B402,"garden_tools")</f>
        <v>17</v>
      </c>
      <c r="F40" s="150">
        <f>SUMIF(Profitability_Model!B2:B402,"garden_tools",Profitability_Model!C2:C402)</f>
        <v>200454.76000000004</v>
      </c>
      <c r="G40" s="151">
        <f>SUMIF(Profitability_Model!B2:B402,"garden_tools",Profitability_Model!H2:H402)</f>
        <v>16743.79</v>
      </c>
      <c r="H40" s="152">
        <f t="shared" si="2"/>
        <v>8.3529021710434803E-2</v>
      </c>
      <c r="I40" s="153">
        <f>G40/SUM(Profitability_Model!H2:H402)</f>
        <v>1.2960357875079313E-2</v>
      </c>
      <c r="J40" s="148">
        <v>6</v>
      </c>
      <c r="K40" s="292" t="str">
        <f>LEFT(INDEX(Profitability_Model!A2:A402,MATCH(LARGE(Profitability_Model!H2:H402,6),Profitability_Model!H2:H402,0)),16)&amp;"..."</f>
        <v>5f504b3a1c75b73d...</v>
      </c>
      <c r="L40" s="292"/>
      <c r="M40" s="154" t="str">
        <f>INDEX(Profitability_Model!B2:B402,MATCH(LARGE(Profitability_Model!H2:H402,6),Profitability_Model!H2:H402,0))</f>
        <v>cool_stuff</v>
      </c>
      <c r="N40" s="150">
        <f>INDEX(Profitability_Model!C2:C402,MATCH(LARGE(Profitability_Model!H2:H402,6),Profitability_Model!H2:H402,0))</f>
        <v>37733.9</v>
      </c>
      <c r="O40" s="151">
        <f>LARGE(Profitability_Model!H2:H402,6)</f>
        <v>16424.050000000003</v>
      </c>
      <c r="P40" s="152">
        <f>INDEX(Profitability_Model!J2:J402,MATCH(LARGE(Profitability_Model!H2:H402,6),Profitability_Model!H2:H402,0))</f>
        <v>0.43525980616898868</v>
      </c>
      <c r="Q40" s="108" t="str">
        <f>INDEX(Profitability_Model!L2:L402,MATCH(LARGE(Profitability_Model!H2:H402,6),Profitability_Model!H2:H402,0))</f>
        <v>SCALE</v>
      </c>
      <c r="R40" s="72"/>
      <c r="S40" s="72"/>
      <c r="T40" s="72"/>
      <c r="U40" s="130"/>
    </row>
    <row r="41" spans="1:21" ht="21.75" customHeight="1" x14ac:dyDescent="0.35">
      <c r="A41" s="72"/>
      <c r="B41" s="148">
        <f t="shared" si="1"/>
        <v>7</v>
      </c>
      <c r="C41" s="291" t="s">
        <v>597</v>
      </c>
      <c r="D41" s="291"/>
      <c r="E41" s="149">
        <f>COUNTIF(Profitability_Model!B2:B402,"sports_leisure")</f>
        <v>17</v>
      </c>
      <c r="F41" s="150">
        <f>SUMIF(Profitability_Model!B2:B402,"sports_leisure",Profitability_Model!C2:C402)</f>
        <v>100673.99999999999</v>
      </c>
      <c r="G41" s="151">
        <f>SUMIF(Profitability_Model!B2:B402,"sports_leisure",Profitability_Model!H2:H402)</f>
        <v>42215.419999999991</v>
      </c>
      <c r="H41" s="152">
        <f t="shared" si="2"/>
        <v>0.41932792975346161</v>
      </c>
      <c r="I41" s="153">
        <f>G41/SUM(Profitability_Model!H2:H402)</f>
        <v>3.2676410242052763E-2</v>
      </c>
      <c r="J41" s="148">
        <v>7</v>
      </c>
      <c r="K41" s="292" t="str">
        <f>LEFT(INDEX(Profitability_Model!A2:A402,MATCH(LARGE(Profitability_Model!H2:H402,7),Profitability_Model!H2:H402,0)),16)&amp;"..."</f>
        <v>d285360f29ac7fd9...</v>
      </c>
      <c r="L41" s="292"/>
      <c r="M41" s="154" t="str">
        <f>INDEX(Profitability_Model!B2:B402,MATCH(LARGE(Profitability_Model!H2:H402,7),Profitability_Model!H2:H402,0))</f>
        <v>watches_gifts</v>
      </c>
      <c r="N41" s="150">
        <f>INDEX(Profitability_Model!C2:C402,MATCH(LARGE(Profitability_Model!H2:H402,7),Profitability_Model!H2:H402,0))</f>
        <v>31623.81</v>
      </c>
      <c r="O41" s="151">
        <f>LARGE(Profitability_Model!H2:H402,7)</f>
        <v>15702.770000000002</v>
      </c>
      <c r="P41" s="152">
        <f>INDEX(Profitability_Model!J2:J402,MATCH(LARGE(Profitability_Model!H2:H402,7),Profitability_Model!H2:H402,0))</f>
        <v>0.49654896105181512</v>
      </c>
      <c r="Q41" s="108" t="str">
        <f>INDEX(Profitability_Model!L2:L402,MATCH(LARGE(Profitability_Model!H2:H402,7),Profitability_Model!H2:H402,0))</f>
        <v>OPTIMIZE</v>
      </c>
      <c r="R41" s="72"/>
      <c r="S41" s="72"/>
      <c r="T41" s="72"/>
      <c r="U41" s="130"/>
    </row>
    <row r="42" spans="1:21" ht="21.75" customHeight="1" x14ac:dyDescent="0.35">
      <c r="A42" s="72"/>
      <c r="B42" s="148">
        <f t="shared" si="1"/>
        <v>4</v>
      </c>
      <c r="C42" s="291" t="s">
        <v>598</v>
      </c>
      <c r="D42" s="291"/>
      <c r="E42" s="149">
        <f>COUNTIF(Profitability_Model!B2:B402,"computers")</f>
        <v>15</v>
      </c>
      <c r="F42" s="150">
        <f>SUMIF(Profitability_Model!B2:B402,"computers",Profitability_Model!C2:C402)</f>
        <v>195498.64</v>
      </c>
      <c r="G42" s="151">
        <f>SUMIF(Profitability_Model!B2:B402,"computers",Profitability_Model!H2:H402)</f>
        <v>73778.760000000009</v>
      </c>
      <c r="H42" s="152">
        <f t="shared" si="2"/>
        <v>0.37738758694178132</v>
      </c>
      <c r="I42" s="153">
        <f>G42/SUM(Profitability_Model!H2:H402)</f>
        <v>5.7107687875898268E-2</v>
      </c>
      <c r="J42" s="148">
        <v>8</v>
      </c>
      <c r="K42" s="292" t="str">
        <f>LEFT(INDEX(Profitability_Model!A2:A402,MATCH(LARGE(Profitability_Model!H2:H402,8),Profitability_Model!H2:H402,0)),16)&amp;"..."</f>
        <v>f819f0c84a64f02d...</v>
      </c>
      <c r="L42" s="292"/>
      <c r="M42" s="154" t="str">
        <f>INDEX(Profitability_Model!B2:B402,MATCH(LARGE(Profitability_Model!H2:H402,8),Profitability_Model!H2:H402,0))</f>
        <v>watches_gifts</v>
      </c>
      <c r="N42" s="150">
        <f>INDEX(Profitability_Model!C2:C402,MATCH(LARGE(Profitability_Model!H2:H402,8),Profitability_Model!H2:H402,0))</f>
        <v>29024.48</v>
      </c>
      <c r="O42" s="151">
        <f>LARGE(Profitability_Model!H2:H402,8)</f>
        <v>15167.79</v>
      </c>
      <c r="P42" s="152">
        <f>INDEX(Profitability_Model!J2:J402,MATCH(LARGE(Profitability_Model!H2:H402,8),Profitability_Model!H2:H402,0))</f>
        <v>0.52258610662447702</v>
      </c>
      <c r="Q42" s="108" t="str">
        <f>INDEX(Profitability_Model!L2:L402,MATCH(LARGE(Profitability_Model!H2:H402,8),Profitability_Model!H2:H402,0))</f>
        <v>SCALE</v>
      </c>
      <c r="R42" s="72"/>
      <c r="S42" s="72"/>
      <c r="T42" s="72"/>
      <c r="U42" s="130"/>
    </row>
    <row r="43" spans="1:21" ht="21.75" customHeight="1" x14ac:dyDescent="0.35">
      <c r="A43" s="72"/>
      <c r="B43" s="148">
        <f t="shared" si="1"/>
        <v>9</v>
      </c>
      <c r="C43" s="291" t="s">
        <v>599</v>
      </c>
      <c r="D43" s="291"/>
      <c r="E43" s="149">
        <f>COUNTIF(Profitability_Model!B2:B402,"perfumery")</f>
        <v>15</v>
      </c>
      <c r="F43" s="150">
        <f>SUMIF(Profitability_Model!B2:B402,"perfumery",Profitability_Model!C2:C402)</f>
        <v>97369.349999999977</v>
      </c>
      <c r="G43" s="151">
        <f>SUMIF(Profitability_Model!B2:B402,"perfumery",Profitability_Model!H2:H402)</f>
        <v>38162.520000000011</v>
      </c>
      <c r="H43" s="152">
        <f t="shared" si="2"/>
        <v>0.39193565531658597</v>
      </c>
      <c r="I43" s="153">
        <f>G43/SUM(Profitability_Model!H2:H402)</f>
        <v>2.9539304817778524E-2</v>
      </c>
      <c r="J43" s="148">
        <v>9</v>
      </c>
      <c r="K43" s="292" t="str">
        <f>LEFT(INDEX(Profitability_Model!A2:A402,MATCH(LARGE(Profitability_Model!H2:H402,9),Profitability_Model!H2:H402,0)),16)&amp;"..."</f>
        <v>7a10781637204d8d...</v>
      </c>
      <c r="L43" s="292"/>
      <c r="M43" s="154" t="str">
        <f>INDEX(Profitability_Model!B2:B402,MATCH(LARGE(Profitability_Model!H2:H402,9),Profitability_Model!H2:H402,0))</f>
        <v>watches_gifts</v>
      </c>
      <c r="N43" s="150">
        <f>INDEX(Profitability_Model!C2:C402,MATCH(LARGE(Profitability_Model!H2:H402,9),Profitability_Model!H2:H402,0))</f>
        <v>30467.5</v>
      </c>
      <c r="O43" s="151">
        <f>LARGE(Profitability_Model!H2:H402,9)</f>
        <v>14585.429999999998</v>
      </c>
      <c r="P43" s="152">
        <f>INDEX(Profitability_Model!J2:J402,MATCH(LARGE(Profitability_Model!H2:H402,9),Profitability_Model!H2:H402,0))</f>
        <v>0.47872093214080574</v>
      </c>
      <c r="Q43" s="108" t="str">
        <f>INDEX(Profitability_Model!L2:L402,MATCH(LARGE(Profitability_Model!H2:H402,9),Profitability_Model!H2:H402,0))</f>
        <v>SCALE</v>
      </c>
      <c r="R43" s="72"/>
      <c r="S43" s="72"/>
      <c r="T43" s="72"/>
      <c r="U43" s="130"/>
    </row>
    <row r="44" spans="1:21" ht="21.75" customHeight="1" x14ac:dyDescent="0.35">
      <c r="A44" s="72"/>
      <c r="B44" s="148">
        <f t="shared" si="1"/>
        <v>8</v>
      </c>
      <c r="C44" s="291" t="s">
        <v>600</v>
      </c>
      <c r="D44" s="291"/>
      <c r="E44" s="149">
        <f>COUNTIF(Profitability_Model!B2:B402,"housewares")</f>
        <v>14</v>
      </c>
      <c r="F44" s="150">
        <f>SUMIF(Profitability_Model!B2:B402,"housewares",Profitability_Model!C2:C402)</f>
        <v>111534.72</v>
      </c>
      <c r="G44" s="151">
        <f>SUMIF(Profitability_Model!B2:B402,"housewares",Profitability_Model!H2:H402)</f>
        <v>38759.89</v>
      </c>
      <c r="H44" s="152">
        <f t="shared" si="2"/>
        <v>0.34751411937018356</v>
      </c>
      <c r="I44" s="153">
        <f>G44/SUM(Profitability_Model!H2:H402)</f>
        <v>3.0001692902186895E-2</v>
      </c>
      <c r="J44" s="148">
        <v>10</v>
      </c>
      <c r="K44" s="292" t="str">
        <f>LEFT(INDEX(Profitability_Model!A2:A402,MATCH(LARGE(Profitability_Model!H2:H402,10),Profitability_Model!H2:H402,0)),16)&amp;"..."</f>
        <v>e0d64dcfaa3b6db5...</v>
      </c>
      <c r="L44" s="292"/>
      <c r="M44" s="154" t="str">
        <f>INDEX(Profitability_Model!B2:B402,MATCH(LARGE(Profitability_Model!H2:H402,10),Profitability_Model!H2:H402,0))</f>
        <v>watches_gifts</v>
      </c>
      <c r="N44" s="150">
        <f>INDEX(Profitability_Model!C2:C402,MATCH(LARGE(Profitability_Model!H2:H402,10),Profitability_Model!H2:H402,0))</f>
        <v>31786.82</v>
      </c>
      <c r="O44" s="151">
        <f>LARGE(Profitability_Model!H2:H402,10)</f>
        <v>13839.25</v>
      </c>
      <c r="P44" s="152">
        <f>INDEX(Profitability_Model!J2:J402,MATCH(LARGE(Profitability_Model!H2:H402,10),Profitability_Model!H2:H402,0))</f>
        <v>0.43537698958247473</v>
      </c>
      <c r="Q44" s="108" t="str">
        <f>INDEX(Profitability_Model!L2:L402,MATCH(LARGE(Profitability_Model!H2:H402,10),Profitability_Model!H2:H402,0))</f>
        <v>OPTIMIZE</v>
      </c>
      <c r="R44" s="72"/>
      <c r="S44" s="72"/>
      <c r="T44" s="72"/>
      <c r="U44" s="130"/>
    </row>
    <row r="45" spans="1:21" ht="21.75" customHeight="1" x14ac:dyDescent="0.45">
      <c r="A45" s="72"/>
      <c r="B45" s="297" t="s">
        <v>601</v>
      </c>
      <c r="C45" s="297"/>
      <c r="D45" s="297"/>
      <c r="E45" s="155">
        <f>SUM(E35:E44)</f>
        <v>258</v>
      </c>
      <c r="F45" s="156">
        <f>SUM(F35:F44)</f>
        <v>2474763.66</v>
      </c>
      <c r="G45" s="157">
        <f>SUM(G35:G44)</f>
        <v>885484.32000000018</v>
      </c>
      <c r="H45" s="158">
        <f t="shared" si="2"/>
        <v>0.35780560960718172</v>
      </c>
      <c r="I45" s="159">
        <f>G45/SUM(Profitability_Model!H2:H402)</f>
        <v>0.68540000083441399</v>
      </c>
      <c r="J45" s="160"/>
      <c r="K45" s="160"/>
      <c r="L45" s="160"/>
      <c r="M45" s="160"/>
      <c r="N45" s="160"/>
      <c r="O45" s="160"/>
      <c r="P45" s="160"/>
      <c r="Q45" s="82"/>
      <c r="R45" s="72"/>
      <c r="S45" s="72"/>
      <c r="T45" s="72"/>
      <c r="U45" s="130"/>
    </row>
    <row r="46" spans="1:21" ht="6" customHeight="1" x14ac:dyDescent="0.45">
      <c r="A46" s="72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82"/>
      <c r="R46" s="72"/>
      <c r="S46" s="72"/>
      <c r="T46" s="72"/>
      <c r="U46" s="130"/>
    </row>
    <row r="47" spans="1:21" ht="27.75" customHeight="1" x14ac:dyDescent="0.35">
      <c r="A47" s="72"/>
      <c r="B47" s="281" t="s">
        <v>602</v>
      </c>
      <c r="C47" s="281"/>
      <c r="D47" s="281"/>
      <c r="E47" s="281"/>
      <c r="F47" s="281"/>
      <c r="G47" s="281"/>
      <c r="H47" s="281"/>
      <c r="I47" s="281"/>
      <c r="J47" s="281" t="s">
        <v>603</v>
      </c>
      <c r="K47" s="281"/>
      <c r="L47" s="281"/>
      <c r="M47" s="281"/>
      <c r="N47" s="281"/>
      <c r="O47" s="281"/>
      <c r="P47" s="281"/>
      <c r="Q47" s="281"/>
      <c r="R47" s="72"/>
      <c r="S47" s="72"/>
      <c r="T47" s="72"/>
      <c r="U47" s="130"/>
    </row>
    <row r="48" spans="1:21" ht="6" customHeight="1" x14ac:dyDescent="0.35">
      <c r="A48" s="72"/>
      <c r="B48" s="82"/>
      <c r="C48" s="82"/>
      <c r="D48" s="82"/>
      <c r="E48" s="82"/>
      <c r="F48" s="82"/>
      <c r="G48" s="82"/>
      <c r="H48" s="82"/>
      <c r="I48" s="118"/>
      <c r="J48" s="82"/>
      <c r="K48" s="82"/>
      <c r="L48" s="82"/>
      <c r="M48" s="82"/>
      <c r="N48" s="82"/>
      <c r="O48" s="82"/>
      <c r="P48" s="82"/>
      <c r="Q48" s="82"/>
      <c r="R48" s="72"/>
      <c r="S48" s="72"/>
      <c r="T48" s="72"/>
      <c r="U48" s="130"/>
    </row>
    <row r="49" spans="1:21" ht="21.75" customHeight="1" x14ac:dyDescent="0.35">
      <c r="A49" s="72"/>
      <c r="B49" s="106" t="s">
        <v>476</v>
      </c>
      <c r="C49" s="298" t="s">
        <v>477</v>
      </c>
      <c r="D49" s="298"/>
      <c r="E49" s="107" t="s">
        <v>604</v>
      </c>
      <c r="F49" s="107" t="s">
        <v>605</v>
      </c>
      <c r="G49" s="109" t="s">
        <v>18</v>
      </c>
      <c r="H49" s="110" t="s">
        <v>27</v>
      </c>
      <c r="I49" s="120" t="s">
        <v>24</v>
      </c>
      <c r="J49" s="274" t="s">
        <v>606</v>
      </c>
      <c r="K49" s="274"/>
      <c r="L49" s="274"/>
      <c r="M49" s="274"/>
      <c r="N49" s="274"/>
      <c r="O49" s="274"/>
      <c r="P49" s="274"/>
      <c r="Q49" s="274"/>
      <c r="R49" s="72"/>
      <c r="S49" s="72"/>
      <c r="T49" s="72"/>
      <c r="U49" s="130"/>
    </row>
    <row r="50" spans="1:21" ht="21.75" customHeight="1" x14ac:dyDescent="0.35">
      <c r="A50" s="72"/>
      <c r="B50" s="86" t="s">
        <v>481</v>
      </c>
      <c r="C50" s="299" t="s">
        <v>607</v>
      </c>
      <c r="D50" s="299"/>
      <c r="E50" s="121">
        <f>AVERAGE(Scenario_Analysis!D2:D402)</f>
        <v>0.36744703540335549</v>
      </c>
      <c r="F50" s="122" t="s">
        <v>608</v>
      </c>
      <c r="G50" s="123">
        <f>COUNTIF(Scenario_Analysis!E2:E402,"SCALE")</f>
        <v>216</v>
      </c>
      <c r="H50" s="124">
        <f>COUNTIF(Scenario_Analysis!E2:E402,"OPTIMIZE")</f>
        <v>138</v>
      </c>
      <c r="I50" s="125">
        <f>COUNTIF(Scenario_Analysis!E2:E402,"EXIT")</f>
        <v>46</v>
      </c>
      <c r="J50" s="82"/>
      <c r="K50" s="286" t="s">
        <v>609</v>
      </c>
      <c r="L50" s="286"/>
      <c r="M50" s="286"/>
      <c r="N50" s="286"/>
      <c r="O50" s="286"/>
      <c r="P50" s="286"/>
      <c r="Q50" s="286"/>
      <c r="R50" s="72"/>
      <c r="S50" s="72"/>
      <c r="T50" s="72"/>
      <c r="U50" s="130"/>
    </row>
    <row r="51" spans="1:21" ht="21.75" customHeight="1" x14ac:dyDescent="0.35">
      <c r="A51" s="72"/>
      <c r="B51" s="86" t="s">
        <v>478</v>
      </c>
      <c r="C51" s="299" t="s">
        <v>610</v>
      </c>
      <c r="D51" s="299"/>
      <c r="E51" s="121">
        <f>AVERAGE(Scenario_Analysis!G2:G402)</f>
        <v>0.32093453165248109</v>
      </c>
      <c r="F51" s="126">
        <f>E51-$E$50</f>
        <v>-4.6512503750874401E-2</v>
      </c>
      <c r="G51" s="123">
        <f>COUNTIF(Scenario_Analysis!I2:I402,"SCALE")</f>
        <v>198</v>
      </c>
      <c r="H51" s="124">
        <f>COUNTIF(Scenario_Analysis!I2:I402,"OPTIMIZE")</f>
        <v>146</v>
      </c>
      <c r="I51" s="125">
        <f>COUNTIF(Scenario_Analysis!I2:I402,"EXIT")</f>
        <v>56</v>
      </c>
      <c r="J51" s="111" t="s">
        <v>611</v>
      </c>
      <c r="K51" s="112">
        <v>0</v>
      </c>
      <c r="L51" s="112">
        <v>0.05</v>
      </c>
      <c r="M51" s="112">
        <v>0.1</v>
      </c>
      <c r="N51" s="112">
        <v>0.15</v>
      </c>
      <c r="O51" s="112">
        <v>0.2</v>
      </c>
      <c r="P51" s="82"/>
      <c r="Q51" s="82"/>
      <c r="R51" s="72"/>
      <c r="S51" s="72"/>
      <c r="T51" s="72"/>
      <c r="U51" s="130"/>
    </row>
    <row r="52" spans="1:21" ht="25.5" customHeight="1" x14ac:dyDescent="0.35">
      <c r="A52" s="72"/>
      <c r="B52" s="86" t="s">
        <v>479</v>
      </c>
      <c r="C52" s="299" t="s">
        <v>612</v>
      </c>
      <c r="D52" s="299"/>
      <c r="E52" s="121">
        <f>AVERAGE(Scenario_Analysis!K2:K402)</f>
        <v>0.36516902690510589</v>
      </c>
      <c r="F52" s="126">
        <f>E52-$E$50</f>
        <v>-2.2780084982496063E-3</v>
      </c>
      <c r="G52" s="123">
        <f>COUNTIF(Scenario_Analysis!M2:M402,"SCALE")</f>
        <v>215</v>
      </c>
      <c r="H52" s="124">
        <f>COUNTIF(Scenario_Analysis!M2:M402,"OPTIMIZE")</f>
        <v>136</v>
      </c>
      <c r="I52" s="125">
        <f>COUNTIF(Scenario_Analysis!M2:M402,"EXIT")</f>
        <v>49</v>
      </c>
      <c r="J52" s="112">
        <v>0</v>
      </c>
      <c r="K52" s="113">
        <f>Sensitivity_Analysis!C5</f>
        <v>0.35980984949944178</v>
      </c>
      <c r="L52" s="113">
        <f>Sensitivity_Analysis!D5</f>
        <v>0.33648742435162243</v>
      </c>
      <c r="M52" s="113">
        <f>Sensitivity_Analysis!E5</f>
        <v>0.31316499920380375</v>
      </c>
      <c r="N52" s="113">
        <f>Sensitivity_Analysis!F5</f>
        <v>0.28984257405598496</v>
      </c>
      <c r="O52" s="113">
        <f>Sensitivity_Analysis!G5</f>
        <v>0.26652014890816628</v>
      </c>
      <c r="P52" s="82"/>
      <c r="Q52" s="82"/>
      <c r="R52" s="72"/>
      <c r="S52" s="72"/>
      <c r="T52" s="72"/>
      <c r="U52" s="130"/>
    </row>
    <row r="53" spans="1:21" ht="25.5" customHeight="1" x14ac:dyDescent="0.35">
      <c r="A53" s="72"/>
      <c r="B53" s="86" t="s">
        <v>480</v>
      </c>
      <c r="C53" s="299" t="s">
        <v>613</v>
      </c>
      <c r="D53" s="299"/>
      <c r="E53" s="121">
        <f>AVERAGE(Scenario_Analysis!O2:O402)</f>
        <v>0.3341547741087959</v>
      </c>
      <c r="F53" s="126">
        <f>E53-$E$50</f>
        <v>-3.3292261294559589E-2</v>
      </c>
      <c r="G53" s="123">
        <f>COUNTIF(Scenario_Analysis!Q2:Q402,"SCALE")</f>
        <v>204</v>
      </c>
      <c r="H53" s="124">
        <f>COUNTIF(Scenario_Analysis!Q2:Q402,"OPTIMIZE")</f>
        <v>141</v>
      </c>
      <c r="I53" s="125">
        <f>COUNTIF(Scenario_Analysis!Q2:Q402,"EXIT")</f>
        <v>55</v>
      </c>
      <c r="J53" s="112">
        <v>2.5000000000000001E-2</v>
      </c>
      <c r="K53" s="113">
        <f>Sensitivity_Analysis!C6</f>
        <v>0.35860992393436297</v>
      </c>
      <c r="L53" s="113">
        <f>Sensitivity_Analysis!D6</f>
        <v>0.33528749878654424</v>
      </c>
      <c r="M53" s="113">
        <f>Sensitivity_Analysis!E6</f>
        <v>0.31196507363872517</v>
      </c>
      <c r="N53" s="113">
        <f>Sensitivity_Analysis!F6</f>
        <v>0.28864264849090704</v>
      </c>
      <c r="O53" s="113">
        <f>Sensitivity_Analysis!G6</f>
        <v>0.26532022334308825</v>
      </c>
      <c r="P53" s="82"/>
      <c r="Q53" s="82"/>
      <c r="R53" s="72"/>
      <c r="S53" s="72"/>
      <c r="T53" s="72"/>
      <c r="U53" s="130"/>
    </row>
    <row r="54" spans="1:21" ht="25.5" customHeight="1" x14ac:dyDescent="0.35">
      <c r="A54" s="72"/>
      <c r="B54" s="82"/>
      <c r="C54" s="82"/>
      <c r="D54" s="82"/>
      <c r="E54" s="82"/>
      <c r="F54" s="82"/>
      <c r="G54" s="82"/>
      <c r="H54" s="82"/>
      <c r="I54" s="118"/>
      <c r="J54" s="112">
        <v>0.05</v>
      </c>
      <c r="K54" s="113">
        <f>Sensitivity_Analysis!C7</f>
        <v>0.35740999836928516</v>
      </c>
      <c r="L54" s="113">
        <f>Sensitivity_Analysis!D7</f>
        <v>0.33408757322146632</v>
      </c>
      <c r="M54" s="113">
        <f>Sensitivity_Analysis!E7</f>
        <v>0.31076514807364719</v>
      </c>
      <c r="N54" s="113">
        <f>Sensitivity_Analysis!F7</f>
        <v>0.28744272292582879</v>
      </c>
      <c r="O54" s="113">
        <f>Sensitivity_Analysis!G7</f>
        <v>0.26412029777801005</v>
      </c>
      <c r="P54" s="82"/>
      <c r="Q54" s="82"/>
      <c r="R54" s="72"/>
      <c r="S54" s="72"/>
      <c r="T54" s="72"/>
      <c r="U54" s="130"/>
    </row>
    <row r="55" spans="1:21" ht="25.5" customHeight="1" x14ac:dyDescent="0.35">
      <c r="A55" s="72"/>
      <c r="B55" s="82"/>
      <c r="C55" s="82"/>
      <c r="D55" s="82"/>
      <c r="E55" s="82"/>
      <c r="F55" s="82"/>
      <c r="G55" s="82"/>
      <c r="H55" s="82"/>
      <c r="I55" s="118"/>
      <c r="J55" s="112">
        <v>7.4999999999999997E-2</v>
      </c>
      <c r="K55" s="113">
        <f>Sensitivity_Analysis!C8</f>
        <v>0.35621007280420702</v>
      </c>
      <c r="L55" s="113">
        <f>Sensitivity_Analysis!D8</f>
        <v>0.33288764765638801</v>
      </c>
      <c r="M55" s="113">
        <f>Sensitivity_Analysis!E8</f>
        <v>0.30956522250856966</v>
      </c>
      <c r="N55" s="113">
        <f>Sensitivity_Analysis!F8</f>
        <v>0.28624279736075081</v>
      </c>
      <c r="O55" s="113">
        <f>Sensitivity_Analysis!G8</f>
        <v>0.26292037221293174</v>
      </c>
      <c r="P55" s="82"/>
      <c r="Q55" s="82"/>
      <c r="R55" s="72"/>
      <c r="S55" s="72"/>
      <c r="T55" s="72"/>
      <c r="U55" s="130"/>
    </row>
    <row r="56" spans="1:21" ht="25.5" customHeight="1" x14ac:dyDescent="0.35">
      <c r="A56" s="72"/>
      <c r="B56" s="82"/>
      <c r="C56" s="82"/>
      <c r="D56" s="82"/>
      <c r="E56" s="82"/>
      <c r="F56" s="82"/>
      <c r="G56" s="82"/>
      <c r="H56" s="82"/>
      <c r="I56" s="118"/>
      <c r="J56" s="112">
        <v>0.1</v>
      </c>
      <c r="K56" s="113">
        <f>Sensitivity_Analysis!C9</f>
        <v>0.35501014723912905</v>
      </c>
      <c r="L56" s="113">
        <f>Sensitivity_Analysis!D9</f>
        <v>0.3316877220913102</v>
      </c>
      <c r="M56" s="113">
        <f>Sensitivity_Analysis!E9</f>
        <v>0.30836529694349119</v>
      </c>
      <c r="N56" s="113">
        <f>Sensitivity_Analysis!F9</f>
        <v>0.28504287179567256</v>
      </c>
      <c r="O56" s="113">
        <f>Sensitivity_Analysis!G9</f>
        <v>0.26172044664785382</v>
      </c>
      <c r="P56" s="82"/>
      <c r="Q56" s="82"/>
      <c r="R56" s="72"/>
      <c r="S56" s="72"/>
      <c r="T56" s="72"/>
      <c r="U56" s="130"/>
    </row>
    <row r="57" spans="1:21" ht="7.5" customHeight="1" x14ac:dyDescent="0.35">
      <c r="A57" s="72"/>
      <c r="B57" s="82"/>
      <c r="C57" s="82"/>
      <c r="D57" s="82"/>
      <c r="E57" s="82"/>
      <c r="F57" s="82"/>
      <c r="G57" s="82"/>
      <c r="H57" s="82"/>
      <c r="I57" s="118"/>
      <c r="J57" s="82"/>
      <c r="K57" s="82"/>
      <c r="L57" s="82"/>
      <c r="M57" s="82"/>
      <c r="N57" s="82"/>
      <c r="O57" s="82"/>
      <c r="P57" s="82"/>
      <c r="Q57" s="82"/>
      <c r="R57" s="72"/>
      <c r="S57" s="72"/>
      <c r="T57" s="72"/>
      <c r="U57" s="130"/>
    </row>
    <row r="58" spans="1:21" ht="21.75" customHeight="1" x14ac:dyDescent="0.35">
      <c r="A58" s="72"/>
      <c r="B58" s="82"/>
      <c r="C58" s="82"/>
      <c r="D58" s="82"/>
      <c r="E58" s="82"/>
      <c r="F58" s="82"/>
      <c r="G58" s="82"/>
      <c r="H58" s="82"/>
      <c r="I58" s="118"/>
      <c r="J58" s="288" t="s">
        <v>614</v>
      </c>
      <c r="K58" s="288"/>
      <c r="L58" s="288"/>
      <c r="M58" s="288"/>
      <c r="N58" s="288"/>
      <c r="O58" s="288"/>
      <c r="P58" s="288"/>
      <c r="Q58" s="288"/>
      <c r="R58" s="72"/>
      <c r="S58" s="72"/>
      <c r="T58" s="72"/>
      <c r="U58" s="130"/>
    </row>
    <row r="59" spans="1:21" ht="21.75" customHeight="1" x14ac:dyDescent="0.35">
      <c r="A59" s="72"/>
      <c r="B59" s="82"/>
      <c r="C59" s="82"/>
      <c r="D59" s="82"/>
      <c r="E59" s="82"/>
      <c r="F59" s="82"/>
      <c r="G59" s="82"/>
      <c r="H59" s="82"/>
      <c r="I59" s="118"/>
      <c r="J59" s="303" t="s">
        <v>615</v>
      </c>
      <c r="K59" s="303"/>
      <c r="L59" s="303"/>
      <c r="M59" s="303"/>
      <c r="N59" s="303"/>
      <c r="O59" s="303"/>
      <c r="P59" s="303"/>
      <c r="Q59" s="303"/>
      <c r="R59" s="72"/>
      <c r="S59" s="72"/>
      <c r="T59" s="72"/>
      <c r="U59" s="130"/>
    </row>
    <row r="60" spans="1:21" ht="18" customHeight="1" x14ac:dyDescent="0.35">
      <c r="A60" s="72"/>
      <c r="B60" s="82"/>
      <c r="C60" s="82"/>
      <c r="D60" s="82"/>
      <c r="E60" s="82"/>
      <c r="F60" s="82"/>
      <c r="G60" s="82"/>
      <c r="H60" s="82"/>
      <c r="I60" s="118"/>
      <c r="J60" s="300" t="str">
        <f>"•  Best case (no stress): "&amp;TEXT(K52,"0.0%")&amp;" portfolio avg net margin"</f>
        <v>•  Best case (no stress): 36.0% portfolio avg net margin</v>
      </c>
      <c r="K60" s="300"/>
      <c r="L60" s="300"/>
      <c r="M60" s="300"/>
      <c r="N60" s="300"/>
      <c r="O60" s="300"/>
      <c r="P60" s="300"/>
      <c r="Q60" s="300"/>
      <c r="R60" s="72"/>
      <c r="S60" s="72"/>
      <c r="T60" s="72"/>
      <c r="U60" s="130"/>
    </row>
    <row r="61" spans="1:21" ht="18" customHeight="1" x14ac:dyDescent="0.35">
      <c r="A61" s="72"/>
      <c r="B61" s="82"/>
      <c r="C61" s="82"/>
      <c r="D61" s="82"/>
      <c r="E61" s="82"/>
      <c r="F61" s="82"/>
      <c r="G61" s="82"/>
      <c r="H61" s="82"/>
      <c r="I61" s="118"/>
      <c r="J61" s="300" t="str">
        <f>"•  Worst case (COGS +20%, Returns +10%): "&amp;TEXT(O56,"0.0%")&amp;" margin"</f>
        <v>•  Worst case (COGS +20%, Returns +10%): 26.2% margin</v>
      </c>
      <c r="K61" s="300"/>
      <c r="L61" s="300"/>
      <c r="M61" s="300"/>
      <c r="N61" s="300"/>
      <c r="O61" s="300"/>
      <c r="P61" s="300"/>
      <c r="Q61" s="300"/>
      <c r="R61" s="72"/>
      <c r="S61" s="72"/>
      <c r="T61" s="72"/>
      <c r="U61" s="130"/>
    </row>
    <row r="62" spans="1:21" ht="18" customHeight="1" x14ac:dyDescent="0.35">
      <c r="A62" s="72"/>
      <c r="B62" s="82"/>
      <c r="C62" s="82"/>
      <c r="D62" s="82"/>
      <c r="E62" s="82"/>
      <c r="F62" s="82"/>
      <c r="G62" s="82"/>
      <c r="H62" s="82"/>
      <c r="I62" s="118"/>
      <c r="J62" s="300" t="str">
        <f>"•  Margin compression range: "&amp;TEXT(K52-O56,"0.0%")&amp;" pp from best to worst case"</f>
        <v>•  Margin compression range: 9.8% pp from best to worst case</v>
      </c>
      <c r="K62" s="300"/>
      <c r="L62" s="300"/>
      <c r="M62" s="300"/>
      <c r="N62" s="300"/>
      <c r="O62" s="300"/>
      <c r="P62" s="300"/>
      <c r="Q62" s="300"/>
      <c r="R62" s="72"/>
      <c r="S62" s="72"/>
      <c r="T62" s="72"/>
      <c r="U62" s="130"/>
    </row>
    <row r="63" spans="1:21" ht="18" customHeight="1" x14ac:dyDescent="0.35">
      <c r="A63" s="72"/>
      <c r="B63" s="82"/>
      <c r="C63" s="82"/>
      <c r="D63" s="82"/>
      <c r="E63" s="82"/>
      <c r="F63" s="82"/>
      <c r="G63" s="82"/>
      <c r="H63" s="82"/>
      <c r="I63" s="118"/>
      <c r="J63" s="300" t="str">
        <f>"•  COGS is the dominant risk: +20% COGS reduces margin by "&amp;TEXT(K52-O52,"0.0%")&amp;" pp"</f>
        <v>•  COGS is the dominant risk: +20% COGS reduces margin by 9.3% pp</v>
      </c>
      <c r="K63" s="300"/>
      <c r="L63" s="300"/>
      <c r="M63" s="300"/>
      <c r="N63" s="300"/>
      <c r="O63" s="300"/>
      <c r="P63" s="300"/>
      <c r="Q63" s="300"/>
      <c r="R63" s="72"/>
      <c r="S63" s="72"/>
      <c r="T63" s="72"/>
      <c r="U63" s="130"/>
    </row>
    <row r="64" spans="1:21" ht="18" customHeight="1" x14ac:dyDescent="0.35">
      <c r="A64" s="72"/>
      <c r="B64" s="82"/>
      <c r="C64" s="82"/>
      <c r="D64" s="82"/>
      <c r="E64" s="82"/>
      <c r="F64" s="82"/>
      <c r="G64" s="82"/>
      <c r="H64" s="82"/>
      <c r="I64" s="118"/>
      <c r="J64" s="300" t="str">
        <f>"•  Returns sensitivity is mild: +10% returns reduces margin only "&amp;TEXT(K52-K56,"0.0%")&amp;" pp"</f>
        <v>•  Returns sensitivity is mild: +10% returns reduces margin only 0.5% pp</v>
      </c>
      <c r="K64" s="300"/>
      <c r="L64" s="300"/>
      <c r="M64" s="300"/>
      <c r="N64" s="300"/>
      <c r="O64" s="300"/>
      <c r="P64" s="300"/>
      <c r="Q64" s="300"/>
      <c r="R64" s="72"/>
      <c r="S64" s="72"/>
      <c r="T64" s="72"/>
      <c r="U64" s="130"/>
    </row>
    <row r="65" spans="1:29" ht="18" customHeight="1" x14ac:dyDescent="0.35">
      <c r="A65" s="72"/>
      <c r="B65" s="82"/>
      <c r="C65" s="82"/>
      <c r="D65" s="82"/>
      <c r="E65" s="82"/>
      <c r="F65" s="82"/>
      <c r="G65" s="82"/>
      <c r="H65" s="82"/>
      <c r="I65" s="118"/>
      <c r="J65" s="300" t="str">
        <f>"•  Portfolio remains profitable in ALL "&amp;COUNTIF(K52:O56,"&gt;0")&amp;" of 25 stress combinations"</f>
        <v>•  Portfolio remains profitable in ALL 25 of 25 stress combinations</v>
      </c>
      <c r="K65" s="300"/>
      <c r="L65" s="300"/>
      <c r="M65" s="300"/>
      <c r="N65" s="300"/>
      <c r="O65" s="300"/>
      <c r="P65" s="300"/>
      <c r="Q65" s="300"/>
      <c r="R65" s="72"/>
      <c r="S65" s="72"/>
      <c r="T65" s="72"/>
      <c r="U65" s="130"/>
    </row>
    <row r="66" spans="1:29" ht="21.75" customHeight="1" x14ac:dyDescent="0.35">
      <c r="A66" s="72"/>
      <c r="B66" s="285" t="s">
        <v>616</v>
      </c>
      <c r="C66" s="285"/>
      <c r="D66" s="285"/>
      <c r="E66" s="285"/>
      <c r="F66" s="285"/>
      <c r="G66" s="285"/>
      <c r="H66" s="285"/>
      <c r="I66" s="301"/>
      <c r="J66" s="302" t="s">
        <v>617</v>
      </c>
      <c r="K66" s="302"/>
      <c r="L66" s="302"/>
      <c r="M66" s="302"/>
      <c r="N66" s="302"/>
      <c r="O66" s="302"/>
      <c r="P66" s="302"/>
      <c r="Q66" s="302"/>
      <c r="R66" s="72"/>
      <c r="S66" s="72"/>
      <c r="T66" s="72"/>
      <c r="U66" s="130"/>
    </row>
    <row r="67" spans="1:29" ht="18" customHeight="1" x14ac:dyDescent="0.35">
      <c r="A67" s="72"/>
      <c r="B67" s="300" t="str">
        <f>"•  Scenario A (COGS +10%) is the most damaging — margin drops by "&amp;TEXT($E$50-$E$51,"0.0%")&amp;" pp"</f>
        <v>•  Scenario A (COGS +10%) is the most damaging — margin drops by 4.7% pp</v>
      </c>
      <c r="C67" s="300"/>
      <c r="D67" s="300"/>
      <c r="E67" s="300"/>
      <c r="F67" s="300"/>
      <c r="G67" s="300"/>
      <c r="H67" s="300"/>
      <c r="I67" s="304"/>
      <c r="J67" s="300" t="str">
        <f>"•  Aggressively SCALE the "&amp;COUNTIF(Profitability_Model!L2:L402,"SCALE")&amp;" high-performing SKUs (54% of portfolio)"</f>
        <v>•  Aggressively SCALE the 216 high-performing SKUs (54% of portfolio)</v>
      </c>
      <c r="K67" s="300"/>
      <c r="L67" s="300"/>
      <c r="M67" s="300"/>
      <c r="N67" s="300"/>
      <c r="O67" s="300"/>
      <c r="P67" s="300"/>
      <c r="Q67" s="300"/>
      <c r="R67" s="72"/>
      <c r="S67" s="72"/>
      <c r="T67" s="72"/>
      <c r="U67" s="130"/>
    </row>
    <row r="68" spans="1:29" ht="18" customHeight="1" x14ac:dyDescent="0.35">
      <c r="A68" s="72"/>
      <c r="B68" s="300" t="str">
        <f>"•  Scenario B (returns) has the smallest impact — "&amp;TEXT($E$50-$E$52,"0.0%")&amp;" pp margin drop"</f>
        <v>•  Scenario B (returns) has the smallest impact — 0.2% pp margin drop</v>
      </c>
      <c r="C68" s="300"/>
      <c r="D68" s="300"/>
      <c r="E68" s="300"/>
      <c r="F68" s="300"/>
      <c r="G68" s="300"/>
      <c r="H68" s="300"/>
      <c r="I68" s="304"/>
      <c r="J68" s="300" t="str">
        <f>"•  Initiate EXIT plans for "&amp;COUNTIF(Profitability_Model!L2:L402,"EXIT")&amp;" loss-makers — recover R$ "&amp;TEXT(-SUMIFS(Profitability_Model!H2:H402,Profitability_Model!L2:L402,"EXIT",Profitability_Model!H2:H402,"&lt;0"),"#,##0")&amp;" in losses"</f>
        <v>•  Initiate EXIT plans for 46 loss-makers — recover R$ 4,888 in losses</v>
      </c>
      <c r="K68" s="300"/>
      <c r="L68" s="300"/>
      <c r="M68" s="300"/>
      <c r="N68" s="300"/>
      <c r="O68" s="300"/>
      <c r="P68" s="300"/>
      <c r="Q68" s="300"/>
      <c r="R68" s="72"/>
      <c r="S68" s="72"/>
      <c r="T68" s="72"/>
      <c r="U68" s="130"/>
    </row>
    <row r="69" spans="1:29" ht="18" customHeight="1" x14ac:dyDescent="0.35">
      <c r="A69" s="72"/>
      <c r="B69" s="300" t="str">
        <f>"•  Under worst-case A, EXIT SKUs rise from "&amp;$I$50&amp;" to "&amp;$I$51&amp;" (+"&amp;($I$51-$I$50)&amp;")"</f>
        <v>•  Under worst-case A, EXIT SKUs rise from 46 to 56 (+10)</v>
      </c>
      <c r="C69" s="300"/>
      <c r="D69" s="300"/>
      <c r="E69" s="300"/>
      <c r="F69" s="300"/>
      <c r="G69" s="300"/>
      <c r="H69" s="300"/>
      <c r="I69" s="304"/>
      <c r="J69" s="300" t="str">
        <f>"•  Renegotiate supplier contracts — top risk factor is COGS volatility"</f>
        <v>•  Renegotiate supplier contracts — top risk factor is COGS volatility</v>
      </c>
      <c r="K69" s="300"/>
      <c r="L69" s="300"/>
      <c r="M69" s="300"/>
      <c r="N69" s="300"/>
      <c r="O69" s="300"/>
      <c r="P69" s="300"/>
      <c r="Q69" s="300"/>
      <c r="R69" s="72"/>
      <c r="S69" s="72"/>
      <c r="T69" s="72"/>
      <c r="U69" s="130"/>
    </row>
    <row r="70" spans="1:29" ht="18" customHeight="1" x14ac:dyDescent="0.35">
      <c r="A70" s="72"/>
      <c r="B70" s="300" t="str">
        <f>"•  "&amp;COUNTIF(Scenario_Analysis!R2:R402,"Stable")&amp;" of 400 SKUs remain stable across all 3 scenarios ("&amp;TEXT(COUNTIF(Scenario_Analysis!R2:R402,"Stable")/400,"0.0%")&amp;")"</f>
        <v>•  372 of 400 SKUs remain stable across all 3 scenarios (93.0%)</v>
      </c>
      <c r="C70" s="300"/>
      <c r="D70" s="300"/>
      <c r="E70" s="300"/>
      <c r="F70" s="300"/>
      <c r="G70" s="300"/>
      <c r="H70" s="300"/>
      <c r="I70" s="304"/>
      <c r="J70" s="300" t="str">
        <f>"•  Monitor "&amp;COUNTIF(Scenario_Analysis!R2:R402,"Decision changes")&amp;" sensitive SKUs that flip categories under stress"</f>
        <v>•  Monitor 28 sensitive SKUs that flip categories under stress</v>
      </c>
      <c r="K70" s="300"/>
      <c r="L70" s="300"/>
      <c r="M70" s="300"/>
      <c r="N70" s="300"/>
      <c r="O70" s="300"/>
      <c r="P70" s="300"/>
      <c r="Q70" s="300"/>
      <c r="R70" s="72"/>
      <c r="S70" s="72"/>
      <c r="T70" s="72"/>
      <c r="U70" s="130"/>
    </row>
    <row r="71" spans="1:29" ht="18" customHeight="1" x14ac:dyDescent="0.35">
      <c r="A71" s="72"/>
      <c r="B71" s="300" t="str">
        <f>"•  Portfolio retains "&amp;TEXT(MIN(E51:E53)/E50,"0.0%")&amp;" of baseline margin in worst case — resilient model"</f>
        <v>•  Portfolio retains 87.3% of baseline margin in worst case — resilient model</v>
      </c>
      <c r="C71" s="300"/>
      <c r="D71" s="300"/>
      <c r="E71" s="300"/>
      <c r="F71" s="300"/>
      <c r="G71" s="300"/>
      <c r="H71" s="300"/>
      <c r="I71" s="304"/>
      <c r="J71" s="300" t="str">
        <f>"•  Focus optimization on top 10 categories — they drive "&amp;TEXT($I$45,"0.0%")&amp;" of total profit"</f>
        <v>•  Focus optimization on top 10 categories — they drive 68.5% of total profit</v>
      </c>
      <c r="K71" s="300"/>
      <c r="L71" s="300"/>
      <c r="M71" s="300"/>
      <c r="N71" s="300"/>
      <c r="O71" s="300"/>
      <c r="P71" s="300"/>
      <c r="Q71" s="300"/>
      <c r="R71" s="72"/>
      <c r="S71" s="72"/>
      <c r="T71" s="72"/>
      <c r="U71" s="130"/>
    </row>
    <row r="72" spans="1:29" ht="18" customHeight="1" x14ac:dyDescent="0.35">
      <c r="A72" s="72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72"/>
      <c r="S72" s="72"/>
      <c r="T72" s="72"/>
      <c r="U72" s="130"/>
    </row>
    <row r="73" spans="1:29" ht="7.5" customHeight="1" x14ac:dyDescent="0.35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130"/>
    </row>
    <row r="74" spans="1:29" ht="3.75" customHeight="1" x14ac:dyDescent="0.35">
      <c r="A74" s="72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2"/>
      <c r="S74" s="72"/>
      <c r="T74" s="72"/>
      <c r="U74" s="130"/>
    </row>
    <row r="75" spans="1:29" s="140" customFormat="1" ht="21.75" customHeight="1" x14ac:dyDescent="0.45">
      <c r="A75" s="138"/>
      <c r="B75" s="256" t="s">
        <v>623</v>
      </c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141"/>
      <c r="N75" s="141"/>
      <c r="O75" s="141"/>
      <c r="P75" s="141"/>
      <c r="Q75" s="141"/>
      <c r="R75" s="138"/>
      <c r="S75" s="138"/>
      <c r="T75" s="138"/>
      <c r="U75" s="139"/>
    </row>
    <row r="76" spans="1:29" s="137" customFormat="1" ht="18" customHeight="1" x14ac:dyDescent="0.4">
      <c r="A76" s="135"/>
      <c r="B76" s="241" t="s">
        <v>622</v>
      </c>
      <c r="C76" s="242"/>
      <c r="D76" s="243"/>
      <c r="E76" s="241" t="s">
        <v>621</v>
      </c>
      <c r="F76" s="242"/>
      <c r="G76" s="243"/>
      <c r="H76" s="241" t="s">
        <v>620</v>
      </c>
      <c r="I76" s="242"/>
      <c r="J76" s="242"/>
      <c r="K76" s="242"/>
      <c r="L76" s="243"/>
      <c r="M76" s="115"/>
      <c r="N76" s="115"/>
      <c r="O76" s="115"/>
      <c r="P76" s="115"/>
      <c r="Q76" s="115"/>
      <c r="R76" s="135"/>
      <c r="S76" s="135"/>
      <c r="T76" s="135"/>
      <c r="U76" s="136"/>
    </row>
    <row r="77" spans="1:29" ht="30.5" customHeight="1" thickBot="1" x14ac:dyDescent="0.4">
      <c r="A77" s="72"/>
      <c r="B77" s="258" t="s">
        <v>630</v>
      </c>
      <c r="C77" s="259"/>
      <c r="D77" s="260"/>
      <c r="E77" s="258" t="s">
        <v>27</v>
      </c>
      <c r="F77" s="259"/>
      <c r="G77" s="260"/>
      <c r="H77" s="258" t="s">
        <v>632</v>
      </c>
      <c r="I77" s="259"/>
      <c r="J77" s="259"/>
      <c r="K77" s="259"/>
      <c r="L77" s="260"/>
      <c r="M77" s="72"/>
      <c r="N77" s="72"/>
      <c r="O77" s="72"/>
      <c r="P77" s="72"/>
      <c r="Q77" s="72"/>
      <c r="R77" s="72"/>
      <c r="S77" s="72"/>
      <c r="T77" s="72"/>
      <c r="U77" s="130"/>
    </row>
    <row r="78" spans="1:29" ht="18" customHeight="1" x14ac:dyDescent="0.35">
      <c r="A78" s="72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72"/>
      <c r="N78" s="72"/>
      <c r="O78" s="72"/>
      <c r="P78" s="72"/>
      <c r="Q78" s="72"/>
      <c r="R78" s="72"/>
      <c r="S78" s="72"/>
      <c r="T78" s="72"/>
      <c r="U78" s="130"/>
    </row>
    <row r="79" spans="1:29" s="140" customFormat="1" ht="18" customHeight="1" x14ac:dyDescent="0.45">
      <c r="A79" s="138"/>
      <c r="B79" s="142" t="s">
        <v>624</v>
      </c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38"/>
      <c r="S79" s="138"/>
      <c r="T79" s="138"/>
      <c r="U79" s="139"/>
    </row>
    <row r="80" spans="1:29" s="137" customFormat="1" ht="23" customHeight="1" x14ac:dyDescent="0.4">
      <c r="A80" s="135"/>
      <c r="B80" s="241" t="s">
        <v>625</v>
      </c>
      <c r="C80" s="242"/>
      <c r="D80" s="243"/>
      <c r="E80" s="143" t="s">
        <v>626</v>
      </c>
      <c r="F80" s="161"/>
      <c r="G80" s="162"/>
      <c r="H80" s="241" t="s">
        <v>627</v>
      </c>
      <c r="I80" s="242"/>
      <c r="J80" s="243"/>
      <c r="K80" s="241" t="s">
        <v>628</v>
      </c>
      <c r="L80" s="242"/>
      <c r="M80" s="243"/>
      <c r="N80" s="241" t="s">
        <v>629</v>
      </c>
      <c r="O80" s="242"/>
      <c r="P80" s="242"/>
      <c r="Q80" s="243"/>
      <c r="R80" s="135"/>
      <c r="S80" s="135"/>
      <c r="T80" s="135"/>
      <c r="U80" s="136"/>
      <c r="AA80" s="137" t="s">
        <v>630</v>
      </c>
      <c r="AB80" s="137" t="s">
        <v>630</v>
      </c>
      <c r="AC80" s="137" t="s">
        <v>481</v>
      </c>
    </row>
    <row r="81" spans="1:29" ht="39" customHeight="1" thickBot="1" x14ac:dyDescent="0.4">
      <c r="A81" s="72"/>
      <c r="B81" s="244">
        <f>COUNTIFS(Profitability_Model!$B$2:$B$402,IF(Dashboard!$B$77="All","*",Dashboard!$B$77),Profitability_Model!$L$2:$L$402,IF(Dashboard!$E$77="All","*",Dashboard!$E$77))</f>
        <v>138</v>
      </c>
      <c r="C81" s="245"/>
      <c r="D81" s="246"/>
      <c r="E81" s="127">
        <f>SUMIFS(Profitability_Model!$C$2:$C$402,Profitability_Model!$B$2:$B$402,IF(Dashboard!$B$77="All","*",Dashboard!$B$77),Profitability_Model!$L$2:$L$402,IF(Dashboard!$E$77="All","*",Dashboard!$E$77))</f>
        <v>1196906.2900000005</v>
      </c>
      <c r="F81" s="128"/>
      <c r="G81" s="129"/>
      <c r="H81" s="247">
        <f>CHOOSE(MATCH(Dashboard!$H$77,{"Baseline","Scenario A — COGS +10%","Scenario B — Returns +pp","Scenario C — Combined"},0),SUMIFS(Profitability_Model!$H$2:$H$401,Profitability_Model!$B$2:$B$401,IF(Dashboard!$B$77="All","*",Dashboard!$B$77),Profitability_Model!$L$2:$L$401,IF(Dashboard!$E$77="All","*",Dashboard!$E$77)),SUMIFS(Scenario_Analysis!$F$3:$F$402,Scenario_Analysis!$B$3:$B$402,IF(Dashboard!$B$77="All","*",Dashboard!$B$77),Profitability_Model!$L$2:$L$401,IF(Dashboard!$E$77="All","*",Dashboard!$E$77)),SUMIFS(Scenario_Analysis!$J$3:$J$402,Scenario_Analysis!$B$3:$B$402,IF(Dashboard!$B$77="All","*",Dashboard!$B$77),Profitability_Model!$L$2:$L$401,IF(Dashboard!$E$77="All","*",Dashboard!$E$77)),SUMIFS(Scenario_Analysis!$N$3:$N$402,Scenario_Analysis!$B$3:$B$402,IF(Dashboard!$B$77="All","*",Dashboard!$B$77),Profitability_Model!$L$2:$L$401,IF(Dashboard!$E$77="All","*",Dashboard!$E$77)))</f>
        <v>367477.31800000026</v>
      </c>
      <c r="I81" s="248"/>
      <c r="J81" s="249"/>
      <c r="K81" s="250">
        <f>IFERROR(CHOOSE(MATCH(Dashboard!$H$77,{"Baseline","Scenario A — COGS +10%","Scenario B — Returns +pp","Scenario C — Combined"},0),AVERAGEIFS(Profitability_Model!$J$2:$J$401,Profitability_Model!$B$2:$B$401,IF(Dashboard!$B$77="All","*",Dashboard!$B$77),Profitability_Model!$L$2:$L$401,IF(Dashboard!$E$77="All","*",Dashboard!$E$77)),AVERAGEIFS(Scenario_Analysis!$G$3:$G$402,Scenario_Analysis!$B$3:$B$402,IF(Dashboard!$B$77="All","*",Dashboard!$B$77),Profitability_Model!$L$2:$L$401,IF(Dashboard!$E$77="All","*",Dashboard!$E$77)),AVERAGEIFS(Scenario_Analysis!$K$3:$K$402,Scenario_Analysis!$B$3:$B$402,IF(Dashboard!$B$77="All","*",Dashboard!$B$77),Profitability_Model!$L$2:$L$401,IF(Dashboard!$E$77="All","*",Dashboard!$E$77)),AVERAGEIFS(Scenario_Analysis!$O$3:$O$402,Scenario_Analysis!$B$3:$B$402,IF(Dashboard!$B$77="All","*",Dashboard!$B$77),Profitability_Model!$L$2:$L$401,IF(Dashboard!$E$77="All","*",Dashboard!$E$77))),0)</f>
        <v>0.33101360680253433</v>
      </c>
      <c r="L81" s="251"/>
      <c r="M81" s="252"/>
      <c r="N81" s="253">
        <f>IFERROR(SUMIFS(Profitability_Model!$C$2:$C$402,Profitability_Model!$B$2:$B$402,IF(Dashboard!$B$77="All","*",Dashboard!$B$77),Profitability_Model!$L$2:$L$402,IF(Dashboard!$E$77="All","*",Dashboard!$E$77))/SUM(Profitability_Model!$C$2:$C$402),0)</f>
        <v>0.33334690127094824</v>
      </c>
      <c r="O81" s="254"/>
      <c r="P81" s="254"/>
      <c r="Q81" s="255"/>
      <c r="R81" s="72"/>
      <c r="S81" s="72"/>
      <c r="T81" s="72"/>
      <c r="U81" s="130"/>
      <c r="AA81" t="s">
        <v>160</v>
      </c>
      <c r="AB81" t="s">
        <v>18</v>
      </c>
      <c r="AC81" t="s">
        <v>631</v>
      </c>
    </row>
    <row r="82" spans="1:29" ht="18" customHeight="1" x14ac:dyDescent="0.35">
      <c r="A82" s="72"/>
      <c r="B82" s="116" t="s">
        <v>618</v>
      </c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72"/>
      <c r="N82" s="72"/>
      <c r="O82" s="72"/>
      <c r="P82" s="72"/>
      <c r="Q82" s="72"/>
      <c r="R82" s="72"/>
      <c r="S82" s="72"/>
      <c r="T82" s="72"/>
      <c r="U82" s="130"/>
      <c r="AA82" t="s">
        <v>123</v>
      </c>
      <c r="AB82" t="s">
        <v>27</v>
      </c>
      <c r="AC82" t="s">
        <v>483</v>
      </c>
    </row>
    <row r="83" spans="1:29" ht="18" customHeight="1" x14ac:dyDescent="0.35">
      <c r="A83" s="72"/>
      <c r="B83" s="117" t="str">
        <f ca="1">" Generated "&amp;TEXT(TODAY(),"mmmm d, yyyy")&amp;"  ·  Data source: Profitability_Model · Scenario_Analysis · Sensitivity_Analysis"</f>
        <v xml:space="preserve"> Generated June 10, 2026  ·  Data source: Profitability_Model · Scenario_Analysis · Sensitivity_Analysis</v>
      </c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72"/>
      <c r="N83" s="72"/>
      <c r="O83" s="72"/>
      <c r="P83" s="72"/>
      <c r="Q83" s="72"/>
      <c r="R83" s="72"/>
      <c r="S83" s="72"/>
      <c r="T83" s="72"/>
      <c r="U83" s="130"/>
      <c r="AA83" t="s">
        <v>96</v>
      </c>
      <c r="AB83" t="s">
        <v>24</v>
      </c>
      <c r="AC83" t="s">
        <v>632</v>
      </c>
    </row>
    <row r="84" spans="1:29" ht="18" customHeight="1" x14ac:dyDescent="0.35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130"/>
      <c r="AA84" t="s">
        <v>57</v>
      </c>
    </row>
    <row r="85" spans="1:29" ht="18" customHeight="1" x14ac:dyDescent="0.3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130"/>
      <c r="AA85" t="s">
        <v>30</v>
      </c>
    </row>
    <row r="86" spans="1:29" ht="18" customHeight="1" x14ac:dyDescent="0.3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130"/>
      <c r="AA86" t="s">
        <v>26</v>
      </c>
    </row>
    <row r="87" spans="1:29" ht="18" customHeight="1" x14ac:dyDescent="0.3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130"/>
      <c r="AA87" t="s">
        <v>245</v>
      </c>
    </row>
    <row r="88" spans="1:29" x14ac:dyDescent="0.3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130"/>
      <c r="AA88" t="s">
        <v>21</v>
      </c>
    </row>
    <row r="89" spans="1:29" x14ac:dyDescent="0.3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130"/>
      <c r="AA89" t="s">
        <v>23</v>
      </c>
    </row>
    <row r="90" spans="1:29" x14ac:dyDescent="0.3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130"/>
      <c r="AA90" t="s">
        <v>64</v>
      </c>
    </row>
    <row r="91" spans="1:29" x14ac:dyDescent="0.35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130"/>
      <c r="AA91" t="s">
        <v>138</v>
      </c>
    </row>
    <row r="92" spans="1:29" x14ac:dyDescent="0.35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130"/>
      <c r="AA92" t="s">
        <v>90</v>
      </c>
    </row>
  </sheetData>
  <mergeCells count="118">
    <mergeCell ref="B70:I70"/>
    <mergeCell ref="J70:Q70"/>
    <mergeCell ref="B71:I71"/>
    <mergeCell ref="J71:Q71"/>
    <mergeCell ref="B67:I67"/>
    <mergeCell ref="J67:Q67"/>
    <mergeCell ref="B68:I68"/>
    <mergeCell ref="J68:Q68"/>
    <mergeCell ref="B69:I69"/>
    <mergeCell ref="J69:Q69"/>
    <mergeCell ref="J61:Q61"/>
    <mergeCell ref="J62:Q62"/>
    <mergeCell ref="J63:Q63"/>
    <mergeCell ref="J64:Q64"/>
    <mergeCell ref="J65:Q65"/>
    <mergeCell ref="B66:I66"/>
    <mergeCell ref="J66:Q66"/>
    <mergeCell ref="C51:D51"/>
    <mergeCell ref="C52:D52"/>
    <mergeCell ref="C53:D53"/>
    <mergeCell ref="J58:Q58"/>
    <mergeCell ref="J59:Q59"/>
    <mergeCell ref="J60:Q60"/>
    <mergeCell ref="B45:D45"/>
    <mergeCell ref="B47:I47"/>
    <mergeCell ref="J47:Q47"/>
    <mergeCell ref="C49:D49"/>
    <mergeCell ref="J49:Q49"/>
    <mergeCell ref="C50:D50"/>
    <mergeCell ref="K50:Q50"/>
    <mergeCell ref="C42:D42"/>
    <mergeCell ref="K42:L42"/>
    <mergeCell ref="C43:D43"/>
    <mergeCell ref="K43:L43"/>
    <mergeCell ref="C44:D44"/>
    <mergeCell ref="K44:L44"/>
    <mergeCell ref="C39:D39"/>
    <mergeCell ref="K39:L39"/>
    <mergeCell ref="T39:U39"/>
    <mergeCell ref="C40:D40"/>
    <mergeCell ref="K40:L40"/>
    <mergeCell ref="C41:D41"/>
    <mergeCell ref="K41:L41"/>
    <mergeCell ref="C36:D36"/>
    <mergeCell ref="K36:L36"/>
    <mergeCell ref="C37:D37"/>
    <mergeCell ref="K37:L37"/>
    <mergeCell ref="C38:D38"/>
    <mergeCell ref="K38:L38"/>
    <mergeCell ref="B32:I32"/>
    <mergeCell ref="J32:Q32"/>
    <mergeCell ref="C34:D34"/>
    <mergeCell ref="K34:L34"/>
    <mergeCell ref="C35:D35"/>
    <mergeCell ref="K35:L35"/>
    <mergeCell ref="H22:L22"/>
    <mergeCell ref="H23:L23"/>
    <mergeCell ref="N23:Q23"/>
    <mergeCell ref="H24:L24"/>
    <mergeCell ref="N24:Q24"/>
    <mergeCell ref="H25:L25"/>
    <mergeCell ref="I18:J18"/>
    <mergeCell ref="K18:L18"/>
    <mergeCell ref="N19:Q19"/>
    <mergeCell ref="H20:L20"/>
    <mergeCell ref="N20:Q20"/>
    <mergeCell ref="H21:L21"/>
    <mergeCell ref="N21:Q21"/>
    <mergeCell ref="I16:J16"/>
    <mergeCell ref="K16:L16"/>
    <mergeCell ref="N16:Q16"/>
    <mergeCell ref="I17:J17"/>
    <mergeCell ref="K17:L17"/>
    <mergeCell ref="N17:Q17"/>
    <mergeCell ref="I13:J13"/>
    <mergeCell ref="K13:L13"/>
    <mergeCell ref="N13:Q13"/>
    <mergeCell ref="I14:J14"/>
    <mergeCell ref="K14:L14"/>
    <mergeCell ref="I15:J15"/>
    <mergeCell ref="K15:L15"/>
    <mergeCell ref="N15:Q15"/>
    <mergeCell ref="C9:E9"/>
    <mergeCell ref="G9:I9"/>
    <mergeCell ref="K9:M9"/>
    <mergeCell ref="O9:Q9"/>
    <mergeCell ref="B11:F11"/>
    <mergeCell ref="H11:L11"/>
    <mergeCell ref="N11:Q11"/>
    <mergeCell ref="T2:U2"/>
    <mergeCell ref="B3:L3"/>
    <mergeCell ref="M3:Q3"/>
    <mergeCell ref="T3:U3"/>
    <mergeCell ref="C7:E7"/>
    <mergeCell ref="G7:I7"/>
    <mergeCell ref="K7:M7"/>
    <mergeCell ref="O7:Q7"/>
    <mergeCell ref="C8:E8"/>
    <mergeCell ref="G8:I8"/>
    <mergeCell ref="K8:M8"/>
    <mergeCell ref="O8:Q8"/>
    <mergeCell ref="B2:L2"/>
    <mergeCell ref="M2:Q2"/>
    <mergeCell ref="B80:D80"/>
    <mergeCell ref="H80:J80"/>
    <mergeCell ref="K80:M80"/>
    <mergeCell ref="N80:Q80"/>
    <mergeCell ref="B81:D81"/>
    <mergeCell ref="H81:J81"/>
    <mergeCell ref="K81:M81"/>
    <mergeCell ref="N81:Q81"/>
    <mergeCell ref="B75:L75"/>
    <mergeCell ref="B77:D77"/>
    <mergeCell ref="H76:L76"/>
    <mergeCell ref="E76:G76"/>
    <mergeCell ref="H77:L77"/>
    <mergeCell ref="E77:G77"/>
    <mergeCell ref="B76:D76"/>
  </mergeCells>
  <conditionalFormatting sqref="G35:G44">
    <cfRule type="dataBar" priority="1">
      <dataBar>
        <cfvo type="min"/>
        <cfvo type="max"/>
        <color rgb="FF10B981"/>
      </dataBar>
      <extLst>
        <ext xmlns:x14="http://schemas.microsoft.com/office/spreadsheetml/2009/9/main" uri="{B025F937-C7B1-47D3-B67F-A62EFF666E3E}">
          <x14:id>{19345507-7E01-46ED-B639-1798DF3353D2}</x14:id>
        </ext>
      </extLst>
    </cfRule>
  </conditionalFormatting>
  <conditionalFormatting sqref="I35:I44">
    <cfRule type="dataBar" priority="2">
      <dataBar>
        <cfvo type="min"/>
        <cfvo type="max"/>
        <color rgb="FF0EA5E9"/>
      </dataBar>
      <extLst>
        <ext xmlns:x14="http://schemas.microsoft.com/office/spreadsheetml/2009/9/main" uri="{B025F937-C7B1-47D3-B67F-A62EFF666E3E}">
          <x14:id>{4A7FA530-2BD1-462A-8FAC-445897BB81B5}</x14:id>
        </ext>
      </extLst>
    </cfRule>
  </conditionalFormatting>
  <conditionalFormatting sqref="K52:O56">
    <cfRule type="colorScale" priority="7">
      <colorScale>
        <cfvo type="min"/>
        <cfvo type="percentile" val="50"/>
        <cfvo type="max"/>
        <color rgb="FFEF4444"/>
        <color rgb="FFFBBF24"/>
        <color rgb="FF10B981"/>
      </colorScale>
    </cfRule>
  </conditionalFormatting>
  <conditionalFormatting sqref="O35:O44">
    <cfRule type="dataBar" priority="3">
      <dataBar>
        <cfvo type="min"/>
        <cfvo type="max"/>
        <color rgb="FF10B981"/>
      </dataBar>
      <extLst>
        <ext xmlns:x14="http://schemas.microsoft.com/office/spreadsheetml/2009/9/main" uri="{B025F937-C7B1-47D3-B67F-A62EFF666E3E}">
          <x14:id>{368F9A5C-0F31-4821-A590-31CC4D822D2F}</x14:id>
        </ext>
      </extLst>
    </cfRule>
  </conditionalFormatting>
  <conditionalFormatting sqref="Q35:Q44">
    <cfRule type="cellIs" dxfId="2" priority="4" operator="equal">
      <formula>"SCALE"</formula>
    </cfRule>
    <cfRule type="cellIs" dxfId="1" priority="5" operator="equal">
      <formula>"OPTIMIZE"</formula>
    </cfRule>
    <cfRule type="cellIs" dxfId="0" priority="6" operator="equal">
      <formula>"EXIT"</formula>
    </cfRule>
  </conditionalFormatting>
  <dataValidations count="4">
    <dataValidation type="list" errorStyle="warning" allowBlank="1" showInputMessage="1" showErrorMessage="1" sqref="Q5" xr:uid="{F1E39F19-C665-430B-B17E-9ACD95511914}">
      <formula1>"True, False"</formula1>
    </dataValidation>
    <dataValidation type="list" promptTitle="Decision slicer" prompt="Click the arrow to filter the dashboard by decision." sqref="E77:G77" xr:uid="{2585B5CB-256B-4D3B-AED0-79961C7322E7}">
      <formula1>$AB$80:$AB$83</formula1>
    </dataValidation>
    <dataValidation type="list" promptTitle="Scenario slicer" prompt="Click the arrow to apply a stress scenario." sqref="H77:L77" xr:uid="{C95C4CBC-637F-46C9-95CA-41B622D16177}">
      <formula1>$AC$80:$AC$83</formula1>
    </dataValidation>
    <dataValidation type="list" promptTitle="Category slicer" prompt="Click the arrow to filter the dashboard by category." sqref="B77:D77" xr:uid="{953C9F94-EB22-4D69-8833-BD358E4F57CB}">
      <formula1>$AA$80:$AA$92</formula1>
    </dataValidation>
  </dataValidations>
  <pageMargins left="0.7" right="0.7" top="0.75" bottom="0.75" header="0.3" footer="0.3"/>
  <pageSetup paperSize="8" scale="43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345507-7E01-46ED-B639-1798DF3353D2}">
            <x14:dataBar axisPosition="none">
              <x14:cfvo type="min"/>
              <x14:cfvo type="max"/>
              <x14:negativeFillColor rgb="FF10B981"/>
            </x14:dataBar>
          </x14:cfRule>
          <xm:sqref>G35:G44</xm:sqref>
        </x14:conditionalFormatting>
        <x14:conditionalFormatting xmlns:xm="http://schemas.microsoft.com/office/excel/2006/main">
          <x14:cfRule type="dataBar" id="{4A7FA530-2BD1-462A-8FAC-445897BB81B5}">
            <x14:dataBar axisPosition="none">
              <x14:cfvo type="min"/>
              <x14:cfvo type="max"/>
              <x14:negativeFillColor rgb="FF0EA5E9"/>
            </x14:dataBar>
          </x14:cfRule>
          <xm:sqref>I35:I44</xm:sqref>
        </x14:conditionalFormatting>
        <x14:conditionalFormatting xmlns:xm="http://schemas.microsoft.com/office/excel/2006/main">
          <x14:cfRule type="dataBar" id="{368F9A5C-0F31-4821-A590-31CC4D822D2F}">
            <x14:dataBar axisPosition="none">
              <x14:cfvo type="min"/>
              <x14:cfvo type="max"/>
              <x14:negativeFillColor rgb="FF10B981"/>
            </x14:dataBar>
          </x14:cfRule>
          <xm:sqref>O35:O44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6C36-9A05-495D-8FA3-C504C7AA22FA}">
  <sheetPr>
    <tabColor theme="4" tint="-0.249977111117893"/>
  </sheetPr>
  <dimension ref="B2:F41"/>
  <sheetViews>
    <sheetView showGridLines="0" topLeftCell="A34" zoomScale="81" zoomScaleNormal="40" workbookViewId="0">
      <selection activeCell="F37" sqref="F37"/>
    </sheetView>
  </sheetViews>
  <sheetFormatPr defaultColWidth="8.54296875" defaultRowHeight="14.5" x14ac:dyDescent="0.35"/>
  <cols>
    <col min="1" max="1" width="2" customWidth="1"/>
    <col min="2" max="2" width="16" customWidth="1"/>
    <col min="3" max="3" width="40" customWidth="1"/>
    <col min="4" max="5" width="22" customWidth="1"/>
    <col min="6" max="6" width="24" customWidth="1"/>
    <col min="7" max="7" width="3" customWidth="1"/>
  </cols>
  <sheetData>
    <row r="2" spans="2:6" ht="33.75" customHeight="1" x14ac:dyDescent="0.35">
      <c r="B2" s="313" t="s">
        <v>633</v>
      </c>
      <c r="C2" s="313"/>
      <c r="D2" s="313"/>
      <c r="E2" s="313"/>
      <c r="F2" s="313"/>
    </row>
    <row r="3" spans="2:6" ht="19.5" customHeight="1" x14ac:dyDescent="0.35">
      <c r="B3" s="314" t="s">
        <v>634</v>
      </c>
      <c r="C3" s="314"/>
      <c r="D3" s="314"/>
      <c r="E3" s="314"/>
      <c r="F3" s="314"/>
    </row>
    <row r="5" spans="2:6" ht="24" customHeight="1" x14ac:dyDescent="0.35">
      <c r="B5" s="309" t="s">
        <v>635</v>
      </c>
      <c r="C5" s="309"/>
      <c r="D5" s="309"/>
      <c r="E5" s="309"/>
      <c r="F5" s="309"/>
    </row>
    <row r="6" spans="2:6" ht="30" customHeight="1" x14ac:dyDescent="0.35">
      <c r="B6" s="163" t="s">
        <v>540</v>
      </c>
      <c r="C6" s="163" t="s">
        <v>636</v>
      </c>
      <c r="D6" s="164" t="s">
        <v>637</v>
      </c>
      <c r="E6" s="164" t="s">
        <v>638</v>
      </c>
      <c r="F6" s="163" t="s">
        <v>639</v>
      </c>
    </row>
    <row r="7" spans="2:6" ht="30" customHeight="1" x14ac:dyDescent="0.35">
      <c r="B7" s="165" t="s">
        <v>548</v>
      </c>
      <c r="C7" s="166" t="s">
        <v>640</v>
      </c>
      <c r="D7" s="167" t="s">
        <v>641</v>
      </c>
      <c r="E7" s="167" t="s">
        <v>642</v>
      </c>
      <c r="F7" s="168" t="s">
        <v>643</v>
      </c>
    </row>
    <row r="8" spans="2:6" ht="30" customHeight="1" x14ac:dyDescent="0.35">
      <c r="B8" s="169" t="s">
        <v>551</v>
      </c>
      <c r="C8" s="166" t="s">
        <v>644</v>
      </c>
      <c r="D8" s="167" t="s">
        <v>645</v>
      </c>
      <c r="E8" s="167" t="s">
        <v>646</v>
      </c>
      <c r="F8" s="168" t="s">
        <v>647</v>
      </c>
    </row>
    <row r="9" spans="2:6" ht="30" customHeight="1" x14ac:dyDescent="0.35">
      <c r="B9" s="170" t="s">
        <v>554</v>
      </c>
      <c r="C9" s="166" t="s">
        <v>648</v>
      </c>
      <c r="D9" s="167" t="s">
        <v>649</v>
      </c>
      <c r="E9" s="167" t="s">
        <v>650</v>
      </c>
      <c r="F9" s="168" t="s">
        <v>651</v>
      </c>
    </row>
    <row r="11" spans="2:6" ht="15" customHeight="1" x14ac:dyDescent="0.35">
      <c r="B11" s="308" t="s">
        <v>652</v>
      </c>
      <c r="C11" s="308"/>
      <c r="D11" s="308"/>
      <c r="E11" s="308"/>
      <c r="F11" s="308"/>
    </row>
    <row r="13" spans="2:6" ht="24" customHeight="1" x14ac:dyDescent="0.35">
      <c r="B13" s="309" t="s">
        <v>653</v>
      </c>
      <c r="C13" s="309"/>
      <c r="D13" s="309"/>
      <c r="E13" s="309"/>
      <c r="F13" s="309"/>
    </row>
    <row r="14" spans="2:6" ht="15" customHeight="1" x14ac:dyDescent="0.35">
      <c r="B14" s="171" t="s">
        <v>654</v>
      </c>
      <c r="C14" s="172" t="s">
        <v>655</v>
      </c>
      <c r="D14" s="171" t="s">
        <v>656</v>
      </c>
      <c r="E14" s="171" t="s">
        <v>657</v>
      </c>
    </row>
    <row r="15" spans="2:6" ht="19.5" customHeight="1" x14ac:dyDescent="0.35">
      <c r="B15" s="188" t="s">
        <v>658</v>
      </c>
      <c r="C15" s="189" t="s">
        <v>659</v>
      </c>
      <c r="D15" s="190" t="s">
        <v>660</v>
      </c>
      <c r="E15" s="187" t="s">
        <v>18</v>
      </c>
    </row>
    <row r="16" spans="2:6" ht="19.5" customHeight="1" x14ac:dyDescent="0.35">
      <c r="B16" s="184" t="s">
        <v>661</v>
      </c>
      <c r="C16" s="189" t="s">
        <v>662</v>
      </c>
      <c r="D16" s="185" t="s">
        <v>663</v>
      </c>
      <c r="E16" s="191" t="s">
        <v>27</v>
      </c>
    </row>
    <row r="17" spans="2:6" ht="19.5" customHeight="1" x14ac:dyDescent="0.35">
      <c r="B17" s="193" t="s">
        <v>664</v>
      </c>
      <c r="C17" s="192" t="s">
        <v>665</v>
      </c>
      <c r="D17" s="173" t="s">
        <v>666</v>
      </c>
      <c r="E17" s="187" t="s">
        <v>24</v>
      </c>
    </row>
    <row r="18" spans="2:6" x14ac:dyDescent="0.35">
      <c r="D18" s="186"/>
    </row>
    <row r="19" spans="2:6" ht="15" customHeight="1" x14ac:dyDescent="0.35">
      <c r="B19" s="308" t="s">
        <v>667</v>
      </c>
      <c r="C19" s="308"/>
      <c r="D19" s="308"/>
      <c r="E19" s="308"/>
      <c r="F19" s="308"/>
    </row>
    <row r="21" spans="2:6" ht="24" customHeight="1" x14ac:dyDescent="0.35">
      <c r="B21" s="309" t="s">
        <v>668</v>
      </c>
      <c r="C21" s="309"/>
      <c r="D21" s="309"/>
      <c r="E21" s="309"/>
      <c r="F21" s="309"/>
    </row>
    <row r="22" spans="2:6" ht="15" customHeight="1" x14ac:dyDescent="0.35">
      <c r="B22" s="171" t="s">
        <v>669</v>
      </c>
      <c r="C22" s="305" t="s">
        <v>670</v>
      </c>
      <c r="D22" s="305"/>
      <c r="E22" s="305"/>
      <c r="F22" s="305"/>
    </row>
    <row r="23" spans="2:6" ht="19.5" customHeight="1" x14ac:dyDescent="0.35">
      <c r="B23" s="174" t="s">
        <v>642</v>
      </c>
      <c r="C23" s="306" t="s">
        <v>671</v>
      </c>
      <c r="D23" s="306"/>
      <c r="E23" s="306"/>
      <c r="F23" s="306"/>
    </row>
    <row r="24" spans="2:6" ht="19.5" customHeight="1" x14ac:dyDescent="0.35">
      <c r="B24" s="175" t="s">
        <v>672</v>
      </c>
      <c r="C24" s="306" t="s">
        <v>673</v>
      </c>
      <c r="D24" s="306"/>
      <c r="E24" s="306"/>
      <c r="F24" s="306"/>
    </row>
    <row r="25" spans="2:6" ht="19.5" customHeight="1" x14ac:dyDescent="0.35">
      <c r="B25" s="176" t="s">
        <v>650</v>
      </c>
      <c r="C25" s="306" t="s">
        <v>674</v>
      </c>
      <c r="D25" s="306"/>
      <c r="E25" s="306"/>
      <c r="F25" s="306"/>
    </row>
    <row r="27" spans="2:6" ht="24" customHeight="1" x14ac:dyDescent="0.35">
      <c r="B27" s="309" t="s">
        <v>675</v>
      </c>
      <c r="C27" s="309"/>
      <c r="D27" s="309"/>
      <c r="E27" s="309"/>
      <c r="F27" s="309"/>
    </row>
    <row r="28" spans="2:6" ht="21.75" customHeight="1" x14ac:dyDescent="0.35">
      <c r="B28" s="194" t="s">
        <v>676</v>
      </c>
      <c r="C28" s="310" t="s">
        <v>677</v>
      </c>
      <c r="D28" s="310"/>
      <c r="E28" s="310"/>
      <c r="F28" s="310"/>
    </row>
    <row r="29" spans="2:6" ht="21.75" customHeight="1" x14ac:dyDescent="0.35">
      <c r="B29" s="177" t="s">
        <v>678</v>
      </c>
      <c r="C29" s="310" t="s">
        <v>679</v>
      </c>
      <c r="D29" s="310"/>
      <c r="E29" s="310"/>
      <c r="F29" s="310"/>
    </row>
    <row r="30" spans="2:6" ht="21.75" customHeight="1" x14ac:dyDescent="0.35">
      <c r="B30" s="178" t="s">
        <v>680</v>
      </c>
      <c r="C30" s="310" t="s">
        <v>681</v>
      </c>
      <c r="D30" s="310"/>
      <c r="E30" s="310"/>
      <c r="F30" s="310"/>
    </row>
    <row r="31" spans="2:6" ht="15" customHeight="1" x14ac:dyDescent="0.35">
      <c r="B31" s="311" t="s">
        <v>682</v>
      </c>
      <c r="C31" s="311"/>
      <c r="D31" s="311"/>
      <c r="E31" s="311"/>
      <c r="F31" s="311"/>
    </row>
    <row r="32" spans="2:6" ht="19.5" customHeight="1" x14ac:dyDescent="0.35">
      <c r="B32" s="312" t="s">
        <v>683</v>
      </c>
      <c r="C32" s="312"/>
      <c r="D32" s="312"/>
      <c r="E32" s="312"/>
      <c r="F32" s="312"/>
    </row>
    <row r="34" spans="2:6" ht="24" customHeight="1" x14ac:dyDescent="0.35">
      <c r="B34" s="309" t="s">
        <v>684</v>
      </c>
      <c r="C34" s="309"/>
      <c r="D34" s="309"/>
      <c r="E34" s="309"/>
      <c r="F34" s="309"/>
    </row>
    <row r="35" spans="2:6" ht="15" customHeight="1" x14ac:dyDescent="0.35">
      <c r="B35" s="171" t="s">
        <v>685</v>
      </c>
      <c r="C35" s="305" t="s">
        <v>686</v>
      </c>
      <c r="D35" s="305"/>
      <c r="E35" s="305"/>
      <c r="F35" s="172" t="s">
        <v>687</v>
      </c>
    </row>
    <row r="36" spans="2:6" ht="27.75" customHeight="1" x14ac:dyDescent="0.35">
      <c r="B36" s="179" t="s">
        <v>688</v>
      </c>
      <c r="C36" s="306" t="s">
        <v>689</v>
      </c>
      <c r="D36" s="306"/>
      <c r="E36" s="306"/>
      <c r="F36" s="180">
        <f>COUNTIF(Scenario_Analysis!R3:R402,"Stable")</f>
        <v>372</v>
      </c>
    </row>
    <row r="37" spans="2:6" ht="27.75" customHeight="1" x14ac:dyDescent="0.35">
      <c r="B37" s="181" t="s">
        <v>690</v>
      </c>
      <c r="C37" s="306" t="s">
        <v>691</v>
      </c>
      <c r="D37" s="306"/>
      <c r="E37" s="306"/>
      <c r="F37" s="182">
        <f>COUNTIF(Scenario_Analysis!R2:R402,"Decision changes")</f>
        <v>28</v>
      </c>
    </row>
    <row r="38" spans="2:6" ht="21.75" customHeight="1" x14ac:dyDescent="0.35">
      <c r="B38" s="183" t="s">
        <v>692</v>
      </c>
      <c r="C38" s="307" t="s">
        <v>693</v>
      </c>
      <c r="D38" s="307"/>
      <c r="E38" s="307"/>
      <c r="F38" s="215">
        <f>COUNTIF(Scenario_Analysis!R2:R402,"Stable")/400</f>
        <v>0.93</v>
      </c>
    </row>
    <row r="41" spans="2:6" ht="27.75" customHeight="1" x14ac:dyDescent="0.35">
      <c r="B41" s="308" t="s">
        <v>694</v>
      </c>
      <c r="C41" s="308"/>
      <c r="D41" s="308"/>
      <c r="E41" s="308"/>
      <c r="F41" s="308"/>
    </row>
  </sheetData>
  <mergeCells count="23">
    <mergeCell ref="B19:F19"/>
    <mergeCell ref="B2:F2"/>
    <mergeCell ref="B3:F3"/>
    <mergeCell ref="B5:F5"/>
    <mergeCell ref="B11:F11"/>
    <mergeCell ref="B13:F13"/>
    <mergeCell ref="B34:F34"/>
    <mergeCell ref="B21:F21"/>
    <mergeCell ref="C22:F22"/>
    <mergeCell ref="C23:F23"/>
    <mergeCell ref="C24:F24"/>
    <mergeCell ref="C25:F25"/>
    <mergeCell ref="B27:F27"/>
    <mergeCell ref="C28:F28"/>
    <mergeCell ref="C29:F29"/>
    <mergeCell ref="C30:F30"/>
    <mergeCell ref="B31:F31"/>
    <mergeCell ref="B32:F32"/>
    <mergeCell ref="C35:E35"/>
    <mergeCell ref="C36:E36"/>
    <mergeCell ref="C37:E37"/>
    <mergeCell ref="C38:E38"/>
    <mergeCell ref="B41:F41"/>
  </mergeCells>
  <pageMargins left="0.7" right="0.7" top="0.75" bottom="0.75" header="0.3" footer="0.3"/>
  <pageSetup paperSize="1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2770-5439-4D6A-9B4B-237159EAC659}">
  <sheetPr>
    <tabColor rgb="FFC00000"/>
  </sheetPr>
  <dimension ref="B2:I28"/>
  <sheetViews>
    <sheetView showGridLines="0" zoomScale="54" workbookViewId="0">
      <selection activeCell="B19" sqref="B19:C19"/>
    </sheetView>
  </sheetViews>
  <sheetFormatPr defaultColWidth="8.54296875" defaultRowHeight="14.5" x14ac:dyDescent="0.35"/>
  <cols>
    <col min="1" max="1" width="2" customWidth="1"/>
    <col min="2" max="2" width="22" customWidth="1"/>
    <col min="3" max="3" width="9.54296875" customWidth="1"/>
    <col min="4" max="4" width="3" customWidth="1"/>
    <col min="5" max="5" width="22" customWidth="1"/>
    <col min="6" max="6" width="19" customWidth="1"/>
    <col min="7" max="7" width="3" customWidth="1"/>
    <col min="8" max="8" width="22" customWidth="1"/>
    <col min="9" max="9" width="19" customWidth="1"/>
    <col min="10" max="10" width="2" customWidth="1"/>
  </cols>
  <sheetData>
    <row r="2" spans="2:9" ht="26" x14ac:dyDescent="0.35">
      <c r="B2" s="313" t="s">
        <v>695</v>
      </c>
      <c r="C2" s="313"/>
      <c r="D2" s="313"/>
      <c r="E2" s="313"/>
      <c r="F2" s="313"/>
      <c r="G2" s="313"/>
      <c r="H2" s="313"/>
      <c r="I2" s="313"/>
    </row>
    <row r="3" spans="2:9" ht="15.5" x14ac:dyDescent="0.35">
      <c r="B3" s="314" t="s">
        <v>696</v>
      </c>
      <c r="C3" s="314"/>
      <c r="D3" s="314"/>
      <c r="E3" s="314"/>
      <c r="F3" s="314"/>
      <c r="G3" s="314"/>
      <c r="H3" s="314"/>
      <c r="I3" s="314"/>
    </row>
    <row r="5" spans="2:9" ht="15" customHeight="1" x14ac:dyDescent="0.35">
      <c r="B5" s="195" t="s">
        <v>697</v>
      </c>
      <c r="C5" s="196"/>
      <c r="E5" s="195" t="s">
        <v>698</v>
      </c>
      <c r="F5" s="196"/>
      <c r="H5" s="195" t="s">
        <v>699</v>
      </c>
      <c r="I5" s="196"/>
    </row>
    <row r="6" spans="2:9" ht="26" x14ac:dyDescent="0.35">
      <c r="B6" s="197">
        <f>MAX(Sensitivity_Analysis!C5:G9)</f>
        <v>0.35980984949944178</v>
      </c>
      <c r="C6" s="198"/>
      <c r="E6" s="199">
        <f>MIN(Sensitivity_Analysis!C5:G9)</f>
        <v>0.26172044664785382</v>
      </c>
      <c r="F6" s="198"/>
      <c r="H6" s="200">
        <f>Sensitivity_Analysis!C5-Sensitivity_Analysis!G9</f>
        <v>9.8089402851587959E-2</v>
      </c>
      <c r="I6" s="198"/>
    </row>
    <row r="7" spans="2:9" ht="24" x14ac:dyDescent="0.35">
      <c r="B7" s="201" t="s">
        <v>700</v>
      </c>
      <c r="C7" s="202"/>
      <c r="E7" s="201" t="s">
        <v>701</v>
      </c>
      <c r="F7" s="202"/>
      <c r="H7" s="201" t="s">
        <v>702</v>
      </c>
      <c r="I7" s="202"/>
    </row>
    <row r="9" spans="2:9" ht="15.5" x14ac:dyDescent="0.35">
      <c r="B9" s="309" t="s">
        <v>703</v>
      </c>
      <c r="C9" s="309"/>
      <c r="D9" s="309"/>
      <c r="E9" s="309"/>
      <c r="F9" s="309"/>
      <c r="G9" s="309"/>
      <c r="H9" s="309"/>
      <c r="I9" s="309"/>
    </row>
    <row r="10" spans="2:9" ht="15" customHeight="1" x14ac:dyDescent="0.35">
      <c r="B10" s="171" t="s">
        <v>704</v>
      </c>
      <c r="C10" s="305" t="s">
        <v>705</v>
      </c>
      <c r="D10" s="305"/>
      <c r="E10" s="305"/>
      <c r="F10" s="335" t="s">
        <v>706</v>
      </c>
      <c r="G10" s="335"/>
      <c r="H10" s="335" t="s">
        <v>707</v>
      </c>
      <c r="I10" s="335"/>
    </row>
    <row r="11" spans="2:9" ht="21.75" customHeight="1" x14ac:dyDescent="0.35">
      <c r="B11" s="203" t="s">
        <v>708</v>
      </c>
      <c r="C11" s="306" t="s">
        <v>709</v>
      </c>
      <c r="D11" s="306"/>
      <c r="E11" s="306"/>
      <c r="F11" s="331">
        <f>Sensitivity_Analysis!C5</f>
        <v>0.35980984949944178</v>
      </c>
      <c r="G11" s="331"/>
      <c r="H11" s="334" t="s">
        <v>608</v>
      </c>
      <c r="I11" s="334"/>
    </row>
    <row r="12" spans="2:9" ht="21.75" customHeight="1" x14ac:dyDescent="0.35">
      <c r="B12" s="204" t="s">
        <v>710</v>
      </c>
      <c r="C12" s="306" t="s">
        <v>711</v>
      </c>
      <c r="D12" s="306"/>
      <c r="E12" s="306"/>
      <c r="F12" s="331">
        <f>Sensitivity_Analysis!G5</f>
        <v>0.26652014890816628</v>
      </c>
      <c r="G12" s="331"/>
      <c r="H12" s="332">
        <f>Sensitivity_Analysis!G5-Sensitivity_Analysis!C5</f>
        <v>-9.3289700591275504E-2</v>
      </c>
      <c r="I12" s="332"/>
    </row>
    <row r="13" spans="2:9" ht="21.75" customHeight="1" x14ac:dyDescent="0.35">
      <c r="B13" s="204" t="s">
        <v>712</v>
      </c>
      <c r="C13" s="306" t="s">
        <v>713</v>
      </c>
      <c r="D13" s="306"/>
      <c r="E13" s="306"/>
      <c r="F13" s="331">
        <f>Sensitivity_Analysis!C9</f>
        <v>0.35501014723912905</v>
      </c>
      <c r="G13" s="331"/>
      <c r="H13" s="332">
        <f>Sensitivity_Analysis!C9-Sensitivity_Analysis!C5</f>
        <v>-4.7997022603127326E-3</v>
      </c>
      <c r="I13" s="332"/>
    </row>
    <row r="14" spans="2:9" ht="21.75" customHeight="1" x14ac:dyDescent="0.35">
      <c r="B14" s="205" t="s">
        <v>714</v>
      </c>
      <c r="C14" s="306" t="s">
        <v>715</v>
      </c>
      <c r="D14" s="306"/>
      <c r="E14" s="306"/>
      <c r="F14" s="331">
        <f>Sensitivity_Analysis!G9</f>
        <v>0.26172044664785382</v>
      </c>
      <c r="G14" s="331"/>
      <c r="H14" s="333">
        <f>Sensitivity_Analysis!G9-Sensitivity_Analysis!C5</f>
        <v>-9.8089402851587959E-2</v>
      </c>
      <c r="I14" s="333"/>
    </row>
    <row r="17" spans="2:9" ht="15.5" x14ac:dyDescent="0.35">
      <c r="B17" s="309" t="s">
        <v>716</v>
      </c>
      <c r="C17" s="309"/>
      <c r="D17" s="309"/>
      <c r="E17" s="309"/>
      <c r="F17" s="309"/>
      <c r="G17" s="309"/>
      <c r="H17" s="309"/>
      <c r="I17" s="309"/>
    </row>
    <row r="18" spans="2:9" ht="15" customHeight="1" x14ac:dyDescent="0.35">
      <c r="B18" s="319" t="s">
        <v>717</v>
      </c>
      <c r="C18" s="320"/>
      <c r="D18" s="320"/>
      <c r="E18" s="321"/>
      <c r="F18" s="322" t="s">
        <v>718</v>
      </c>
      <c r="G18" s="323"/>
      <c r="H18" s="323"/>
      <c r="I18" s="324"/>
    </row>
    <row r="19" spans="2:9" ht="23.5" x14ac:dyDescent="0.35">
      <c r="B19" s="325">
        <f>Sensitivity_Analysis!C5-Sensitivity_Analysis!G5</f>
        <v>9.3289700591275504E-2</v>
      </c>
      <c r="C19" s="326"/>
      <c r="D19" s="327" t="s">
        <v>719</v>
      </c>
      <c r="E19" s="328"/>
      <c r="F19" s="329">
        <f>Sensitivity_Analysis!C5-Sensitivity_Analysis!C9</f>
        <v>4.7997022603127326E-3</v>
      </c>
      <c r="G19" s="330"/>
      <c r="H19" s="327" t="s">
        <v>720</v>
      </c>
      <c r="I19" s="328"/>
    </row>
    <row r="20" spans="2:9" ht="25.5" customHeight="1" x14ac:dyDescent="0.35">
      <c r="B20" s="317" t="str">
        <f>" COGS sensitivity is "&amp;TEXT(IFERROR((Sensitivity_Analysis!C5-Sensitivity_Analysis!G5)/(Sensitivity_Analysis!C5-Sensitivity_Analysis!C9),0),"0.0")&amp;"× the returns impact — supplier-cost volatility is the single largest threat to portfolio margin."</f>
        <v xml:space="preserve"> COGS sensitivity is 19.4× the returns impact — supplier-cost volatility is the single largest threat to portfolio margin.</v>
      </c>
      <c r="C20" s="317"/>
      <c r="D20" s="317"/>
      <c r="E20" s="317"/>
      <c r="F20" s="317"/>
      <c r="G20" s="317"/>
      <c r="H20" s="317"/>
      <c r="I20" s="317"/>
    </row>
    <row r="22" spans="2:9" ht="24" customHeight="1" x14ac:dyDescent="0.35">
      <c r="B22" s="318" t="s">
        <v>721</v>
      </c>
      <c r="C22" s="318"/>
      <c r="D22" s="318"/>
      <c r="E22" s="318"/>
      <c r="F22" s="318"/>
      <c r="G22" s="318"/>
      <c r="H22" s="318"/>
      <c r="I22" s="318"/>
    </row>
    <row r="23" spans="2:9" ht="19.5" customHeight="1" x14ac:dyDescent="0.35">
      <c r="B23" s="315" t="str">
        <f>" • Portfolio stays profitable in all "&amp;COUNTIF(Sensitivity_Analysis!C5:G9,"&gt;0")&amp;" of 25 stress combinations tested."</f>
        <v xml:space="preserve"> • Portfolio stays profitable in all 25 of 25 stress combinations tested.</v>
      </c>
      <c r="C23" s="315"/>
      <c r="D23" s="315"/>
      <c r="E23" s="315"/>
      <c r="F23" s="315"/>
      <c r="G23" s="315"/>
      <c r="H23" s="315"/>
      <c r="I23" s="315"/>
    </row>
    <row r="24" spans="2:9" ht="19.5" customHeight="1" x14ac:dyDescent="0.35">
      <c r="B24" s="315" t="str">
        <f>" • Worst case retains "&amp;TEXT(Sensitivity_Analysis!G9/Sensitivity_Analysis!C5,"0.0%")&amp;" of best-case margin — the book is resilient, not fragile."</f>
        <v xml:space="preserve"> • Worst case retains 72.7% of best-case margin — the book is resilient, not fragile.</v>
      </c>
      <c r="C24" s="315"/>
      <c r="D24" s="315"/>
      <c r="E24" s="315"/>
      <c r="F24" s="315"/>
      <c r="G24" s="315"/>
      <c r="H24" s="315"/>
      <c r="I24" s="315"/>
    </row>
    <row r="25" spans="2:9" ht="19.5" customHeight="1" x14ac:dyDescent="0.35">
      <c r="B25" s="315" t="str">
        <f>" • "&amp;COUNTIF(Scenario_Analysis!R2:R402,"Stable")&amp;" of 400 SKUs keep their decision under every scenario ("&amp;TEXT(COUNTIF(Scenario_Analysis!R2:R402,"Stable")/400,"0.0%")&amp;" stability)."</f>
        <v xml:space="preserve"> • 372 of 400 SKUs keep their decision under every scenario (93.0% stability).</v>
      </c>
      <c r="C25" s="315"/>
      <c r="D25" s="315"/>
      <c r="E25" s="315"/>
      <c r="F25" s="315"/>
      <c r="G25" s="315"/>
      <c r="H25" s="315"/>
      <c r="I25" s="315"/>
    </row>
    <row r="26" spans="2:9" ht="19.5" customHeight="1" x14ac:dyDescent="0.35">
      <c r="B26" s="315" t="str">
        <f>" • "&amp;COUNTIF(Scenario_Analysis!R2:R402,"Decision changes")&amp;" sensitive SKUs flip category under stress and need active monitoring."</f>
        <v xml:space="preserve"> • 28 sensitive SKUs flip category under stress and need active monitoring.</v>
      </c>
      <c r="C26" s="315"/>
      <c r="D26" s="315"/>
      <c r="E26" s="315"/>
      <c r="F26" s="315"/>
      <c r="G26" s="315"/>
      <c r="H26" s="315"/>
      <c r="I26" s="315"/>
    </row>
    <row r="27" spans="2:9" ht="19.5" customHeight="1" x14ac:dyDescent="0.35">
      <c r="B27" s="315" t="str">
        <f>" • Mitigation priority: lock supplier pricing on SCALE SKUs first — that is where COGS risk concentrates."</f>
        <v xml:space="preserve"> • Mitigation priority: lock supplier pricing on SCALE SKUs first — that is where COGS risk concentrates.</v>
      </c>
      <c r="C27" s="315"/>
      <c r="D27" s="315"/>
      <c r="E27" s="315"/>
      <c r="F27" s="315"/>
      <c r="G27" s="315"/>
      <c r="H27" s="315"/>
      <c r="I27" s="315"/>
    </row>
    <row r="28" spans="2:9" ht="15" customHeight="1" x14ac:dyDescent="0.35">
      <c r="B28" s="316"/>
      <c r="C28" s="316"/>
      <c r="D28" s="316"/>
      <c r="E28" s="316"/>
      <c r="F28" s="316"/>
      <c r="G28" s="316"/>
      <c r="H28" s="316"/>
      <c r="I28" s="316"/>
    </row>
  </sheetData>
  <mergeCells count="33">
    <mergeCell ref="B2:I2"/>
    <mergeCell ref="B3:I3"/>
    <mergeCell ref="B9:I9"/>
    <mergeCell ref="C10:E10"/>
    <mergeCell ref="F10:G10"/>
    <mergeCell ref="H10:I10"/>
    <mergeCell ref="C11:E11"/>
    <mergeCell ref="F11:G11"/>
    <mergeCell ref="H11:I11"/>
    <mergeCell ref="C12:E12"/>
    <mergeCell ref="F12:G12"/>
    <mergeCell ref="H12:I12"/>
    <mergeCell ref="C13:E13"/>
    <mergeCell ref="F13:G13"/>
    <mergeCell ref="H13:I13"/>
    <mergeCell ref="C14:E14"/>
    <mergeCell ref="F14:G14"/>
    <mergeCell ref="H14:I14"/>
    <mergeCell ref="B17:I17"/>
    <mergeCell ref="B18:E18"/>
    <mergeCell ref="F18:I18"/>
    <mergeCell ref="B19:C19"/>
    <mergeCell ref="D19:E19"/>
    <mergeCell ref="F19:G19"/>
    <mergeCell ref="H19:I19"/>
    <mergeCell ref="B27:I27"/>
    <mergeCell ref="B28:I28"/>
    <mergeCell ref="B20:I20"/>
    <mergeCell ref="B22:I22"/>
    <mergeCell ref="B23:I23"/>
    <mergeCell ref="B24:I24"/>
    <mergeCell ref="B25:I25"/>
    <mergeCell ref="B26:I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F0F6-767C-46F9-984D-C5774253BEFC}">
  <sheetPr>
    <tabColor theme="4" tint="0.39997558519241921"/>
  </sheetPr>
  <dimension ref="B2:E17"/>
  <sheetViews>
    <sheetView showGridLines="0" zoomScale="74" workbookViewId="0">
      <selection activeCell="J10" sqref="J10"/>
    </sheetView>
  </sheetViews>
  <sheetFormatPr defaultColWidth="8.54296875" defaultRowHeight="14.5" x14ac:dyDescent="0.35"/>
  <cols>
    <col min="1" max="1" width="2" customWidth="1"/>
    <col min="2" max="2" width="22" customWidth="1"/>
    <col min="3" max="3" width="40" customWidth="1"/>
    <col min="4" max="4" width="42" customWidth="1"/>
    <col min="5" max="5" width="30" customWidth="1"/>
    <col min="6" max="6" width="2" customWidth="1"/>
  </cols>
  <sheetData>
    <row r="2" spans="2:5" ht="26" x14ac:dyDescent="0.35">
      <c r="B2" s="313" t="s">
        <v>722</v>
      </c>
      <c r="C2" s="313"/>
      <c r="D2" s="313"/>
      <c r="E2" s="313"/>
    </row>
    <row r="3" spans="2:5" ht="15.5" x14ac:dyDescent="0.35">
      <c r="B3" s="314" t="s">
        <v>723</v>
      </c>
      <c r="C3" s="314"/>
      <c r="D3" s="314"/>
      <c r="E3" s="314"/>
    </row>
    <row r="5" spans="2:5" ht="15.5" x14ac:dyDescent="0.35">
      <c r="B5" s="309" t="s">
        <v>724</v>
      </c>
      <c r="C5" s="309"/>
      <c r="D5" s="309"/>
      <c r="E5" s="309"/>
    </row>
    <row r="6" spans="2:5" x14ac:dyDescent="0.35">
      <c r="B6" s="163" t="s">
        <v>725</v>
      </c>
      <c r="C6" s="163" t="s">
        <v>726</v>
      </c>
      <c r="D6" s="163" t="s">
        <v>727</v>
      </c>
      <c r="E6" s="163" t="s">
        <v>728</v>
      </c>
    </row>
    <row r="7" spans="2:5" ht="26" x14ac:dyDescent="0.35">
      <c r="B7" s="206" t="s">
        <v>729</v>
      </c>
      <c r="C7" s="207" t="s">
        <v>730</v>
      </c>
      <c r="D7" s="208" t="s">
        <v>731</v>
      </c>
      <c r="E7" s="209" t="s">
        <v>732</v>
      </c>
    </row>
    <row r="8" spans="2:5" ht="26" x14ac:dyDescent="0.35">
      <c r="B8" s="206" t="s">
        <v>733</v>
      </c>
      <c r="C8" s="207" t="s">
        <v>734</v>
      </c>
      <c r="D8" s="208" t="s">
        <v>735</v>
      </c>
      <c r="E8" s="209" t="s">
        <v>736</v>
      </c>
    </row>
    <row r="9" spans="2:5" ht="26" x14ac:dyDescent="0.35">
      <c r="B9" s="206" t="s">
        <v>737</v>
      </c>
      <c r="C9" s="207" t="s">
        <v>738</v>
      </c>
      <c r="D9" s="208" t="s">
        <v>739</v>
      </c>
      <c r="E9" s="209" t="s">
        <v>740</v>
      </c>
    </row>
    <row r="10" spans="2:5" ht="26" x14ac:dyDescent="0.35">
      <c r="B10" s="206" t="s">
        <v>741</v>
      </c>
      <c r="C10" s="207" t="s">
        <v>742</v>
      </c>
      <c r="D10" s="208" t="s">
        <v>743</v>
      </c>
      <c r="E10" s="209" t="s">
        <v>744</v>
      </c>
    </row>
    <row r="11" spans="2:5" ht="26" x14ac:dyDescent="0.35">
      <c r="B11" s="206" t="s">
        <v>745</v>
      </c>
      <c r="C11" s="207" t="s">
        <v>746</v>
      </c>
      <c r="D11" s="208" t="s">
        <v>747</v>
      </c>
      <c r="E11" s="209" t="s">
        <v>748</v>
      </c>
    </row>
    <row r="13" spans="2:5" ht="15.5" x14ac:dyDescent="0.35">
      <c r="B13" s="309" t="s">
        <v>749</v>
      </c>
      <c r="C13" s="309"/>
      <c r="D13" s="309"/>
      <c r="E13" s="309"/>
    </row>
    <row r="14" spans="2:5" x14ac:dyDescent="0.35">
      <c r="B14" s="210" t="s">
        <v>750</v>
      </c>
      <c r="C14" s="210" t="s">
        <v>751</v>
      </c>
      <c r="D14" s="210" t="s">
        <v>752</v>
      </c>
      <c r="E14" s="210" t="s">
        <v>753</v>
      </c>
    </row>
    <row r="15" spans="2:5" ht="23.5" x14ac:dyDescent="0.35">
      <c r="B15" s="211">
        <f>COUNTIF(Profitability_Model!L3:L402,"&lt;&gt;")</f>
        <v>400</v>
      </c>
      <c r="C15" s="212" t="str">
        <f>COUNTIF(Profitability_Model!L3:L402,"SCALE")&amp;" / "&amp;COUNTIF(Profitability_Model!L3:L402,"OPTIMIZE")&amp;" / "&amp;COUNTIF(Profitability_Model!L3:L402,"EXIT")</f>
        <v>216 / 138 / 46</v>
      </c>
      <c r="D15" s="213">
        <f>COUNT(Sensitivity_Analysis!C5:G9)</f>
        <v>25</v>
      </c>
      <c r="E15" s="214">
        <f>COUNTIF(Scenario_Analysis!R3:R402,"Stable")/400</f>
        <v>0.93</v>
      </c>
    </row>
    <row r="17" spans="2:5" ht="25.5" customHeight="1" x14ac:dyDescent="0.35">
      <c r="B17" s="336" t="s">
        <v>754</v>
      </c>
      <c r="C17" s="336"/>
      <c r="D17" s="336"/>
      <c r="E17" s="336"/>
    </row>
  </sheetData>
  <mergeCells count="5">
    <mergeCell ref="B2:E2"/>
    <mergeCell ref="B3:E3"/>
    <mergeCell ref="B5:E5"/>
    <mergeCell ref="B13:E13"/>
    <mergeCell ref="B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Raw_Data</vt:lpstr>
      <vt:lpstr>Profitability_Model</vt:lpstr>
      <vt:lpstr>Scenario_Analysis</vt:lpstr>
      <vt:lpstr>Sensitivity_Analysis</vt:lpstr>
      <vt:lpstr>SKU_Decision_Summary</vt:lpstr>
      <vt:lpstr>Dashboard</vt:lpstr>
      <vt:lpstr>Decision_Logic</vt:lpstr>
      <vt:lpstr>Risk_Summary</vt:lpstr>
      <vt:lpstr>Framework_Value</vt:lpstr>
      <vt:lpstr>scn_A_cogs_up</vt:lpstr>
      <vt:lpstr>scn_B_returns_up</vt:lpstr>
      <vt:lpstr>scn_C_price_down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Areej Rehan</cp:lastModifiedBy>
  <cp:lastPrinted>2026-06-02T15:33:20Z</cp:lastPrinted>
  <dcterms:created xsi:type="dcterms:W3CDTF">2026-05-18T20:56:25Z</dcterms:created>
  <dcterms:modified xsi:type="dcterms:W3CDTF">2026-06-09T20:28:47Z</dcterms:modified>
</cp:coreProperties>
</file>